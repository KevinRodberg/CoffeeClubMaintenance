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R:\FirstR_GitProj\"/>
    </mc:Choice>
  </mc:AlternateContent>
  <xr:revisionPtr revIDLastSave="0" documentId="13_ncr:1_{D0B34DC6-F70E-462A-B73B-5CB807AF552C}" xr6:coauthVersionLast="44" xr6:coauthVersionMax="44" xr10:uidLastSave="{00000000-0000-0000-0000-000000000000}"/>
  <bookViews>
    <workbookView xWindow="28680" yWindow="-120" windowWidth="29040" windowHeight="16440" activeTab="2" xr2:uid="{00000000-000D-0000-FFFF-FFFF00000000}"/>
  </bookViews>
  <sheets>
    <sheet name="LineItems" sheetId="3" r:id="rId1"/>
    <sheet name="Pivot" sheetId="4" r:id="rId2"/>
    <sheet name="Members" sheetId="7" r:id="rId3"/>
    <sheet name="Poll" sheetId="8" r:id="rId4"/>
  </sheets>
  <definedNames>
    <definedName name="_xlnm._FilterDatabase" localSheetId="0" hidden="1">LineItems!$A$1:$O$6190</definedName>
    <definedName name="ExternalData_1" localSheetId="0" hidden="1">LineItems!$A$1:$E$6012</definedName>
    <definedName name="ExternalData_2" localSheetId="2" hidden="1">Members!$O$4:$Q$28</definedName>
  </definedNames>
  <calcPr calcId="191029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134" i="3" l="1"/>
  <c r="I6157" i="3"/>
  <c r="H6157" i="3"/>
  <c r="F6157" i="3"/>
  <c r="F6132" i="3" l="1"/>
  <c r="O6190" i="3" l="1"/>
  <c r="N6190" i="3"/>
  <c r="M6190" i="3"/>
  <c r="L6190" i="3"/>
  <c r="K6190" i="3"/>
  <c r="H6132" i="3"/>
  <c r="J6132" i="3"/>
  <c r="E6190" i="3" l="1"/>
  <c r="G6132" i="3"/>
  <c r="E6105" i="3" l="1"/>
  <c r="E6104" i="3"/>
  <c r="E6103" i="3"/>
  <c r="E6101" i="3"/>
  <c r="E6107" i="3" l="1"/>
  <c r="E6106" i="3"/>
  <c r="I6132" i="3"/>
  <c r="F6100" i="3"/>
  <c r="G6100" i="3"/>
  <c r="I6100" i="3"/>
  <c r="E6076" i="3" l="1"/>
  <c r="E6051" i="3"/>
  <c r="Q10" i="8" l="1"/>
  <c r="P10" i="8"/>
  <c r="M10" i="8"/>
  <c r="L10" i="8"/>
  <c r="K10" i="8"/>
  <c r="J10" i="8"/>
  <c r="I10" i="8"/>
  <c r="G10" i="8"/>
  <c r="F10" i="8"/>
  <c r="E10" i="8"/>
  <c r="D10" i="8"/>
  <c r="C10" i="8"/>
  <c r="B1" i="8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I1" i="4"/>
  <c r="S2" i="4" s="1"/>
  <c r="E1" i="4"/>
  <c r="C1" i="4"/>
  <c r="U4" i="4" s="1"/>
  <c r="O6187" i="3"/>
  <c r="N6187" i="3"/>
  <c r="M6187" i="3"/>
  <c r="L6187" i="3"/>
  <c r="K6187" i="3"/>
  <c r="O6183" i="3"/>
  <c r="N6183" i="3"/>
  <c r="M6183" i="3"/>
  <c r="L6183" i="3"/>
  <c r="K6183" i="3"/>
  <c r="O6179" i="3"/>
  <c r="N6179" i="3"/>
  <c r="M6179" i="3"/>
  <c r="L6179" i="3"/>
  <c r="K6179" i="3"/>
  <c r="O6171" i="3"/>
  <c r="N6171" i="3"/>
  <c r="M6171" i="3"/>
  <c r="L6171" i="3"/>
  <c r="K6171" i="3"/>
  <c r="O6157" i="3"/>
  <c r="N6157" i="3"/>
  <c r="M6157" i="3"/>
  <c r="L6157" i="3"/>
  <c r="K6157" i="3"/>
  <c r="O6132" i="3"/>
  <c r="N6132" i="3"/>
  <c r="M6132" i="3"/>
  <c r="L6132" i="3"/>
  <c r="K6132" i="3"/>
  <c r="N6100" i="3"/>
  <c r="J6100" i="3"/>
  <c r="O6100" i="3" s="1"/>
  <c r="H6100" i="3"/>
  <c r="M6100" i="3" s="1"/>
  <c r="L6100" i="3"/>
  <c r="K6100" i="3"/>
  <c r="E6078" i="3"/>
  <c r="O6075" i="3"/>
  <c r="I6075" i="3"/>
  <c r="N6075" i="3" s="1"/>
  <c r="H6075" i="3"/>
  <c r="M6075" i="3" s="1"/>
  <c r="G6075" i="3"/>
  <c r="L6075" i="3" s="1"/>
  <c r="F6075" i="3"/>
  <c r="K6075" i="3" s="1"/>
  <c r="E6052" i="3"/>
  <c r="O6049" i="3"/>
  <c r="N6049" i="3"/>
  <c r="H6049" i="3"/>
  <c r="M6049" i="3" s="1"/>
  <c r="G6049" i="3"/>
  <c r="L6049" i="3" s="1"/>
  <c r="F6049" i="3"/>
  <c r="K6049" i="3" s="1"/>
  <c r="E6036" i="3"/>
  <c r="E6023" i="3"/>
  <c r="E6022" i="3"/>
  <c r="E6021" i="3"/>
  <c r="E6020" i="3"/>
  <c r="E6019" i="3"/>
  <c r="O6018" i="3"/>
  <c r="I6018" i="3"/>
  <c r="N6018" i="3" s="1"/>
  <c r="H6018" i="3"/>
  <c r="M6018" i="3" s="1"/>
  <c r="G6018" i="3"/>
  <c r="L6018" i="3" s="1"/>
  <c r="F6018" i="3"/>
  <c r="K6018" i="3" s="1"/>
  <c r="E6006" i="3"/>
  <c r="E5992" i="3"/>
  <c r="E5991" i="3"/>
  <c r="E5990" i="3"/>
  <c r="E5988" i="3"/>
  <c r="O5987" i="3"/>
  <c r="I5987" i="3"/>
  <c r="N5987" i="3" s="1"/>
  <c r="H5987" i="3"/>
  <c r="M5987" i="3" s="1"/>
  <c r="G5987" i="3"/>
  <c r="L5987" i="3" s="1"/>
  <c r="F5987" i="3"/>
  <c r="K5987" i="3" s="1"/>
  <c r="E5974" i="3"/>
  <c r="E5959" i="3"/>
  <c r="E5958" i="3"/>
  <c r="E5957" i="3"/>
  <c r="E5956" i="3"/>
  <c r="O5955" i="3"/>
  <c r="I5955" i="3"/>
  <c r="N5955" i="3" s="1"/>
  <c r="H5955" i="3"/>
  <c r="M5955" i="3" s="1"/>
  <c r="G5955" i="3"/>
  <c r="L5955" i="3" s="1"/>
  <c r="F5955" i="3"/>
  <c r="K5955" i="3" s="1"/>
  <c r="E5940" i="3"/>
  <c r="E5924" i="3"/>
  <c r="E5923" i="3"/>
  <c r="E5922" i="3"/>
  <c r="E5921" i="3"/>
  <c r="E5920" i="3"/>
  <c r="O5919" i="3"/>
  <c r="I5919" i="3"/>
  <c r="N5919" i="3" s="1"/>
  <c r="H5919" i="3"/>
  <c r="M5919" i="3" s="1"/>
  <c r="G5919" i="3"/>
  <c r="L5919" i="3" s="1"/>
  <c r="F5919" i="3"/>
  <c r="K5919" i="3" s="1"/>
  <c r="E5904" i="3"/>
  <c r="E5888" i="3"/>
  <c r="E5887" i="3"/>
  <c r="E5886" i="3"/>
  <c r="E5885" i="3"/>
  <c r="E5884" i="3"/>
  <c r="O5883" i="3"/>
  <c r="I5883" i="3"/>
  <c r="N5883" i="3" s="1"/>
  <c r="H5883" i="3"/>
  <c r="M5883" i="3" s="1"/>
  <c r="G5883" i="3"/>
  <c r="L5883" i="3" s="1"/>
  <c r="F5883" i="3"/>
  <c r="K5883" i="3" s="1"/>
  <c r="E5868" i="3"/>
  <c r="E5852" i="3"/>
  <c r="E5851" i="3"/>
  <c r="E5850" i="3"/>
  <c r="E5848" i="3"/>
  <c r="J5847" i="3"/>
  <c r="O5847" i="3" s="1"/>
  <c r="I5847" i="3"/>
  <c r="N5847" i="3" s="1"/>
  <c r="H5847" i="3"/>
  <c r="M5847" i="3" s="1"/>
  <c r="G5847" i="3"/>
  <c r="L5847" i="3" s="1"/>
  <c r="F5847" i="3"/>
  <c r="K5847" i="3" s="1"/>
  <c r="E5832" i="3"/>
  <c r="E5816" i="3"/>
  <c r="E5814" i="3"/>
  <c r="E5813" i="3"/>
  <c r="J5812" i="3"/>
  <c r="O5812" i="3" s="1"/>
  <c r="I5812" i="3"/>
  <c r="N5812" i="3" s="1"/>
  <c r="H5812" i="3"/>
  <c r="M5812" i="3" s="1"/>
  <c r="G5812" i="3"/>
  <c r="L5812" i="3" s="1"/>
  <c r="F5812" i="3"/>
  <c r="K5812" i="3" s="1"/>
  <c r="E5797" i="3"/>
  <c r="E5780" i="3"/>
  <c r="E5779" i="3"/>
  <c r="E5778" i="3"/>
  <c r="E5777" i="3"/>
  <c r="O5776" i="3"/>
  <c r="M5776" i="3"/>
  <c r="I5776" i="3"/>
  <c r="N5776" i="3" s="1"/>
  <c r="G5776" i="3"/>
  <c r="L5776" i="3" s="1"/>
  <c r="F5776" i="3"/>
  <c r="K5776" i="3" s="1"/>
  <c r="E5761" i="3"/>
  <c r="E5746" i="3"/>
  <c r="E5745" i="3"/>
  <c r="E5744" i="3"/>
  <c r="E5743" i="3"/>
  <c r="E5742" i="3"/>
  <c r="O5741" i="3"/>
  <c r="I5741" i="3"/>
  <c r="N5741" i="3" s="1"/>
  <c r="H5741" i="3"/>
  <c r="M5741" i="3" s="1"/>
  <c r="G5741" i="3"/>
  <c r="L5741" i="3" s="1"/>
  <c r="F5741" i="3"/>
  <c r="K5741" i="3" s="1"/>
  <c r="E5726" i="3"/>
  <c r="E5712" i="3"/>
  <c r="E5711" i="3"/>
  <c r="E5710" i="3"/>
  <c r="E5709" i="3"/>
  <c r="E5708" i="3"/>
  <c r="E5692" i="3"/>
  <c r="E5689" i="3"/>
  <c r="E5678" i="3"/>
  <c r="E5677" i="3"/>
  <c r="E5676" i="3"/>
  <c r="E5675" i="3"/>
  <c r="E5674" i="3"/>
  <c r="E5673" i="3"/>
  <c r="E5641" i="3"/>
  <c r="E5640" i="3"/>
  <c r="E5639" i="3"/>
  <c r="E5637" i="3"/>
  <c r="E5636" i="3"/>
  <c r="E5607" i="3"/>
  <c r="E5606" i="3"/>
  <c r="E5605" i="3"/>
  <c r="E5603" i="3"/>
  <c r="E5602" i="3"/>
  <c r="E5571" i="3"/>
  <c r="E5570" i="3"/>
  <c r="E5569" i="3"/>
  <c r="E5568" i="3"/>
  <c r="E5539" i="3"/>
  <c r="E5537" i="3"/>
  <c r="E5536" i="3"/>
  <c r="E5411" i="3"/>
  <c r="E5776" i="3" l="1"/>
  <c r="E5812" i="3"/>
  <c r="E5847" i="3"/>
  <c r="E6183" i="3"/>
  <c r="B10" i="8"/>
  <c r="B2" i="8"/>
  <c r="B6" i="8"/>
  <c r="E6171" i="3"/>
  <c r="E6132" i="3"/>
  <c r="E6049" i="3"/>
  <c r="E6187" i="3"/>
  <c r="E6179" i="3"/>
  <c r="E5883" i="3"/>
  <c r="E5987" i="3"/>
  <c r="E6157" i="3"/>
  <c r="E5955" i="3"/>
  <c r="E6075" i="3"/>
  <c r="S16" i="4"/>
  <c r="E5741" i="3"/>
  <c r="E6018" i="3"/>
  <c r="E6100" i="3"/>
  <c r="E5919" i="3"/>
  <c r="G1" i="4"/>
  <c r="B1" i="4" s="1"/>
  <c r="D2" i="4"/>
  <c r="D16" i="4" s="1"/>
  <c r="H2" i="4"/>
  <c r="H16" i="4" s="1"/>
  <c r="L2" i="4"/>
  <c r="L16" i="4" s="1"/>
  <c r="P2" i="4"/>
  <c r="P16" i="4" s="1"/>
  <c r="T2" i="4"/>
  <c r="T16" i="4" s="1"/>
  <c r="C3" i="4"/>
  <c r="G3" i="4"/>
  <c r="K3" i="4"/>
  <c r="O3" i="4"/>
  <c r="S3" i="4"/>
  <c r="B4" i="4"/>
  <c r="F4" i="4"/>
  <c r="J4" i="4"/>
  <c r="N4" i="4"/>
  <c r="R4" i="4"/>
  <c r="V4" i="4"/>
  <c r="E2" i="4"/>
  <c r="E16" i="4" s="1"/>
  <c r="I2" i="4"/>
  <c r="I16" i="4" s="1"/>
  <c r="M2" i="4"/>
  <c r="M16" i="4" s="1"/>
  <c r="Q2" i="4"/>
  <c r="Q16" i="4" s="1"/>
  <c r="U2" i="4"/>
  <c r="U16" i="4" s="1"/>
  <c r="D3" i="4"/>
  <c r="H3" i="4"/>
  <c r="L3" i="4"/>
  <c r="P3" i="4"/>
  <c r="T3" i="4"/>
  <c r="C4" i="4"/>
  <c r="G4" i="4"/>
  <c r="K4" i="4"/>
  <c r="O4" i="4"/>
  <c r="S4" i="4"/>
  <c r="B3" i="8"/>
  <c r="B7" i="8"/>
  <c r="B2" i="4"/>
  <c r="B16" i="4" s="1"/>
  <c r="F2" i="4"/>
  <c r="F16" i="4" s="1"/>
  <c r="J2" i="4"/>
  <c r="J16" i="4" s="1"/>
  <c r="N2" i="4"/>
  <c r="N16" i="4" s="1"/>
  <c r="R2" i="4"/>
  <c r="R16" i="4" s="1"/>
  <c r="V2" i="4"/>
  <c r="V16" i="4" s="1"/>
  <c r="E3" i="4"/>
  <c r="I3" i="4"/>
  <c r="M3" i="4"/>
  <c r="Q3" i="4"/>
  <c r="U3" i="4"/>
  <c r="D4" i="4"/>
  <c r="H4" i="4"/>
  <c r="L4" i="4"/>
  <c r="P4" i="4"/>
  <c r="T4" i="4"/>
  <c r="B4" i="8"/>
  <c r="B8" i="8"/>
  <c r="C2" i="4"/>
  <c r="C16" i="4" s="1"/>
  <c r="G2" i="4"/>
  <c r="G16" i="4" s="1"/>
  <c r="K2" i="4"/>
  <c r="K16" i="4" s="1"/>
  <c r="O2" i="4"/>
  <c r="O16" i="4" s="1"/>
  <c r="B3" i="4"/>
  <c r="F3" i="4"/>
  <c r="J3" i="4"/>
  <c r="N3" i="4"/>
  <c r="R3" i="4"/>
  <c r="V3" i="4"/>
  <c r="E4" i="4"/>
  <c r="I4" i="4"/>
  <c r="M4" i="4"/>
  <c r="Q4" i="4"/>
  <c r="B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tc={FCB8D291-76AF-4D9F-9149-024F297E18C6}</author>
  </authors>
  <commentList>
    <comment ref="E5921" authorId="0" shapeId="0" xr:uid="{FCB8D291-76AF-4D9F-9149-024F297E18C6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Comp'd Cary White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13ADFD-3DA8-4830-9B99-A3D3AE8C79F4}" keepAlive="1" name="Query - Memberlist" description="Connection to the 'Memberlist' query in the workbook." type="5" refreshedVersion="6" background="1" saveData="1">
    <dbPr connection="Provider=Microsoft.Mashup.OleDb.1;Data Source=$Workbook$;Location=Memberlist;Extended Properties=&quot;&quot;" command="SELECT * FROM [Memberlist]"/>
  </connection>
</connections>
</file>

<file path=xl/sharedStrings.xml><?xml version="1.0" encoding="utf-8"?>
<sst xmlns="http://schemas.openxmlformats.org/spreadsheetml/2006/main" count="12669" uniqueCount="212">
  <si>
    <t>May</t>
  </si>
  <si>
    <t>Apr</t>
  </si>
  <si>
    <t>Mar</t>
  </si>
  <si>
    <t>Feb</t>
  </si>
  <si>
    <t>Jan</t>
  </si>
  <si>
    <t>Dec</t>
  </si>
  <si>
    <t>Nov</t>
  </si>
  <si>
    <t>Oct</t>
  </si>
  <si>
    <t>Aug</t>
  </si>
  <si>
    <t>Name</t>
  </si>
  <si>
    <t>Aholu, Isaac</t>
  </si>
  <si>
    <t>Ali</t>
  </si>
  <si>
    <t>Ammon</t>
  </si>
  <si>
    <t>Alleman</t>
  </si>
  <si>
    <t>Anderson</t>
  </si>
  <si>
    <t>Arrieta</t>
  </si>
  <si>
    <t>Barnes</t>
  </si>
  <si>
    <t>Brion</t>
  </si>
  <si>
    <t>Bennett, M</t>
  </si>
  <si>
    <t>Bologna</t>
  </si>
  <si>
    <t>Bevier</t>
  </si>
  <si>
    <t>Burwick</t>
  </si>
  <si>
    <t>Bhuma</t>
  </si>
  <si>
    <t>Bucca</t>
  </si>
  <si>
    <t>Butler</t>
  </si>
  <si>
    <t>Ahmed, Aziz</t>
  </si>
  <si>
    <t>Bailey, Brad</t>
  </si>
  <si>
    <t>Brossel, Eli</t>
  </si>
  <si>
    <t>Braun, Rod</t>
  </si>
  <si>
    <t>Bucca, Jane</t>
  </si>
  <si>
    <t>Cadavid</t>
  </si>
  <si>
    <t>Fleisman</t>
  </si>
  <si>
    <t>Chimote,Sameer</t>
  </si>
  <si>
    <t>Clark</t>
  </si>
  <si>
    <t>Fruit, Ken</t>
  </si>
  <si>
    <t>Godin, Jason</t>
  </si>
  <si>
    <t>Grein, Rachelle</t>
  </si>
  <si>
    <t>Hall, Wm</t>
  </si>
  <si>
    <t>Harris</t>
  </si>
  <si>
    <t>Hyink</t>
  </si>
  <si>
    <t>Kher</t>
  </si>
  <si>
    <t>Lutter</t>
  </si>
  <si>
    <t>Balmuri, Srini</t>
  </si>
  <si>
    <t>Bousquin, Steve</t>
  </si>
  <si>
    <t>Bowes, Cindy</t>
  </si>
  <si>
    <t>Crandall, James</t>
  </si>
  <si>
    <t>Dabral, Sandeep</t>
  </si>
  <si>
    <t>Botta, Richard</t>
  </si>
  <si>
    <t>Chen, Zhiqiang</t>
  </si>
  <si>
    <t>Colios, Tom</t>
  </si>
  <si>
    <t>Diaz, Orlando</t>
  </si>
  <si>
    <t>Earle, Robert</t>
  </si>
  <si>
    <t>East, Therese</t>
  </si>
  <si>
    <t>Graulau-Santiago, Jaime</t>
  </si>
  <si>
    <t>Ibsen, Bonnie</t>
  </si>
  <si>
    <t>James, Richard (Tom)</t>
  </si>
  <si>
    <t>Lachireddy, Srikanth</t>
  </si>
  <si>
    <t>Mallinger, Gregg</t>
  </si>
  <si>
    <t>Janzen, John</t>
  </si>
  <si>
    <t>Miller, Ian</t>
  </si>
  <si>
    <t>Morgan, John</t>
  </si>
  <si>
    <t>Nagakar, Amit</t>
  </si>
  <si>
    <t>Noorjahan</t>
  </si>
  <si>
    <t>Mungara, Raj</t>
  </si>
  <si>
    <t>Naiksatam</t>
  </si>
  <si>
    <t>Lindstrom, Linda</t>
  </si>
  <si>
    <t>Medellin, Donald</t>
  </si>
  <si>
    <t>Josan, Manohardeep</t>
  </si>
  <si>
    <t>Mulliken, John</t>
  </si>
  <si>
    <t>Obeysekera, Jayantha</t>
  </si>
  <si>
    <t>Oblaczynski</t>
  </si>
  <si>
    <t>Ostrovsky, Moysey</t>
  </si>
  <si>
    <t>Pemmargju</t>
  </si>
  <si>
    <t>Pemmaraju, Madhu</t>
  </si>
  <si>
    <t>Persaud, Sham</t>
  </si>
  <si>
    <t>Ramnath, Ravindranath</t>
  </si>
  <si>
    <t>Rodberg, Kevin</t>
  </si>
  <si>
    <t>Rodrigues, Jesus</t>
  </si>
  <si>
    <t>Santagnelo, Jenna</t>
  </si>
  <si>
    <t>Tanguturi, Venkata</t>
  </si>
  <si>
    <t>Rosecrans, Trevor</t>
  </si>
  <si>
    <t>Sawyer, Charles</t>
  </si>
  <si>
    <t>Shaw, Jon</t>
  </si>
  <si>
    <t>Solaiman, Tarana</t>
  </si>
  <si>
    <t>Sklar, Fred</t>
  </si>
  <si>
    <t>Schwartz, Larry</t>
  </si>
  <si>
    <t>Trimble, Paul</t>
  </si>
  <si>
    <t>Villapando, Odi</t>
  </si>
  <si>
    <t>VanArman, Joel</t>
  </si>
  <si>
    <t>Vasavan, Sajeev</t>
  </si>
  <si>
    <t>Warner, Michael</t>
  </si>
  <si>
    <t>Welter</t>
  </si>
  <si>
    <t>Yan, Yao</t>
  </si>
  <si>
    <t>Wachnicka,  Anna</t>
  </si>
  <si>
    <t>White, Cary</t>
  </si>
  <si>
    <t>Yonick, Al</t>
  </si>
  <si>
    <t xml:space="preserve">Zamorano, Felipe </t>
  </si>
  <si>
    <t>Zheng, Fawen</t>
  </si>
  <si>
    <t>Zhao, Hongying</t>
  </si>
  <si>
    <t xml:space="preserve">Piggy Bank $ </t>
  </si>
  <si>
    <t>Coffee</t>
  </si>
  <si>
    <t>Tea</t>
  </si>
  <si>
    <t>Creamer</t>
  </si>
  <si>
    <t>Sugar and Sweetener</t>
  </si>
  <si>
    <t>Costco, Coffee Stirs, Filters, etc.</t>
  </si>
  <si>
    <t>Change in Reserves</t>
  </si>
  <si>
    <t>Blank</t>
  </si>
  <si>
    <t>Diaz, Miguel</t>
  </si>
  <si>
    <t>Akpoji, Ashi</t>
  </si>
  <si>
    <t>Barta</t>
  </si>
  <si>
    <t>Date</t>
  </si>
  <si>
    <t>Paid</t>
  </si>
  <si>
    <t>Grand Total</t>
  </si>
  <si>
    <t>Total Income - Total Expenses</t>
  </si>
  <si>
    <t>NonMember</t>
  </si>
  <si>
    <t>Membership</t>
  </si>
  <si>
    <t>Source</t>
  </si>
  <si>
    <t>Expenses</t>
  </si>
  <si>
    <t>DisplayGraph</t>
  </si>
  <si>
    <t>=gtotOffset'</t>
  </si>
  <si>
    <t>2018</t>
  </si>
  <si>
    <t>Jun</t>
  </si>
  <si>
    <t>Jul</t>
  </si>
  <si>
    <t>Sep</t>
  </si>
  <si>
    <t>Zamorano, Felipe</t>
  </si>
  <si>
    <t>Please Feed the Piggy Bank:</t>
  </si>
  <si>
    <t>Cup of Coffee:</t>
  </si>
  <si>
    <t>50¢</t>
  </si>
  <si>
    <t>Tea Bags:</t>
  </si>
  <si>
    <t>25¢</t>
  </si>
  <si>
    <t>Mini Creamers:</t>
  </si>
  <si>
    <t>10¢</t>
  </si>
  <si>
    <t>Dues are $5.00 per month.</t>
  </si>
  <si>
    <t>Please see Kevin Rodberg or call x6702</t>
  </si>
  <si>
    <t>to join the B2-2N Coffee Club.</t>
  </si>
  <si>
    <t>ppOffset</t>
  </si>
  <si>
    <t>=Prepaid</t>
  </si>
  <si>
    <t>Member</t>
  </si>
  <si>
    <t>Expense</t>
  </si>
  <si>
    <t>Dates</t>
  </si>
  <si>
    <t>Income</t>
  </si>
  <si>
    <t>Commodity</t>
  </si>
  <si>
    <t>PayItBack</t>
  </si>
  <si>
    <t>Reimbursement</t>
  </si>
  <si>
    <t>Jones, Paul</t>
  </si>
  <si>
    <t>Members of the Club</t>
  </si>
  <si>
    <t>Monsanto, Porshia</t>
  </si>
  <si>
    <t>Serna Salazar, Alexandra</t>
  </si>
  <si>
    <t>Wanvestraut, Robert</t>
  </si>
  <si>
    <t>Khatun, Fahmida</t>
  </si>
  <si>
    <t>Dollars</t>
  </si>
  <si>
    <t>Quarters</t>
  </si>
  <si>
    <t>Dimes</t>
  </si>
  <si>
    <t>Nickels</t>
  </si>
  <si>
    <t>Pennies</t>
  </si>
  <si>
    <t>Wanvestraut, Robert &lt;rowanves@sfwmd.gov&gt;</t>
  </si>
  <si>
    <t>Chen, Zhiqiang &lt;zhichen@sfwmd.gov&gt;</t>
  </si>
  <si>
    <t>Colios, Thomas &lt;tcolios@sfwmd.gov&gt;</t>
  </si>
  <si>
    <t>Diaz, Orlando &lt;odiaz@sfwmd.gov&gt;</t>
  </si>
  <si>
    <t>Earle, Robert &lt;rearle@sfwmd.gov&gt;</t>
  </si>
  <si>
    <t>East, Therese &lt;teast@sfwmd.gov&gt;</t>
  </si>
  <si>
    <t>James, Richard &lt;tjames@sfwmd.gov&gt;</t>
  </si>
  <si>
    <t>Janzen, John &lt;jjanzen@sfwmd.gov&gt;</t>
  </si>
  <si>
    <t>Lindstrom, Linda &lt;llindst@sfwmd.gov&gt;</t>
  </si>
  <si>
    <t>Medellin, Donald &lt;dmedelli@sfwmd.gov&gt;</t>
  </si>
  <si>
    <t>Ramnath, Ravindranath &lt;rramnath@sfwmd.gov&gt;</t>
  </si>
  <si>
    <t>Rodberg, Kevin &lt;krodberg@sfwmd.gov&gt;</t>
  </si>
  <si>
    <t>Shaw, Jonathan &lt;jshaw@sfwmd.gov&gt;</t>
  </si>
  <si>
    <t>Sklar, Fred &lt;fsklar@sfwmd.gov&gt;</t>
  </si>
  <si>
    <t>Villapando, Odi &lt;rvillap@sfwmd.gov&gt;</t>
  </si>
  <si>
    <t>Wachnicka Kosiorek, Anna &lt;awachnic@sfwmd.gov&gt;</t>
  </si>
  <si>
    <t>Zamorano, Manuel &lt;mzamoran@sfwmd.gov&gt;</t>
  </si>
  <si>
    <t>Zhao, Hongying &lt;hzhao@sfwmd.gov&gt;</t>
  </si>
  <si>
    <t>Monthly Income</t>
  </si>
  <si>
    <t>Count of Paid</t>
  </si>
  <si>
    <t>Members</t>
  </si>
  <si>
    <t>2019</t>
  </si>
  <si>
    <t>Mini Moos</t>
  </si>
  <si>
    <t>Powdered Creamer</t>
  </si>
  <si>
    <t>Hazelnut Creamer</t>
  </si>
  <si>
    <t>Black Tea</t>
  </si>
  <si>
    <t>Green Tea</t>
  </si>
  <si>
    <t>Sugar or Sweetener</t>
  </si>
  <si>
    <t>X</t>
  </si>
  <si>
    <t xml:space="preserve"> </t>
  </si>
  <si>
    <t>   </t>
  </si>
  <si>
    <t>X  </t>
  </si>
  <si>
    <t>Respondents</t>
  </si>
  <si>
    <t>Any Creamer</t>
  </si>
  <si>
    <t>Herbert, Darrel</t>
  </si>
  <si>
    <t>Hinton, Matt</t>
  </si>
  <si>
    <t>Hinton, Matt &lt;mahinton@gmail.com&gt;</t>
  </si>
  <si>
    <t>The "Good Coffee" Club</t>
  </si>
  <si>
    <t>Expenses Per Member</t>
  </si>
  <si>
    <r>
      <t xml:space="preserve">If you're </t>
    </r>
    <r>
      <rPr>
        <b/>
        <i/>
        <sz val="12"/>
        <color rgb="FFFF0000"/>
        <rFont val="Arial"/>
        <family val="2"/>
      </rPr>
      <t>Not</t>
    </r>
    <r>
      <rPr>
        <b/>
        <i/>
        <sz val="12"/>
        <color theme="1"/>
        <rFont val="Arial"/>
        <family val="2"/>
      </rPr>
      <t xml:space="preserve"> in Kevin's Coffee Club:</t>
    </r>
  </si>
  <si>
    <t>5¢</t>
  </si>
  <si>
    <t>Sweetener/Sugar:</t>
  </si>
  <si>
    <r>
      <t xml:space="preserve">Coffee, Tea &amp; the Fixin's are </t>
    </r>
    <r>
      <rPr>
        <b/>
        <i/>
        <sz val="12"/>
        <color rgb="FFFF0000"/>
        <rFont val="Comic Sans MS"/>
        <family val="4"/>
      </rPr>
      <t>Not</t>
    </r>
    <r>
      <rPr>
        <b/>
        <i/>
        <sz val="12"/>
        <rFont val="Comic Sans MS"/>
        <family val="4"/>
      </rPr>
      <t xml:space="preserve"> Free</t>
    </r>
  </si>
  <si>
    <t>2020</t>
  </si>
  <si>
    <t>Wilcox, Walter</t>
  </si>
  <si>
    <t>Wilcox, Walter &lt;wwilcox@sfwmd.gov&gt;</t>
  </si>
  <si>
    <t>Zheng, Fawen &lt;fazheng@sfwmd.gov&gt;</t>
  </si>
  <si>
    <t>Income Total</t>
  </si>
  <si>
    <t xml:space="preserve">Saini, Harshit &lt;hsaini@sfwmd.gov&gt; </t>
  </si>
  <si>
    <t>Saini, Harshit</t>
  </si>
  <si>
    <t>asernasa@sfwmd.gov</t>
  </si>
  <si>
    <t>Serna Salazar, Alexandra &lt;asernasa@sfwmd.gov&gt;</t>
  </si>
  <si>
    <t>5</t>
  </si>
  <si>
    <t>0.001</t>
  </si>
  <si>
    <t>Khatun, Fahmida &lt;fkhatun@sfwmd.gov&gt;</t>
  </si>
  <si>
    <t>Paid Thru</t>
  </si>
  <si>
    <t>3020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</si>
</sst>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mm\-yy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4"/>
      <color rgb="FFFF0000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8"/>
      <color theme="1"/>
      <name val="Copperplate Gothic Bold"/>
      <family val="2"/>
    </font>
    <font>
      <sz val="16"/>
      <color theme="4"/>
      <name val="Comic Sans MS"/>
      <family val="4"/>
    </font>
    <font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rgb="FFC00000"/>
      <name val="Comic Sans MS"/>
      <family val="4"/>
    </font>
    <font>
      <b/>
      <i/>
      <sz val="12"/>
      <color rgb="FFFF0000"/>
      <name val="Comic Sans MS"/>
      <family val="4"/>
    </font>
    <font>
      <b/>
      <sz val="16"/>
      <color rgb="FFC00000"/>
      <name val="Arial"/>
      <family val="2"/>
    </font>
    <font>
      <sz val="16"/>
      <color rgb="FFC00000"/>
      <name val="Century Schoolbook"/>
      <family val="1"/>
    </font>
    <font>
      <sz val="14"/>
      <color rgb="FFC00000"/>
      <name val="Century Schoolbook"/>
      <family val="1"/>
    </font>
    <font>
      <sz val="16"/>
      <color theme="1"/>
      <name val="Copperplate Gothic Bold"/>
      <family val="2"/>
    </font>
    <font>
      <sz val="11"/>
      <color theme="0"/>
      <name val="Calibri"/>
      <family val="2"/>
      <scheme val="minor"/>
    </font>
    <font>
      <sz val="18"/>
      <color theme="4" tint="-0.249977111117893"/>
      <name val="Copperplate Gothic Bold"/>
      <family val="2"/>
    </font>
    <font>
      <sz val="12"/>
      <color rgb="FF006100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name val="Comic Sans MS"/>
      <family val="4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rgb="FF9C0006"/>
      <name val="Calibri"/>
      <family val="2"/>
      <scheme val="minor"/>
    </font>
    <font>
      <sz val="14"/>
      <color theme="1"/>
      <name val="Calibri Light"/>
      <family val="2"/>
      <scheme val="major"/>
    </font>
    <font>
      <b/>
      <sz val="14"/>
      <color rgb="FF9C0006"/>
      <name val="Calibri Light"/>
      <scheme val="maj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66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auto="1"/>
      </left>
      <right style="thin">
        <color rgb="FFB2B2B2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5">
    <xf numFmtId="0" fontId="0" fillId="0" borderId="0"/>
    <xf numFmtId="0" fontId="3" fillId="0" borderId="0"/>
    <xf numFmtId="0" fontId="4" fillId="3" borderId="0" applyNumberFormat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" borderId="1" applyNumberFormat="0" applyFont="0" applyAlignment="0" applyProtection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4" borderId="1" applyNumberFormat="0" applyFont="0" applyAlignment="0" applyProtection="0"/>
    <xf numFmtId="0" fontId="1" fillId="7" borderId="0" applyNumberFormat="0" applyBorder="0" applyAlignment="0" applyProtection="0"/>
    <xf numFmtId="9" fontId="1" fillId="0" borderId="0" applyFont="0" applyFill="0" applyBorder="0" applyAlignment="0" applyProtection="0"/>
    <xf numFmtId="0" fontId="13" fillId="11" borderId="5" applyNumberFormat="0" applyAlignment="0" applyProtection="0"/>
    <xf numFmtId="0" fontId="25" fillId="14" borderId="0" applyNumberFormat="0" applyBorder="0" applyAlignment="0" applyProtection="0"/>
    <xf numFmtId="0" fontId="32" fillId="0" borderId="0" applyNumberFormat="0" applyFill="0" applyBorder="0" applyAlignment="0" applyProtection="0"/>
    <xf numFmtId="0" fontId="34" fillId="17" borderId="0" applyNumberFormat="0" applyBorder="0" applyAlignment="0" applyProtection="0"/>
  </cellStyleXfs>
  <cellXfs count="133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44" fontId="0" fillId="0" borderId="0" xfId="6" applyFont="1"/>
    <xf numFmtId="0" fontId="9" fillId="0" borderId="0" xfId="0" applyFont="1"/>
    <xf numFmtId="0" fontId="9" fillId="0" borderId="0" xfId="0" pivotButton="1" applyFont="1"/>
    <xf numFmtId="165" fontId="9" fillId="0" borderId="0" xfId="0" pivotButton="1" applyNumberFormat="1" applyFont="1"/>
    <xf numFmtId="0" fontId="9" fillId="0" borderId="0" xfId="0" applyFont="1" applyAlignment="1">
      <alignment horizontal="left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0" xfId="6" applyNumberFormat="1" applyFont="1" applyAlignment="1">
      <alignment horizontal="center"/>
    </xf>
    <xf numFmtId="44" fontId="0" fillId="0" borderId="0" xfId="6" applyFont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pivotButton="1"/>
    <xf numFmtId="0" fontId="0" fillId="0" borderId="0" xfId="0" quotePrefix="1"/>
    <xf numFmtId="1" fontId="0" fillId="0" borderId="0" xfId="0" applyNumberFormat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16" fontId="14" fillId="0" borderId="0" xfId="0" applyNumberFormat="1" applyFont="1" applyAlignment="1">
      <alignment horizontal="center" vertical="center"/>
    </xf>
    <xf numFmtId="0" fontId="13" fillId="11" borderId="5" xfId="11" applyAlignment="1">
      <alignment vertical="center"/>
    </xf>
    <xf numFmtId="9" fontId="0" fillId="0" borderId="0" xfId="1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4" borderId="1" xfId="5" applyFont="1" applyAlignment="1">
      <alignment horizontal="center" vertical="center"/>
    </xf>
    <xf numFmtId="0" fontId="14" fillId="4" borderId="1" xfId="5" applyFont="1" applyAlignment="1">
      <alignment horizontal="center" vertical="center"/>
    </xf>
    <xf numFmtId="0" fontId="14" fillId="4" borderId="1" xfId="5" applyFont="1" applyAlignment="1">
      <alignment horizontal="center"/>
    </xf>
    <xf numFmtId="0" fontId="14" fillId="4" borderId="6" xfId="5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3" fillId="11" borderId="0" xfId="11" applyBorder="1" applyAlignment="1">
      <alignment vertical="center"/>
    </xf>
    <xf numFmtId="164" fontId="0" fillId="0" borderId="0" xfId="6" applyNumberFormat="1" applyFont="1"/>
    <xf numFmtId="164" fontId="0" fillId="0" borderId="0" xfId="6" applyNumberFormat="1" applyFont="1" applyAlignment="1">
      <alignment horizontal="center"/>
    </xf>
    <xf numFmtId="0" fontId="25" fillId="14" borderId="0" xfId="12"/>
    <xf numFmtId="0" fontId="25" fillId="14" borderId="0" xfId="12" applyAlignment="1">
      <alignment horizontal="center"/>
    </xf>
    <xf numFmtId="0" fontId="25" fillId="14" borderId="0" xfId="12" applyAlignment="1">
      <alignment horizontal="left"/>
    </xf>
    <xf numFmtId="44" fontId="25" fillId="14" borderId="0" xfId="12" applyNumberFormat="1" applyAlignment="1">
      <alignment horizontal="left"/>
    </xf>
    <xf numFmtId="2" fontId="0" fillId="0" borderId="0" xfId="0" applyNumberFormat="1" applyFont="1"/>
    <xf numFmtId="0" fontId="0" fillId="0" borderId="0" xfId="0" pivotButton="1" applyFont="1"/>
    <xf numFmtId="0" fontId="0" fillId="0" borderId="0" xfId="0" applyFont="1"/>
    <xf numFmtId="0" fontId="0" fillId="0" borderId="0" xfId="0" applyNumberFormat="1" applyFont="1"/>
    <xf numFmtId="0" fontId="0" fillId="12" borderId="0" xfId="0" applyFill="1"/>
    <xf numFmtId="0" fontId="3" fillId="12" borderId="0" xfId="1" applyFill="1"/>
    <xf numFmtId="0" fontId="9" fillId="13" borderId="10" xfId="0" applyFont="1" applyFill="1" applyBorder="1"/>
    <xf numFmtId="0" fontId="9" fillId="13" borderId="11" xfId="0" applyFont="1" applyFill="1" applyBorder="1"/>
    <xf numFmtId="0" fontId="9" fillId="13" borderId="12" xfId="0" applyFont="1" applyFill="1" applyBorder="1"/>
    <xf numFmtId="0" fontId="9" fillId="13" borderId="13" xfId="0" applyFont="1" applyFill="1" applyBorder="1"/>
    <xf numFmtId="0" fontId="9" fillId="13" borderId="0" xfId="0" applyFont="1" applyFill="1" applyBorder="1"/>
    <xf numFmtId="0" fontId="9" fillId="13" borderId="14" xfId="0" applyFont="1" applyFill="1" applyBorder="1"/>
    <xf numFmtId="0" fontId="17" fillId="13" borderId="13" xfId="0" applyFont="1" applyFill="1" applyBorder="1"/>
    <xf numFmtId="0" fontId="17" fillId="13" borderId="14" xfId="0" applyFont="1" applyFill="1" applyBorder="1"/>
    <xf numFmtId="0" fontId="9" fillId="13" borderId="15" xfId="0" applyFont="1" applyFill="1" applyBorder="1"/>
    <xf numFmtId="0" fontId="0" fillId="13" borderId="16" xfId="0" applyFill="1" applyBorder="1"/>
    <xf numFmtId="0" fontId="9" fillId="13" borderId="17" xfId="0" applyFont="1" applyFill="1" applyBorder="1"/>
    <xf numFmtId="0" fontId="9" fillId="4" borderId="1" xfId="0" applyFont="1" applyFill="1" applyBorder="1"/>
    <xf numFmtId="0" fontId="28" fillId="2" borderId="0" xfId="0" applyFont="1" applyFill="1" applyAlignment="1">
      <alignment horizontal="center"/>
    </xf>
    <xf numFmtId="0" fontId="12" fillId="0" borderId="2" xfId="0" pivotButton="1" applyFont="1" applyBorder="1"/>
    <xf numFmtId="0" fontId="12" fillId="7" borderId="2" xfId="0" applyFont="1" applyFill="1" applyBorder="1"/>
    <xf numFmtId="0" fontId="12" fillId="0" borderId="2" xfId="0" applyFont="1" applyBorder="1" applyAlignment="1">
      <alignment horizontal="left"/>
    </xf>
    <xf numFmtId="0" fontId="12" fillId="0" borderId="2" xfId="0" applyFont="1" applyBorder="1"/>
    <xf numFmtId="0" fontId="30" fillId="2" borderId="2" xfId="0" applyFont="1" applyFill="1" applyBorder="1"/>
    <xf numFmtId="0" fontId="12" fillId="7" borderId="1" xfId="0" applyFont="1" applyFill="1" applyBorder="1"/>
    <xf numFmtId="165" fontId="12" fillId="15" borderId="2" xfId="0" applyNumberFormat="1" applyFont="1" applyFill="1" applyBorder="1" applyAlignment="1">
      <alignment horizontal="center"/>
    </xf>
    <xf numFmtId="165" fontId="12" fillId="7" borderId="2" xfId="0" applyNumberFormat="1" applyFont="1" applyFill="1" applyBorder="1"/>
    <xf numFmtId="165" fontId="12" fillId="0" borderId="2" xfId="0" applyNumberFormat="1" applyFont="1" applyBorder="1"/>
    <xf numFmtId="164" fontId="31" fillId="0" borderId="2" xfId="0" applyNumberFormat="1" applyFont="1" applyBorder="1"/>
    <xf numFmtId="164" fontId="12" fillId="0" borderId="2" xfId="0" applyNumberFormat="1" applyFont="1" applyBorder="1"/>
    <xf numFmtId="0" fontId="9" fillId="5" borderId="10" xfId="0" applyFont="1" applyFill="1" applyBorder="1"/>
    <xf numFmtId="0" fontId="9" fillId="5" borderId="11" xfId="0" applyFont="1" applyFill="1" applyBorder="1"/>
    <xf numFmtId="0" fontId="9" fillId="5" borderId="12" xfId="0" applyFont="1" applyFill="1" applyBorder="1"/>
    <xf numFmtId="0" fontId="9" fillId="5" borderId="13" xfId="0" applyFont="1" applyFill="1" applyBorder="1"/>
    <xf numFmtId="0" fontId="24" fillId="5" borderId="0" xfId="0" applyFont="1" applyFill="1" applyBorder="1"/>
    <xf numFmtId="0" fontId="9" fillId="5" borderId="0" xfId="0" applyFont="1" applyFill="1" applyBorder="1"/>
    <xf numFmtId="0" fontId="10" fillId="5" borderId="0" xfId="0" applyFont="1" applyFill="1" applyBorder="1"/>
    <xf numFmtId="0" fontId="10" fillId="5" borderId="14" xfId="0" applyFont="1" applyFill="1" applyBorder="1"/>
    <xf numFmtId="0" fontId="9" fillId="5" borderId="14" xfId="0" applyFont="1" applyFill="1" applyBorder="1"/>
    <xf numFmtId="0" fontId="0" fillId="8" borderId="13" xfId="0" applyFill="1" applyBorder="1"/>
    <xf numFmtId="0" fontId="6" fillId="8" borderId="0" xfId="0" applyFont="1" applyFill="1" applyBorder="1"/>
    <xf numFmtId="0" fontId="9" fillId="8" borderId="14" xfId="0" applyFont="1" applyFill="1" applyBorder="1"/>
    <xf numFmtId="0" fontId="0" fillId="8" borderId="13" xfId="0" applyFill="1" applyBorder="1" applyAlignment="1">
      <alignment vertical="center"/>
    </xf>
    <xf numFmtId="0" fontId="8" fillId="6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right"/>
    </xf>
    <xf numFmtId="0" fontId="6" fillId="5" borderId="13" xfId="0" applyFont="1" applyFill="1" applyBorder="1"/>
    <xf numFmtId="0" fontId="6" fillId="5" borderId="14" xfId="0" applyFont="1" applyFill="1" applyBorder="1"/>
    <xf numFmtId="0" fontId="6" fillId="5" borderId="15" xfId="0" applyFont="1" applyFill="1" applyBorder="1" applyAlignment="1">
      <alignment vertical="center"/>
    </xf>
    <xf numFmtId="0" fontId="6" fillId="5" borderId="16" xfId="0" applyFont="1" applyFill="1" applyBorder="1"/>
    <xf numFmtId="0" fontId="7" fillId="5" borderId="16" xfId="0" applyFont="1" applyFill="1" applyBorder="1" applyAlignment="1">
      <alignment horizontal="center"/>
    </xf>
    <xf numFmtId="0" fontId="6" fillId="5" borderId="17" xfId="0" applyFont="1" applyFill="1" applyBorder="1"/>
    <xf numFmtId="0" fontId="32" fillId="0" borderId="0" xfId="13"/>
    <xf numFmtId="0" fontId="33" fillId="0" borderId="0" xfId="0" applyFont="1"/>
    <xf numFmtId="0" fontId="33" fillId="0" borderId="0" xfId="0" applyNumberFormat="1" applyFont="1"/>
    <xf numFmtId="0" fontId="34" fillId="17" borderId="0" xfId="14" applyNumberFormat="1"/>
    <xf numFmtId="0" fontId="12" fillId="13" borderId="11" xfId="0" applyFont="1" applyFill="1" applyBorder="1"/>
    <xf numFmtId="0" fontId="12" fillId="13" borderId="0" xfId="0" applyFont="1" applyFill="1" applyBorder="1"/>
    <xf numFmtId="0" fontId="35" fillId="0" borderId="0" xfId="0" applyFont="1"/>
    <xf numFmtId="0" fontId="35" fillId="0" borderId="0" xfId="0" applyNumberFormat="1" applyFont="1"/>
    <xf numFmtId="0" fontId="12" fillId="13" borderId="16" xfId="0" applyFont="1" applyFill="1" applyBorder="1"/>
    <xf numFmtId="0" fontId="12" fillId="0" borderId="0" xfId="0" applyFont="1"/>
    <xf numFmtId="14" fontId="12" fillId="0" borderId="0" xfId="0" applyNumberFormat="1" applyFont="1"/>
    <xf numFmtId="0" fontId="36" fillId="17" borderId="2" xfId="0" applyFont="1" applyFill="1" applyBorder="1" applyAlignment="1">
      <alignment horizontal="left"/>
    </xf>
    <xf numFmtId="0" fontId="36" fillId="0" borderId="2" xfId="0" applyFont="1" applyFill="1" applyBorder="1" applyAlignment="1">
      <alignment horizontal="left"/>
    </xf>
    <xf numFmtId="0" fontId="9" fillId="7" borderId="3" xfId="9" applyFont="1" applyBorder="1" applyAlignment="1">
      <alignment horizontal="center"/>
    </xf>
    <xf numFmtId="0" fontId="9" fillId="7" borderId="0" xfId="9" applyFont="1" applyAlignment="1">
      <alignment horizontal="center"/>
    </xf>
    <xf numFmtId="0" fontId="9" fillId="7" borderId="4" xfId="9" applyFont="1" applyBorder="1" applyAlignment="1">
      <alignment horizontal="center"/>
    </xf>
    <xf numFmtId="0" fontId="8" fillId="6" borderId="13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27" fillId="2" borderId="3" xfId="7" applyFont="1" applyBorder="1" applyAlignment="1">
      <alignment horizontal="center"/>
    </xf>
    <xf numFmtId="0" fontId="27" fillId="2" borderId="0" xfId="7" applyFont="1" applyAlignment="1">
      <alignment horizontal="center"/>
    </xf>
    <xf numFmtId="0" fontId="27" fillId="2" borderId="4" xfId="7" applyFont="1" applyBorder="1" applyAlignment="1">
      <alignment horizontal="center"/>
    </xf>
    <xf numFmtId="0" fontId="9" fillId="7" borderId="0" xfId="9" applyFont="1" applyBorder="1" applyAlignment="1">
      <alignment horizontal="center"/>
    </xf>
    <xf numFmtId="0" fontId="27" fillId="2" borderId="0" xfId="7" applyFont="1" applyBorder="1" applyAlignment="1">
      <alignment horizontal="center"/>
    </xf>
    <xf numFmtId="0" fontId="23" fillId="5" borderId="0" xfId="0" applyFont="1" applyFill="1" applyBorder="1" applyAlignment="1">
      <alignment horizontal="center" wrapText="1"/>
    </xf>
    <xf numFmtId="0" fontId="22" fillId="5" borderId="0" xfId="0" applyFont="1" applyFill="1" applyBorder="1" applyAlignment="1">
      <alignment horizontal="center" vertical="top"/>
    </xf>
    <xf numFmtId="0" fontId="19" fillId="5" borderId="0" xfId="0" applyFont="1" applyFill="1" applyBorder="1" applyAlignment="1">
      <alignment horizontal="center" vertical="center" wrapText="1"/>
    </xf>
    <xf numFmtId="0" fontId="21" fillId="5" borderId="0" xfId="0" applyFont="1" applyFill="1" applyBorder="1" applyAlignment="1">
      <alignment horizontal="center" vertical="center"/>
    </xf>
    <xf numFmtId="0" fontId="29" fillId="16" borderId="13" xfId="0" applyFont="1" applyFill="1" applyBorder="1" applyAlignment="1">
      <alignment horizontal="center" vertical="center"/>
    </xf>
    <xf numFmtId="0" fontId="29" fillId="16" borderId="0" xfId="0" applyFont="1" applyFill="1" applyBorder="1" applyAlignment="1">
      <alignment horizontal="center" vertical="center"/>
    </xf>
    <xf numFmtId="0" fontId="29" fillId="16" borderId="14" xfId="0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11" fillId="10" borderId="7" xfId="8" applyFont="1" applyFill="1" applyBorder="1" applyAlignment="1">
      <alignment horizontal="center"/>
    </xf>
    <xf numFmtId="0" fontId="11" fillId="10" borderId="8" xfId="8" applyFont="1" applyFill="1" applyBorder="1" applyAlignment="1">
      <alignment horizontal="center"/>
    </xf>
    <xf numFmtId="0" fontId="11" fillId="10" borderId="9" xfId="8" applyFont="1" applyFill="1" applyBorder="1" applyAlignment="1">
      <alignment horizontal="center"/>
    </xf>
    <xf numFmtId="0" fontId="26" fillId="13" borderId="13" xfId="0" applyFont="1" applyFill="1" applyBorder="1" applyAlignment="1">
      <alignment horizontal="center"/>
    </xf>
    <xf numFmtId="0" fontId="26" fillId="13" borderId="0" xfId="0" applyFont="1" applyFill="1" applyBorder="1" applyAlignment="1">
      <alignment horizontal="center"/>
    </xf>
    <xf numFmtId="0" fontId="26" fillId="13" borderId="14" xfId="0" applyFont="1" applyFill="1" applyBorder="1" applyAlignment="1">
      <alignment horizontal="center"/>
    </xf>
  </cellXfs>
  <cellStyles count="15">
    <cellStyle name="20% - Accent4" xfId="9" builtinId="42"/>
    <cellStyle name="Accent1" xfId="12" builtinId="29"/>
    <cellStyle name="Bad" xfId="14" builtinId="27"/>
    <cellStyle name="Calculation" xfId="11" builtinId="22"/>
    <cellStyle name="Comma 2" xfId="3" xr:uid="{00000000-0005-0000-0000-000005000000}"/>
    <cellStyle name="Currency" xfId="6" builtinId="4"/>
    <cellStyle name="Currency 2" xfId="4" xr:uid="{00000000-0005-0000-0000-000006000000}"/>
    <cellStyle name="Good" xfId="7" builtinId="26"/>
    <cellStyle name="Hyperlink" xfId="13" builtinId="8"/>
    <cellStyle name="Neutral 2" xfId="2" xr:uid="{00000000-0005-0000-0000-000009000000}"/>
    <cellStyle name="Normal" xfId="0" builtinId="0"/>
    <cellStyle name="Normal 2" xfId="1" xr:uid="{00000000-0005-0000-0000-00000B000000}"/>
    <cellStyle name="Note" xfId="8" builtinId="10"/>
    <cellStyle name="Note 2" xfId="5" xr:uid="{00000000-0005-0000-0000-00000C000000}"/>
    <cellStyle name="Percent" xfId="10" builtinId="5"/>
  </cellStyles>
  <dxfs count="1245">
    <dxf>
      <font>
        <sz val="11"/>
      </font>
    </dxf>
    <dxf>
      <font>
        <sz val="11"/>
      </font>
    </dxf>
    <dxf>
      <font>
        <sz val="11"/>
      </font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C6EFCE"/>
        </patternFill>
      </fill>
    </dxf>
    <dxf>
      <alignment horizontal="center"/>
    </dxf>
    <dxf>
      <alignment horizontal="center"/>
    </dxf>
    <dxf>
      <fill>
        <patternFill>
          <bgColor theme="7" tint="0.79998168889431442"/>
        </patternFill>
      </fill>
    </dxf>
    <dxf>
      <font>
        <color rgb="FFFF0000"/>
      </font>
    </dxf>
    <dxf>
      <font>
        <color rgb="FFFF9999"/>
      </font>
    </dxf>
    <dxf>
      <fill>
        <patternFill patternType="solid">
          <bgColor rgb="FFFF99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&quot;$&quot;#,##0.00"/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ill>
        <patternFill patternType="solid">
          <bgColor theme="9" tint="0.79998168889431442"/>
        </patternFill>
      </fill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2"/>
      </font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color auto="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name val="Calibri Light"/>
        <scheme val="major"/>
      </font>
    </dxf>
    <dxf>
      <font>
        <sz val="14"/>
      </font>
    </dxf>
    <dxf>
      <font>
        <b/>
      </font>
    </dxf>
    <dxf>
      <font>
        <b/>
        <color rgb="FF9C0006"/>
        <name val="Calibri Light"/>
        <scheme val="major"/>
      </font>
      <fill>
        <patternFill patternType="solid">
          <f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mmm\-yyyy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color auto="1"/>
      </font>
    </dxf>
    <dxf>
      <font>
        <sz val="12"/>
      </font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color theme="0" tint="-4.9989318521683403E-2"/>
      </font>
      <fill>
        <patternFill>
          <fgColor theme="0"/>
          <bgColor theme="0"/>
        </patternFill>
      </fill>
    </dxf>
    <dxf>
      <font>
        <color theme="9" tint="0.59996337778862885"/>
      </font>
      <fill>
        <patternFill>
          <bgColor theme="9" tint="-0.24994659260841701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theme="8" tint="0.39994506668294322"/>
        </patternFill>
      </fill>
    </dxf>
    <dxf>
      <font>
        <strike val="0"/>
        <outline val="0"/>
        <shadow val="0"/>
        <u val="none"/>
        <vertAlign val="baseline"/>
        <sz val="14"/>
      </font>
      <numFmt numFmtId="19" formatCode="m/d/yyyy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ont>
        <sz val="12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5" formatCode="mmm\-yyyy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color rgb="FF9C0006"/>
        <name val="Calibri Light"/>
        <scheme val="major"/>
      </font>
      <fill>
        <patternFill patternType="solid">
          <fgColor rgb="FFFFC7CE"/>
        </patternFill>
      </fill>
    </dxf>
    <dxf>
      <font>
        <b/>
      </font>
    </dxf>
    <dxf>
      <font>
        <sz val="14"/>
      </font>
    </dxf>
    <dxf>
      <font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ill>
        <patternFill patternType="solid">
          <fgColor indexed="65"/>
          <bgColor rgb="FFFFFFCC"/>
        </patternFill>
      </fill>
      <border diagonalUp="0" diagonalDown="0"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font>
        <sz val="12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ill>
        <patternFill patternType="solid">
          <bgColor theme="9" tint="0.79998168889431442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bgColor rgb="FFFF9999"/>
        </patternFill>
      </fill>
    </dxf>
    <dxf>
      <font>
        <color rgb="FFFF9999"/>
      </font>
    </dxf>
    <dxf>
      <font>
        <color rgb="FFFF0000"/>
      </font>
    </dxf>
    <dxf>
      <fill>
        <patternFill>
          <bgColor theme="7" tint="0.79998168889431442"/>
        </patternFill>
      </fill>
    </dxf>
    <dxf>
      <alignment horizontal="center"/>
    </dxf>
    <dxf>
      <alignment horizontal="center"/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C6EFCE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sz val="11"/>
      </font>
    </dxf>
    <dxf>
      <font>
        <sz val="11"/>
      </font>
    </dxf>
    <dxf>
      <font>
        <sz val="11"/>
      </font>
    </dxf>
  </dxfs>
  <tableStyles count="0" defaultTableStyle="TableStyleMedium2" defaultPivotStyle="PivotStyleLight16"/>
  <colors>
    <mruColors>
      <color rgb="FFFF6600"/>
      <color rgb="FF66FFCC"/>
      <color rgb="FFFF66CC"/>
      <color rgb="FFFF99CC"/>
      <color rgb="FFFF9999"/>
      <color rgb="FF808A4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tx1"/>
                </a:solidFill>
                <a:latin typeface="Comic Sans MS" panose="030F0702030302020204" pitchFamily="66" charset="0"/>
              </a:rPr>
              <a:t>The 'Good Coffee' Club</a:t>
            </a:r>
          </a:p>
        </c:rich>
      </c:tx>
      <c:layout>
        <c:manualLayout>
          <c:xMode val="edge"/>
          <c:yMode val="edge"/>
          <c:x val="0.16202244203713831"/>
          <c:y val="3.413749905254736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41765547368255E-2"/>
          <c:y val="0.1324002835042381"/>
          <c:w val="0.86246574738703863"/>
          <c:h val="0.70653854392289483"/>
        </c:manualLayout>
      </c:layout>
      <c:lineChart>
        <c:grouping val="standard"/>
        <c:varyColors val="0"/>
        <c:ser>
          <c:idx val="0"/>
          <c:order val="1"/>
          <c:tx>
            <c:v>Expenses</c:v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diamond"/>
            <c:size val="8"/>
            <c:spPr>
              <a:solidFill>
                <a:schemeClr val="accent1"/>
              </a:solidFill>
              <a:ln w="38100">
                <a:solidFill>
                  <a:srgbClr val="FF0000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Pivot!$B$8:$O$8</c15:sqref>
                  </c15:fullRef>
                </c:ext>
              </c:extLst>
              <c:f>(Pivot!$B$8:$M$8,Pivot!$O$8)</c:f>
              <c:strCache>
                <c:ptCount val="13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Oct</c:v>
                </c:pt>
                <c:pt idx="12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Pivot!$B$5:$N$5</c15:sqref>
                  </c15:fullRef>
                </c:ext>
              </c:extLst>
              <c:f>Pivot!$B$5:$M$5</c:f>
              <c:numCache>
                <c:formatCode>"$"#,##0.00</c:formatCode>
                <c:ptCount val="12"/>
                <c:pt idx="0">
                  <c:v>169.07</c:v>
                </c:pt>
                <c:pt idx="1">
                  <c:v>72.09</c:v>
                </c:pt>
                <c:pt idx="2">
                  <c:v>126.72999999999999</c:v>
                </c:pt>
                <c:pt idx="3">
                  <c:v>190.23999999999998</c:v>
                </c:pt>
                <c:pt idx="4">
                  <c:v>156.20999999999998</c:v>
                </c:pt>
                <c:pt idx="5">
                  <c:v>50.1</c:v>
                </c:pt>
                <c:pt idx="6">
                  <c:v>179.98</c:v>
                </c:pt>
                <c:pt idx="7">
                  <c:v>147.63</c:v>
                </c:pt>
                <c:pt idx="8">
                  <c:v>76.939999999999984</c:v>
                </c:pt>
                <c:pt idx="9">
                  <c:v>97.52</c:v>
                </c:pt>
                <c:pt idx="10">
                  <c:v>147.03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BA-40F1-AC3D-71172D556C42}"/>
            </c:ext>
          </c:extLst>
        </c:ser>
        <c:ser>
          <c:idx val="3"/>
          <c:order val="2"/>
          <c:tx>
            <c:strRef>
              <c:f>Pivot!$A$20</c:f>
              <c:strCache>
                <c:ptCount val="1"/>
                <c:pt idx="0">
                  <c:v>Piggy Bank $ </c:v>
                </c:pt>
              </c:strCache>
            </c:strRef>
          </c:tx>
          <c:spPr>
            <a:ln w="50800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tx1"/>
              </a:solidFill>
              <a:ln w="603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extLst>
                <c:ext xmlns:c15="http://schemas.microsoft.com/office/drawing/2012/chart" uri="{02D57815-91ED-43cb-92C2-25804820EDAC}">
                  <c15:fullRef>
                    <c15:sqref>Pivot!$B$18:$O$19</c15:sqref>
                  </c15:fullRef>
                </c:ext>
              </c:extLst>
              <c:f>Pivot!$B$18:$O$19</c:f>
              <c:multiLvlStrCache>
                <c:ptCount val="13"/>
                <c:lvl>
                  <c:pt idx="0">
                    <c:v>Nov</c:v>
                  </c:pt>
                  <c:pt idx="1">
                    <c:v>Dec</c:v>
                  </c:pt>
                  <c:pt idx="2">
                    <c:v>Jan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Apr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  <c:pt idx="9">
                    <c:v>Aug</c:v>
                  </c:pt>
                  <c:pt idx="10">
                    <c:v>Sep</c:v>
                  </c:pt>
                  <c:pt idx="11">
                    <c:v>Oct</c:v>
                  </c:pt>
                  <c:pt idx="12">
                    <c:v>Dec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Pivot!$B$20:$N$20</c15:sqref>
                  </c15:fullRef>
                </c:ext>
              </c:extLst>
              <c:f>Pivot!$B$20:$M$20</c:f>
              <c:numCache>
                <c:formatCode>"$"#,##0.00</c:formatCode>
                <c:ptCount val="12"/>
                <c:pt idx="0">
                  <c:v>18.52</c:v>
                </c:pt>
                <c:pt idx="1">
                  <c:v>11.91</c:v>
                </c:pt>
                <c:pt idx="2">
                  <c:v>13.110000000000001</c:v>
                </c:pt>
                <c:pt idx="3">
                  <c:v>14.350000000000001</c:v>
                </c:pt>
                <c:pt idx="4">
                  <c:v>18.740000000000002</c:v>
                </c:pt>
                <c:pt idx="5">
                  <c:v>20.2</c:v>
                </c:pt>
                <c:pt idx="6">
                  <c:v>19.75</c:v>
                </c:pt>
                <c:pt idx="7">
                  <c:v>7.95</c:v>
                </c:pt>
                <c:pt idx="8">
                  <c:v>15.1</c:v>
                </c:pt>
                <c:pt idx="9">
                  <c:v>8.26</c:v>
                </c:pt>
                <c:pt idx="10">
                  <c:v>14.3</c:v>
                </c:pt>
                <c:pt idx="11">
                  <c:v>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BA-40F1-AC3D-71172D556C42}"/>
            </c:ext>
          </c:extLst>
        </c:ser>
        <c:ser>
          <c:idx val="1"/>
          <c:order val="3"/>
          <c:tx>
            <c:v>Total Income</c:v>
          </c:tx>
          <c:spPr>
            <a:ln w="25400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multiLvlStrRef>
              <c:extLst>
                <c:ext xmlns:c15="http://schemas.microsoft.com/office/drawing/2012/chart" uri="{02D57815-91ED-43cb-92C2-25804820EDAC}">
                  <c15:fullRef>
                    <c15:sqref>Pivot!$B$18:$O$19</c15:sqref>
                  </c15:fullRef>
                </c:ext>
              </c:extLst>
              <c:f>Pivot!$B$18:$O$19</c:f>
              <c:multiLvlStrCache>
                <c:ptCount val="13"/>
                <c:lvl>
                  <c:pt idx="0">
                    <c:v>Nov</c:v>
                  </c:pt>
                  <c:pt idx="1">
                    <c:v>Dec</c:v>
                  </c:pt>
                  <c:pt idx="2">
                    <c:v>Jan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Apr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  <c:pt idx="9">
                    <c:v>Aug</c:v>
                  </c:pt>
                  <c:pt idx="10">
                    <c:v>Sep</c:v>
                  </c:pt>
                  <c:pt idx="11">
                    <c:v>Oct</c:v>
                  </c:pt>
                  <c:pt idx="12">
                    <c:v>Dec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Pivot!$B$4:$N$4</c15:sqref>
                  </c15:fullRef>
                </c:ext>
              </c:extLst>
              <c:f>Pivot!$B$4:$M$4</c:f>
              <c:numCache>
                <c:formatCode>"$"#,##0.00</c:formatCode>
                <c:ptCount val="12"/>
                <c:pt idx="0">
                  <c:v>123.521</c:v>
                </c:pt>
                <c:pt idx="1">
                  <c:v>116.911</c:v>
                </c:pt>
                <c:pt idx="2">
                  <c:v>118.111</c:v>
                </c:pt>
                <c:pt idx="3">
                  <c:v>119.351</c:v>
                </c:pt>
                <c:pt idx="4">
                  <c:v>123.74100000000001</c:v>
                </c:pt>
                <c:pt idx="5">
                  <c:v>125.20100000000001</c:v>
                </c:pt>
                <c:pt idx="6">
                  <c:v>124.751</c:v>
                </c:pt>
                <c:pt idx="7">
                  <c:v>108.95100000000001</c:v>
                </c:pt>
                <c:pt idx="8">
                  <c:v>115.101</c:v>
                </c:pt>
                <c:pt idx="9">
                  <c:v>108.261</c:v>
                </c:pt>
                <c:pt idx="10">
                  <c:v>129.30099999999999</c:v>
                </c:pt>
                <c:pt idx="11">
                  <c:v>109.251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BA-40F1-AC3D-71172D556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128080"/>
        <c:axId val="196128640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v>Change in Reserves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ullRef>
                          <c15:sqref>Pivot!$B$18:$O$19</c15:sqref>
                        </c15:fullRef>
                        <c15:formulaRef>
                          <c15:sqref>Pivot!$B$18:$O$19</c15:sqref>
                        </c15:formulaRef>
                      </c:ext>
                    </c:extLst>
                    <c:multiLvlStrCache>
                      <c:ptCount val="13"/>
                      <c:lvl>
                        <c:pt idx="0">
                          <c:v>Nov</c:v>
                        </c:pt>
                        <c:pt idx="1">
                          <c:v>Dec</c:v>
                        </c:pt>
                        <c:pt idx="2">
                          <c:v>Jan</c:v>
                        </c:pt>
                        <c:pt idx="3">
                          <c:v>Feb</c:v>
                        </c:pt>
                        <c:pt idx="4">
                          <c:v>Mar</c:v>
                        </c:pt>
                        <c:pt idx="5">
                          <c:v>Apr</c:v>
                        </c:pt>
                        <c:pt idx="6">
                          <c:v>May</c:v>
                        </c:pt>
                        <c:pt idx="7">
                          <c:v>Jun</c:v>
                        </c:pt>
                        <c:pt idx="8">
                          <c:v>Jul</c:v>
                        </c:pt>
                        <c:pt idx="9">
                          <c:v>Aug</c:v>
                        </c:pt>
                        <c:pt idx="10">
                          <c:v>Sep</c:v>
                        </c:pt>
                        <c:pt idx="11">
                          <c:v>Oct</c:v>
                        </c:pt>
                        <c:pt idx="12">
                          <c:v>Dec</c:v>
                        </c:pt>
                      </c:lvl>
                      <c:lvl>
                        <c:pt idx="0">
                          <c:v>2018</c:v>
                        </c:pt>
                        <c:pt idx="2">
                          <c:v>2019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Pivot!$B$3:$N$3</c15:sqref>
                        </c15:fullRef>
                        <c15:formulaRef>
                          <c15:sqref>Pivot!$B$3:$M$3</c15:sqref>
                        </c15:formulaRef>
                      </c:ext>
                    </c:extLst>
                    <c:numCache>
                      <c:formatCode>"$"#,##0.00</c:formatCode>
                      <c:ptCount val="12"/>
                      <c:pt idx="0">
                        <c:v>-190.54899999999998</c:v>
                      </c:pt>
                      <c:pt idx="1">
                        <c:v>44.820999999999998</c:v>
                      </c:pt>
                      <c:pt idx="2">
                        <c:v>-8.6189999999999856</c:v>
                      </c:pt>
                      <c:pt idx="3">
                        <c:v>-70.888999999999982</c:v>
                      </c:pt>
                      <c:pt idx="4">
                        <c:v>-32.468999999999966</c:v>
                      </c:pt>
                      <c:pt idx="5">
                        <c:v>75.100999999999999</c:v>
                      </c:pt>
                      <c:pt idx="6">
                        <c:v>-55.228999999999985</c:v>
                      </c:pt>
                      <c:pt idx="7">
                        <c:v>-38.678999999999988</c:v>
                      </c:pt>
                      <c:pt idx="8">
                        <c:v>38.161000000000016</c:v>
                      </c:pt>
                      <c:pt idx="9">
                        <c:v>10.741</c:v>
                      </c:pt>
                      <c:pt idx="10">
                        <c:v>-17.729000000000013</c:v>
                      </c:pt>
                      <c:pt idx="11">
                        <c:v>101.251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9BA-40F1-AC3D-71172D556C42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4"/>
          <c:order val="4"/>
          <c:tx>
            <c:v>Members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4">
                  <a:lumMod val="40000"/>
                  <a:lumOff val="60000"/>
                </a:schemeClr>
              </a:solidFill>
              <a:ln cap="rnd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  <a:scene3d>
                <a:camera prst="orthographicFront"/>
                <a:lightRig rig="threePt" dir="t"/>
              </a:scene3d>
              <a:sp3d>
                <a:bevelB prst="angle"/>
              </a:sp3d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Pivot!$B$8:$O$8</c15:sqref>
                  </c15:fullRef>
                </c:ext>
              </c:extLst>
              <c:f>(Pivot!$B$8:$M$8,Pivot!$O$8)</c:f>
              <c:strCache>
                <c:ptCount val="13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Oct</c:v>
                </c:pt>
                <c:pt idx="12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Pivot!$B$2:$N$2</c15:sqref>
                  </c15:fullRef>
                </c:ext>
              </c:extLst>
              <c:f>Pivot!$B$2:$M$2</c:f>
              <c:numCache>
                <c:formatCode>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27</c:v>
                </c:pt>
                <c:pt idx="6">
                  <c:v>25</c:v>
                </c:pt>
                <c:pt idx="7">
                  <c:v>25</c:v>
                </c:pt>
                <c:pt idx="8">
                  <c:v>22</c:v>
                </c:pt>
                <c:pt idx="9">
                  <c:v>21</c:v>
                </c:pt>
                <c:pt idx="10">
                  <c:v>24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4-423A-99F9-DE7DF1B68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758232"/>
        <c:axId val="719277456"/>
      </c:lineChart>
      <c:catAx>
        <c:axId val="19612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1" i="0" u="none" strike="noStrike" kern="1200" baseline="0">
                <a:ln w="3175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8640"/>
        <c:crosses val="autoZero"/>
        <c:auto val="1"/>
        <c:lblAlgn val="ctr"/>
        <c:lblOffset val="100"/>
        <c:noMultiLvlLbl val="0"/>
      </c:catAx>
      <c:valAx>
        <c:axId val="196128640"/>
        <c:scaling>
          <c:orientation val="minMax"/>
          <c:max val="2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8080"/>
        <c:crosses val="autoZero"/>
        <c:crossBetween val="between"/>
        <c:majorUnit val="25"/>
      </c:valAx>
      <c:valAx>
        <c:axId val="719277456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accent6">
                        <a:lumMod val="60000"/>
                        <a:lumOff val="40000"/>
                      </a:schemeClr>
                    </a:solidFill>
                  </a:rPr>
                  <a:t>Members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6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4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758232"/>
        <c:crosses val="max"/>
        <c:crossBetween val="between"/>
      </c:valAx>
      <c:catAx>
        <c:axId val="1120758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9277456"/>
        <c:crosses val="autoZero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ysClr val="windowText" lastClr="000000">
              <a:lumMod val="25000"/>
              <a:lumOff val="75000"/>
            </a:sysClr>
          </a:solidFill>
        </a:ln>
        <a:effectLst/>
      </c:spPr>
    </c:plotArea>
    <c:legend>
      <c:legendPos val="b"/>
      <c:layout>
        <c:manualLayout>
          <c:xMode val="edge"/>
          <c:yMode val="edge"/>
          <c:x val="0.14315583166655088"/>
          <c:y val="0.91799778485996864"/>
          <c:w val="0.5476588344868043"/>
          <c:h val="3.5659502120711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4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940712973317854E-2"/>
          <c:y val="2.2955829547670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95799235216969"/>
          <c:y val="0.2464798987662899"/>
          <c:w val="0.66974907531059935"/>
          <c:h val="0.51996913843244397"/>
        </c:manualLayout>
      </c:layout>
      <c:pieChart>
        <c:varyColors val="1"/>
        <c:ser>
          <c:idx val="0"/>
          <c:order val="0"/>
          <c:tx>
            <c:v>Expense Breakdown for the Month</c:v>
          </c:tx>
          <c:spPr>
            <a:ln>
              <a:solidFill>
                <a:schemeClr val="accent1"/>
              </a:solidFill>
            </a:ln>
          </c:spPr>
          <c:explosion val="5"/>
          <c:dPt>
            <c:idx val="0"/>
            <c:bubble3D val="0"/>
            <c:explosion val="2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01-4427-B66E-C5B7E6E61E1C}"/>
              </c:ext>
            </c:extLst>
          </c:dPt>
          <c:dPt>
            <c:idx val="1"/>
            <c:bubble3D val="0"/>
            <c:explosion val="2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01-4427-B66E-C5B7E6E61E1C}"/>
              </c:ext>
            </c:extLst>
          </c:dPt>
          <c:dPt>
            <c:idx val="2"/>
            <c:bubble3D val="0"/>
            <c:explosion val="11"/>
            <c:spPr>
              <a:solidFill>
                <a:schemeClr val="bg1"/>
              </a:solidFill>
              <a:ln w="19050">
                <a:solidFill>
                  <a:schemeClr val="bg2">
                    <a:lumMod val="9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901-4427-B66E-C5B7E6E61E1C}"/>
              </c:ext>
            </c:extLst>
          </c:dPt>
          <c:dPt>
            <c:idx val="3"/>
            <c:bubble3D val="0"/>
            <c:explosion val="3"/>
            <c:spPr>
              <a:solidFill>
                <a:srgbClr val="808A40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901-4427-B66E-C5B7E6E61E1C}"/>
              </c:ext>
            </c:extLst>
          </c:dPt>
          <c:dPt>
            <c:idx val="4"/>
            <c:bubble3D val="0"/>
            <c:explosion val="9"/>
            <c:spPr>
              <a:solidFill>
                <a:schemeClr val="accent5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901-4427-B66E-C5B7E6E61E1C}"/>
              </c:ext>
            </c:extLst>
          </c:dPt>
          <c:dLbls>
            <c:dLbl>
              <c:idx val="0"/>
              <c:layout>
                <c:manualLayout>
                  <c:x val="-3.7055319550343198E-2"/>
                  <c:y val="0.45362921499371717"/>
                </c:manualLayout>
              </c:layout>
              <c:spPr>
                <a:xfrm>
                  <a:off x="2334000" y="3183315"/>
                  <a:ext cx="838703" cy="800582"/>
                </a:xfrm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EllipseCallout">
                      <a:avLst>
                        <a:gd name="adj1" fmla="val -47905"/>
                        <a:gd name="adj2" fmla="val -146781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3835993685069107"/>
                      <c:h val="0.186535366675124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901-4427-B66E-C5B7E6E61E1C}"/>
                </c:ext>
              </c:extLst>
            </c:dLbl>
            <c:dLbl>
              <c:idx val="1"/>
              <c:layout>
                <c:manualLayout>
                  <c:x val="-6.1575653695134153E-2"/>
                  <c:y val="0.1524833923638074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01-4427-B66E-C5B7E6E61E1C}"/>
                </c:ext>
              </c:extLst>
            </c:dLbl>
            <c:dLbl>
              <c:idx val="2"/>
              <c:layout>
                <c:manualLayout>
                  <c:x val="-7.8369798601450297E-2"/>
                  <c:y val="0.2027404958839437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319686981778495"/>
                      <c:h val="0.194800107086632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901-4427-B66E-C5B7E6E61E1C}"/>
                </c:ext>
              </c:extLst>
            </c:dLbl>
            <c:dLbl>
              <c:idx val="3"/>
              <c:layout>
                <c:manualLayout>
                  <c:x val="-3.175156914096193E-2"/>
                  <c:y val="1.692824378106323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603230789124789"/>
                      <c:h val="0.187736946133498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901-4427-B66E-C5B7E6E61E1C}"/>
                </c:ext>
              </c:extLst>
            </c:dLbl>
            <c:dLbl>
              <c:idx val="4"/>
              <c:layout>
                <c:manualLayout>
                  <c:x val="0.40513715994078608"/>
                  <c:y val="3.0192334263235133E-2"/>
                </c:manualLayout>
              </c:layout>
              <c:spPr>
                <a:xfrm>
                  <a:off x="2621416" y="129581"/>
                  <a:ext cx="1101760" cy="1099834"/>
                </a:xfrm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EllipseCallout">
                      <a:avLst>
                        <a:gd name="adj1" fmla="val -120582"/>
                        <a:gd name="adj2" fmla="val 34258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9525484952304082"/>
                      <c:h val="0.256260993217145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901-4427-B66E-C5B7E6E61E1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Pivot!$Y$10:$Y$14</c:f>
              <c:numCache>
                <c:formatCode>General</c:formatCode>
                <c:ptCount val="5"/>
              </c:numCache>
            </c:numRef>
          </c:cat>
          <c:val>
            <c:numRef>
              <c:f>Pivot!$Z$10:$Z$14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901-4427-B66E-C5B7E6E61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2031321</xdr:colOff>
      <xdr:row>20</xdr:row>
      <xdr:rowOff>0</xdr:rowOff>
    </xdr:from>
    <xdr:to>
      <xdr:col>12</xdr:col>
      <xdr:colOff>28575</xdr:colOff>
      <xdr:row>44</xdr:row>
      <xdr:rowOff>8659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240756</xdr:colOff>
      <xdr:row>4</xdr:row>
      <xdr:rowOff>145677</xdr:rowOff>
    </xdr:from>
    <xdr:to>
      <xdr:col>29</xdr:col>
      <xdr:colOff>235325</xdr:colOff>
      <xdr:row>7</xdr:row>
      <xdr:rowOff>108833</xdr:rowOff>
    </xdr:to>
    <xdr:sp macro="" textlink="">
      <xdr:nvSpPr>
        <xdr:cNvPr id="3" name="Thought Bubble: Clou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187227" y="952501"/>
          <a:ext cx="1148774" cy="568273"/>
        </a:xfrm>
        <a:prstGeom prst="cloudCallout">
          <a:avLst>
            <a:gd name="adj1" fmla="val -7109"/>
            <a:gd name="adj2" fmla="val -185888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0000"/>
              </a:solidFill>
            </a:rPr>
            <a:t>Free Dec Dues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428625</xdr:colOff>
          <xdr:row>0</xdr:row>
          <xdr:rowOff>0</xdr:rowOff>
        </xdr:from>
        <xdr:to>
          <xdr:col>13</xdr:col>
          <xdr:colOff>419100</xdr:colOff>
          <xdr:row>3</xdr:row>
          <xdr:rowOff>38100</xdr:rowOff>
        </xdr:to>
        <xdr:sp macro="" textlink="">
          <xdr:nvSpPr>
            <xdr:cNvPr id="4097" name="UpdateDateRange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0.81774</cdr:x>
      <cdr:y>0.04647</cdr:y>
    </cdr:from>
    <cdr:to>
      <cdr:x>0.9268</cdr:x>
      <cdr:y>0.09665</cdr:y>
    </cdr:to>
    <cdr:sp macro="" textlink="Pivot!$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5D41BC-B07F-4324-9288-B4CA3C4BB45D}"/>
            </a:ext>
          </a:extLst>
        </cdr:cNvPr>
        <cdr:cNvSpPr txBox="1"/>
      </cdr:nvSpPr>
      <cdr:spPr>
        <a:xfrm xmlns:a="http://schemas.openxmlformats.org/drawingml/2006/main">
          <a:off x="6301714" y="238576"/>
          <a:ext cx="840451" cy="2576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81156C7-6FEC-4BCD-8BA0-3D4BEBAD9203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$415.85</a:t>
          </a:fld>
          <a:endParaRPr lang="en-US" sz="1200"/>
        </a:p>
      </cdr:txBody>
    </cdr:sp>
  </cdr:relSizeAnchor>
  <cdr:relSizeAnchor xmlns:cdr="http://schemas.openxmlformats.org/drawingml/2006/chartDrawing">
    <cdr:from>
      <cdr:x>0.70295</cdr:x>
      <cdr:y>0.04647</cdr:y>
    </cdr:from>
    <cdr:to>
      <cdr:x>0.90151</cdr:x>
      <cdr:y>0.10122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F05B866-3973-4240-9727-695D671A8500}"/>
            </a:ext>
          </a:extLst>
        </cdr:cNvPr>
        <cdr:cNvSpPr txBox="1"/>
      </cdr:nvSpPr>
      <cdr:spPr>
        <a:xfrm xmlns:a="http://schemas.openxmlformats.org/drawingml/2006/main">
          <a:off x="5933061" y="275278"/>
          <a:ext cx="1675898" cy="3243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Reserves =</a:t>
          </a:r>
        </a:p>
      </cdr:txBody>
    </cdr:sp>
  </cdr:relSizeAnchor>
  <cdr:relSizeAnchor xmlns:cdr="http://schemas.openxmlformats.org/drawingml/2006/chartDrawing">
    <cdr:from>
      <cdr:x>0.81419</cdr:x>
      <cdr:y>0</cdr:y>
    </cdr:from>
    <cdr:to>
      <cdr:x>0.91993</cdr:x>
      <cdr:y>0.06411</cdr:y>
    </cdr:to>
    <cdr:sp macro="" textlink="Pivot!$G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70F882DA-8513-4846-B508-8B7B3A06B4D8}"/>
            </a:ext>
          </a:extLst>
        </cdr:cNvPr>
        <cdr:cNvSpPr txBox="1"/>
      </cdr:nvSpPr>
      <cdr:spPr>
        <a:xfrm xmlns:a="http://schemas.openxmlformats.org/drawingml/2006/main">
          <a:off x="6274332" y="0"/>
          <a:ext cx="814915" cy="3291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69B45FF-891D-485C-B66B-9F949A7A7F44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 $90.01 </a:t>
          </a:fld>
          <a:endParaRPr lang="en-US" sz="1200"/>
        </a:p>
      </cdr:txBody>
    </cdr:sp>
  </cdr:relSizeAnchor>
  <cdr:relSizeAnchor xmlns:cdr="http://schemas.openxmlformats.org/drawingml/2006/chartDrawing">
    <cdr:from>
      <cdr:x>0.66037</cdr:x>
      <cdr:y>0.00227</cdr:y>
    </cdr:from>
    <cdr:to>
      <cdr:x>0.90664</cdr:x>
      <cdr:y>0.0538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DFCF9245-4255-4FEF-89F7-6E89361021EA}"/>
            </a:ext>
          </a:extLst>
        </cdr:cNvPr>
        <cdr:cNvSpPr txBox="1"/>
      </cdr:nvSpPr>
      <cdr:spPr>
        <a:xfrm xmlns:a="http://schemas.openxmlformats.org/drawingml/2006/main">
          <a:off x="5573675" y="13447"/>
          <a:ext cx="2078579" cy="305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PrePaid Dues =</a:t>
          </a:r>
        </a:p>
      </cdr:txBody>
    </cdr:sp>
  </cdr:relSizeAnchor>
  <cdr:relSizeAnchor xmlns:cdr="http://schemas.openxmlformats.org/drawingml/2006/chartDrawing">
    <cdr:from>
      <cdr:x>0.73375</cdr:x>
      <cdr:y>0.91553</cdr:y>
    </cdr:from>
    <cdr:to>
      <cdr:x>0.8609</cdr:x>
      <cdr:y>0.94531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87CADD1D-7EAC-4806-A8DD-D3A65D62CE98}"/>
            </a:ext>
          </a:extLst>
        </cdr:cNvPr>
        <cdr:cNvSpPr txBox="1"/>
      </cdr:nvSpPr>
      <cdr:spPr>
        <a:xfrm xmlns:a="http://schemas.openxmlformats.org/drawingml/2006/main">
          <a:off x="7565982" y="5513294"/>
          <a:ext cx="1311088" cy="1792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/>
            <a:t>Members</a:t>
          </a:r>
        </a:p>
      </cdr:txBody>
    </cdr:sp>
  </cdr:relSizeAnchor>
  <cdr:relSizeAnchor xmlns:cdr="http://schemas.openxmlformats.org/drawingml/2006/chartDrawing">
    <cdr:from>
      <cdr:x>0.69505</cdr:x>
      <cdr:y>0.91361</cdr:y>
    </cdr:from>
    <cdr:to>
      <cdr:x>0.73091</cdr:x>
      <cdr:y>0.97235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BCBE1646-D3CC-4B39-9372-ADEDFFDF558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45088" y="4740088"/>
          <a:ext cx="342857" cy="304762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86177</xdr:colOff>
      <xdr:row>15</xdr:row>
      <xdr:rowOff>46435</xdr:rowOff>
    </xdr:from>
    <xdr:to>
      <xdr:col>22</xdr:col>
      <xdr:colOff>226786</xdr:colOff>
      <xdr:row>19</xdr:row>
      <xdr:rowOff>10207</xdr:rowOff>
    </xdr:to>
    <xdr:pic>
      <xdr:nvPicPr>
        <xdr:cNvPr id="4" name="Picture 1" descr="C:\Documents and Settings\krodberg\Local Settings\Temporary Internet Files\Content.IE5\CWW89D10\MC900139595[1].wmf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FFFFFF">
              <a:tint val="45000"/>
              <a:satMod val="400000"/>
            </a:srgbClr>
          </a:duotone>
        </a:blip>
        <a:srcRect/>
        <a:stretch>
          <a:fillRect/>
        </a:stretch>
      </xdr:blipFill>
      <xdr:spPr bwMode="auto">
        <a:xfrm>
          <a:off x="290284" y="7779828"/>
          <a:ext cx="765176" cy="949475"/>
        </a:xfrm>
        <a:prstGeom prst="rect">
          <a:avLst/>
        </a:prstGeom>
        <a:noFill/>
      </xdr:spPr>
    </xdr:pic>
    <xdr:clientData/>
  </xdr:twoCellAnchor>
  <xdr:twoCellAnchor>
    <xdr:from>
      <xdr:col>19</xdr:col>
      <xdr:colOff>-1</xdr:colOff>
      <xdr:row>0</xdr:row>
      <xdr:rowOff>44825</xdr:rowOff>
    </xdr:from>
    <xdr:to>
      <xdr:col>31</xdr:col>
      <xdr:colOff>22412</xdr:colOff>
      <xdr:row>5</xdr:row>
      <xdr:rowOff>78441</xdr:rowOff>
    </xdr:to>
    <xdr:sp macro="" textlink="">
      <xdr:nvSpPr>
        <xdr:cNvPr id="2" name="Clou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754470" y="44825"/>
          <a:ext cx="8292354" cy="1243851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rgbClr val="FF0000"/>
              </a:solidFill>
            </a:rPr>
            <a:t>Please make sure Y: is mapped to:</a:t>
          </a:r>
        </a:p>
        <a:p>
          <a:pPr algn="ctr"/>
          <a:r>
            <a:rPr lang="en-US" sz="1400"/>
            <a:t>	</a:t>
          </a:r>
          <a:r>
            <a:rPr lang="en-US" sz="1400">
              <a:solidFill>
                <a:schemeClr val="accent1"/>
              </a:solidFill>
            </a:rPr>
            <a:t>\\ad.sfwmd.gov\dfsroot\data\wsd\SUP</a:t>
          </a:r>
        </a:p>
        <a:p>
          <a:pPr algn="ctr"/>
          <a:r>
            <a:rPr lang="en-US" sz="1600">
              <a:solidFill>
                <a:srgbClr val="FF0000"/>
              </a:solidFill>
            </a:rPr>
            <a:t>or script will not run.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25</xdr:row>
          <xdr:rowOff>9525</xdr:rowOff>
        </xdr:from>
        <xdr:to>
          <xdr:col>23</xdr:col>
          <xdr:colOff>171450</xdr:colOff>
          <xdr:row>27</xdr:row>
          <xdr:rowOff>133350</xdr:rowOff>
        </xdr:to>
        <xdr:sp macro="" textlink="">
          <xdr:nvSpPr>
            <xdr:cNvPr id="2052" name="RefreshTableQue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25</xdr:col>
      <xdr:colOff>313767</xdr:colOff>
      <xdr:row>8</xdr:row>
      <xdr:rowOff>11207</xdr:rowOff>
    </xdr:from>
    <xdr:to>
      <xdr:col>31</xdr:col>
      <xdr:colOff>313765</xdr:colOff>
      <xdr:row>25</xdr:row>
      <xdr:rowOff>179293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odberg, Kevin" id="{39DA3125-DD15-42FD-84FF-095A683381A1}" userId="S::krodberg@sfwmd.gov::771f2123-7b0d-42d3-8b7e-b8276d0e3ae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berg, Kevin" refreshedDate="43742.315068518517" createdVersion="6" refreshedVersion="6" minRefreshableVersion="3" recordCount="6190" xr:uid="{00000000-000A-0000-FFFF-FFFF07000000}">
  <cacheSource type="worksheet">
    <worksheetSource ref="A1:E1048576" sheet="LineItems"/>
  </cacheSource>
  <cacheFields count="6">
    <cacheField name="Name" numFmtId="0">
      <sharedItems containsBlank="1" count="111">
        <s v="Coffee"/>
        <s v="Creamer"/>
        <s v="Alleman"/>
        <s v="Anderson"/>
        <s v="Barnes"/>
        <s v="Blank"/>
        <s v="Brion"/>
        <s v="Cadavid"/>
        <s v="Hyink"/>
        <s v="Mallinger, Gregg"/>
        <s v="Ammon"/>
        <s v="Arrieta"/>
        <s v="Bousquin, Steve"/>
        <s v="Sugar and Sweetener"/>
        <s v="Barta"/>
        <s v="Piggy Bank $ "/>
        <s v="Costco, Coffee Stirs, Filters, etc."/>
        <s v="Akpoji, Ashi"/>
        <s v="Obeysekera, Jayantha"/>
        <s v="Ali"/>
        <s v="Tea"/>
        <s v="Bennett, M"/>
        <s v="Bologna"/>
        <s v="Trimble, Paul"/>
        <s v="Aholu, Isaac"/>
        <s v="Warner, Michael"/>
        <s v="Butler"/>
        <s v="Ostrovsky, Moysey"/>
        <s v="Bevier"/>
        <s v="Burwick"/>
        <s v="Hall, Wm"/>
        <s v="Bhuma"/>
        <s v="Janzen, John"/>
        <s v="Rodrigues, Jesus"/>
        <s v="Bucca"/>
        <s v="Oblaczynski"/>
        <s v="Noorjahan"/>
        <s v="Harris"/>
        <s v="Persaud, Sham"/>
        <s v="Yonick, Al"/>
        <s v="Mulliken, John"/>
        <s v="Rodberg, Kevin"/>
        <s v="Fleisman"/>
        <s v="Fruit, Ken"/>
        <s v="VanArman, Joel"/>
        <s v="Welter"/>
        <s v="Diaz, Miguel"/>
        <s v="Bailey, Brad"/>
        <s v="Brossel, Eli"/>
        <s v="Godin, Jason"/>
        <s v="Nagakar, Amit"/>
        <s v="Bucca, Jane"/>
        <s v="Ahmed, Aziz"/>
        <s v="Braun, Rod"/>
        <s v="Morgan, John"/>
        <s v="Pemmargju"/>
        <s v="Lutter"/>
        <s v="Miller, Ian"/>
        <s v="Naiksatam"/>
        <s v="Chimote,Sameer"/>
        <s v="Clark"/>
        <s v="Pemmaraju, Madhu"/>
        <s v="Vasavan, Sajeev"/>
        <s v="Kher"/>
        <s v="Santagnelo, Jenna"/>
        <s v="Mungara, Raj"/>
        <s v="Grein, Rachelle"/>
        <s v="Tanguturi, Venkata"/>
        <s v="Lachireddy, Srikanth"/>
        <s v="Bowes, Cindy"/>
        <s v="Diaz, Orlando"/>
        <s v="Ibsen, Bonnie"/>
        <s v="James, Richard (Tom)"/>
        <s v="Sklar, Fred"/>
        <s v="Yan, Yao"/>
        <s v="Zamorano, Felipe "/>
        <s v="Dabral, Sandeep"/>
        <s v="Balmuri, Srini"/>
        <s v="Crandall, James"/>
        <s v="Rosecrans, Trevor"/>
        <s v="Zhao, Hongying"/>
        <s v="Sawyer, Charles"/>
        <s v="Schwartz, Larry"/>
        <s v="Graulau-Santiago, Jaime"/>
        <s v="Ramnath, Ravindranath"/>
        <s v="Zheng, Fawen"/>
        <s v="White, Cary"/>
        <s v="Shaw, Jon"/>
        <s v="Botta, Richard"/>
        <s v="Earle, Robert"/>
        <s v="Lindstrom, Linda"/>
        <s v="Chen, Zhiqiang"/>
        <s v="East, Therese"/>
        <s v="Medellin, Donald"/>
        <s v="Villapando, Odi"/>
        <s v="Colios, Tom"/>
        <s v="Wachnicka,  Anna"/>
        <s v="Solaiman, Tarana"/>
        <s v="Reimbursement"/>
        <s v="Josan, Manohardeep"/>
        <s v="Jones, Paul"/>
        <s v="Monsanto, Porshia"/>
        <s v="Serna Salazar, Alexandra"/>
        <s v="Wanvestraut, Robert"/>
        <s v="Khatun, Fahmida"/>
        <s v="Herbert, Darrel"/>
        <s v="Hinton, Matt"/>
        <s v="Wilcox, Walter"/>
        <s v="Saini, Harshit"/>
        <m/>
        <s v="Serna Salazar, Alexandra &lt;asernasa@sfwmd.gov&gt;" u="1"/>
      </sharedItems>
    </cacheField>
    <cacheField name="Source" numFmtId="0">
      <sharedItems containsBlank="1" count="5">
        <s v="Expenses"/>
        <s v="Membership"/>
        <s v="NonMember"/>
        <s v="PayItBack"/>
        <m/>
      </sharedItems>
    </cacheField>
    <cacheField name="DisplayGraph" numFmtId="0">
      <sharedItems containsBlank="1"/>
    </cacheField>
    <cacheField name="Date" numFmtId="0">
      <sharedItems containsNonDate="0" containsDate="1" containsString="0" containsBlank="1" minDate="2001-01-01T00:00:00" maxDate="3020-04-01T00:00:00" count="233"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0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3020-03-31T00:00:00"/>
        <m/>
      </sharedItems>
      <fieldGroup par="5" base="3">
        <rangePr groupBy="months" startDate="2001-01-01T00:00:00" endDate="3020-04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/3020"/>
        </groupItems>
      </fieldGroup>
    </cacheField>
    <cacheField name="Paid" numFmtId="0">
      <sharedItems containsString="0" containsBlank="1" containsNumber="1" minValue="-243.34" maxValue="46"/>
    </cacheField>
    <cacheField name="Years" numFmtId="0" databaseField="0">
      <fieldGroup base="3">
        <rangePr groupBy="years" startDate="2001-01-01T00:00:00" endDate="3020-04-01T00:00:00"/>
        <groupItems count="1022">
          <s v="&lt;1/1/2001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2103"/>
          <s v="2104"/>
          <s v="2105"/>
          <s v="2106"/>
          <s v="2107"/>
          <s v="2108"/>
          <s v="2109"/>
          <s v="2110"/>
          <s v="2111"/>
          <s v="2112"/>
          <s v="2113"/>
          <s v="2114"/>
          <s v="2115"/>
          <s v="2116"/>
          <s v="2117"/>
          <s v="2118"/>
          <s v="2119"/>
          <s v="2120"/>
          <s v="2121"/>
          <s v="2122"/>
          <s v="2123"/>
          <s v="2124"/>
          <s v="2125"/>
          <s v="2126"/>
          <s v="2127"/>
          <s v="2128"/>
          <s v="2129"/>
          <s v="2130"/>
          <s v="2131"/>
          <s v="2132"/>
          <s v="2133"/>
          <s v="2134"/>
          <s v="2135"/>
          <s v="2136"/>
          <s v="2137"/>
          <s v="2138"/>
          <s v="2139"/>
          <s v="2140"/>
          <s v="2141"/>
          <s v="2142"/>
          <s v="2143"/>
          <s v="2144"/>
          <s v="2145"/>
          <s v="2146"/>
          <s v="2147"/>
          <s v="2148"/>
          <s v="2149"/>
          <s v="2150"/>
          <s v="2151"/>
          <s v="2152"/>
          <s v="2153"/>
          <s v="2154"/>
          <s v="2155"/>
          <s v="2156"/>
          <s v="2157"/>
          <s v="2158"/>
          <s v="2159"/>
          <s v="2160"/>
          <s v="2161"/>
          <s v="2162"/>
          <s v="2163"/>
          <s v="2164"/>
          <s v="2165"/>
          <s v="2166"/>
          <s v="2167"/>
          <s v="2168"/>
          <s v="2169"/>
          <s v="2170"/>
          <s v="2171"/>
          <s v="2172"/>
          <s v="2173"/>
          <s v="2174"/>
          <s v="2175"/>
          <s v="2176"/>
          <s v="2177"/>
          <s v="2178"/>
          <s v="2179"/>
          <s v="2180"/>
          <s v="2181"/>
          <s v="2182"/>
          <s v="2183"/>
          <s v="2184"/>
          <s v="2185"/>
          <s v="2186"/>
          <s v="2187"/>
          <s v="2188"/>
          <s v="2189"/>
          <s v="2190"/>
          <s v="2191"/>
          <s v="2192"/>
          <s v="2193"/>
          <s v="2194"/>
          <s v="2195"/>
          <s v="2196"/>
          <s v="2197"/>
          <s v="2198"/>
          <s v="2199"/>
          <s v="2200"/>
          <s v="2201"/>
          <s v="2202"/>
          <s v="2203"/>
          <s v="2204"/>
          <s v="2205"/>
          <s v="2206"/>
          <s v="2207"/>
          <s v="2208"/>
          <s v="2209"/>
          <s v="2210"/>
          <s v="2211"/>
          <s v="2212"/>
          <s v="2213"/>
          <s v="2214"/>
          <s v="2215"/>
          <s v="2216"/>
          <s v="2217"/>
          <s v="2218"/>
          <s v="2219"/>
          <s v="2220"/>
          <s v="2221"/>
          <s v="2222"/>
          <s v="2223"/>
          <s v="2224"/>
          <s v="2225"/>
          <s v="2226"/>
          <s v="2227"/>
          <s v="2228"/>
          <s v="2229"/>
          <s v="2230"/>
          <s v="2231"/>
          <s v="2232"/>
          <s v="2233"/>
          <s v="2234"/>
          <s v="2235"/>
          <s v="2236"/>
          <s v="2237"/>
          <s v="2238"/>
          <s v="2239"/>
          <s v="2240"/>
          <s v="2241"/>
          <s v="2242"/>
          <s v="2243"/>
          <s v="2244"/>
          <s v="2245"/>
          <s v="2246"/>
          <s v="2247"/>
          <s v="2248"/>
          <s v="2249"/>
          <s v="2250"/>
          <s v="2251"/>
          <s v="2252"/>
          <s v="2253"/>
          <s v="2254"/>
          <s v="2255"/>
          <s v="2256"/>
          <s v="2257"/>
          <s v="2258"/>
          <s v="2259"/>
          <s v="2260"/>
          <s v="2261"/>
          <s v="2262"/>
          <s v="2263"/>
          <s v="2264"/>
          <s v="2265"/>
          <s v="2266"/>
          <s v="2267"/>
          <s v="2268"/>
          <s v="2269"/>
          <s v="2270"/>
          <s v="2271"/>
          <s v="2272"/>
          <s v="2273"/>
          <s v="2274"/>
          <s v="2275"/>
          <s v="2276"/>
          <s v="2277"/>
          <s v="2278"/>
          <s v="2279"/>
          <s v="2280"/>
          <s v="2281"/>
          <s v="2282"/>
          <s v="2283"/>
          <s v="2284"/>
          <s v="2285"/>
          <s v="2286"/>
          <s v="2287"/>
          <s v="2288"/>
          <s v="2289"/>
          <s v="2290"/>
          <s v="2291"/>
          <s v="2292"/>
          <s v="2293"/>
          <s v="2294"/>
          <s v="2295"/>
          <s v="2296"/>
          <s v="2297"/>
          <s v="2298"/>
          <s v="2299"/>
          <s v="2300"/>
          <s v="2301"/>
          <s v="2302"/>
          <s v="2303"/>
          <s v="2304"/>
          <s v="2305"/>
          <s v="2306"/>
          <s v="2307"/>
          <s v="2308"/>
          <s v="2309"/>
          <s v="2310"/>
          <s v="2311"/>
          <s v="2312"/>
          <s v="2313"/>
          <s v="2314"/>
          <s v="2315"/>
          <s v="2316"/>
          <s v="2317"/>
          <s v="2318"/>
          <s v="2319"/>
          <s v="2320"/>
          <s v="2321"/>
          <s v="2322"/>
          <s v="2323"/>
          <s v="2324"/>
          <s v="2325"/>
          <s v="2326"/>
          <s v="2327"/>
          <s v="2328"/>
          <s v="2329"/>
          <s v="2330"/>
          <s v="2331"/>
          <s v="2332"/>
          <s v="2333"/>
          <s v="2334"/>
          <s v="2335"/>
          <s v="2336"/>
          <s v="2337"/>
          <s v="2338"/>
          <s v="2339"/>
          <s v="2340"/>
          <s v="2341"/>
          <s v="2342"/>
          <s v="2343"/>
          <s v="2344"/>
          <s v="2345"/>
          <s v="2346"/>
          <s v="2347"/>
          <s v="2348"/>
          <s v="2349"/>
          <s v="2350"/>
          <s v="2351"/>
          <s v="2352"/>
          <s v="2353"/>
          <s v="2354"/>
          <s v="2355"/>
          <s v="2356"/>
          <s v="2357"/>
          <s v="2358"/>
          <s v="2359"/>
          <s v="2360"/>
          <s v="2361"/>
          <s v="2362"/>
          <s v="2363"/>
          <s v="2364"/>
          <s v="2365"/>
          <s v="2366"/>
          <s v="2367"/>
          <s v="2368"/>
          <s v="2369"/>
          <s v="2370"/>
          <s v="2371"/>
          <s v="2372"/>
          <s v="2373"/>
          <s v="2374"/>
          <s v="2375"/>
          <s v="2376"/>
          <s v="2377"/>
          <s v="2378"/>
          <s v="2379"/>
          <s v="2380"/>
          <s v="2381"/>
          <s v="2382"/>
          <s v="2383"/>
          <s v="2384"/>
          <s v="2385"/>
          <s v="2386"/>
          <s v="2387"/>
          <s v="2388"/>
          <s v="2389"/>
          <s v="2390"/>
          <s v="2391"/>
          <s v="2392"/>
          <s v="2393"/>
          <s v="2394"/>
          <s v="2395"/>
          <s v="2396"/>
          <s v="2397"/>
          <s v="2398"/>
          <s v="2399"/>
          <s v="2400"/>
          <s v="2401"/>
          <s v="2402"/>
          <s v="2403"/>
          <s v="2404"/>
          <s v="2405"/>
          <s v="2406"/>
          <s v="2407"/>
          <s v="2408"/>
          <s v="2409"/>
          <s v="2410"/>
          <s v="2411"/>
          <s v="2412"/>
          <s v="2413"/>
          <s v="2414"/>
          <s v="2415"/>
          <s v="2416"/>
          <s v="2417"/>
          <s v="2418"/>
          <s v="2419"/>
          <s v="2420"/>
          <s v="2421"/>
          <s v="2422"/>
          <s v="2423"/>
          <s v="2424"/>
          <s v="2425"/>
          <s v="2426"/>
          <s v="2427"/>
          <s v="2428"/>
          <s v="2429"/>
          <s v="2430"/>
          <s v="2431"/>
          <s v="2432"/>
          <s v="2433"/>
          <s v="2434"/>
          <s v="2435"/>
          <s v="2436"/>
          <s v="2437"/>
          <s v="2438"/>
          <s v="2439"/>
          <s v="2440"/>
          <s v="2441"/>
          <s v="2442"/>
          <s v="2443"/>
          <s v="2444"/>
          <s v="2445"/>
          <s v="2446"/>
          <s v="2447"/>
          <s v="2448"/>
          <s v="2449"/>
          <s v="2450"/>
          <s v="2451"/>
          <s v="2452"/>
          <s v="2453"/>
          <s v="2454"/>
          <s v="2455"/>
          <s v="2456"/>
          <s v="2457"/>
          <s v="2458"/>
          <s v="2459"/>
          <s v="2460"/>
          <s v="2461"/>
          <s v="2462"/>
          <s v="2463"/>
          <s v="2464"/>
          <s v="2465"/>
          <s v="2466"/>
          <s v="2467"/>
          <s v="2468"/>
          <s v="2469"/>
          <s v="2470"/>
          <s v="2471"/>
          <s v="2472"/>
          <s v="2473"/>
          <s v="2474"/>
          <s v="2475"/>
          <s v="2476"/>
          <s v="2477"/>
          <s v="2478"/>
          <s v="2479"/>
          <s v="2480"/>
          <s v="2481"/>
          <s v="2482"/>
          <s v="2483"/>
          <s v="2484"/>
          <s v="2485"/>
          <s v="2486"/>
          <s v="2487"/>
          <s v="2488"/>
          <s v="2489"/>
          <s v="2490"/>
          <s v="2491"/>
          <s v="2492"/>
          <s v="2493"/>
          <s v="2494"/>
          <s v="2495"/>
          <s v="2496"/>
          <s v="2497"/>
          <s v="2498"/>
          <s v="2499"/>
          <s v="2500"/>
          <s v="2501"/>
          <s v="2502"/>
          <s v="2503"/>
          <s v="2504"/>
          <s v="2505"/>
          <s v="2506"/>
          <s v="2507"/>
          <s v="2508"/>
          <s v="2509"/>
          <s v="2510"/>
          <s v="2511"/>
          <s v="2512"/>
          <s v="2513"/>
          <s v="2514"/>
          <s v="2515"/>
          <s v="2516"/>
          <s v="2517"/>
          <s v="2518"/>
          <s v="2519"/>
          <s v="2520"/>
          <s v="2521"/>
          <s v="2522"/>
          <s v="2523"/>
          <s v="2524"/>
          <s v="2525"/>
          <s v="2526"/>
          <s v="2527"/>
          <s v="2528"/>
          <s v="2529"/>
          <s v="2530"/>
          <s v="2531"/>
          <s v="2532"/>
          <s v="2533"/>
          <s v="2534"/>
          <s v="2535"/>
          <s v="2536"/>
          <s v="2537"/>
          <s v="2538"/>
          <s v="2539"/>
          <s v="2540"/>
          <s v="2541"/>
          <s v="2542"/>
          <s v="2543"/>
          <s v="2544"/>
          <s v="2545"/>
          <s v="2546"/>
          <s v="2547"/>
          <s v="2548"/>
          <s v="2549"/>
          <s v="2550"/>
          <s v="2551"/>
          <s v="2552"/>
          <s v="2553"/>
          <s v="2554"/>
          <s v="2555"/>
          <s v="2556"/>
          <s v="2557"/>
          <s v="2558"/>
          <s v="2559"/>
          <s v="2560"/>
          <s v="2561"/>
          <s v="2562"/>
          <s v="2563"/>
          <s v="2564"/>
          <s v="2565"/>
          <s v="2566"/>
          <s v="2567"/>
          <s v="2568"/>
          <s v="2569"/>
          <s v="2570"/>
          <s v="2571"/>
          <s v="2572"/>
          <s v="2573"/>
          <s v="2574"/>
          <s v="2575"/>
          <s v="2576"/>
          <s v="2577"/>
          <s v="2578"/>
          <s v="2579"/>
          <s v="2580"/>
          <s v="2581"/>
          <s v="2582"/>
          <s v="2583"/>
          <s v="2584"/>
          <s v="2585"/>
          <s v="2586"/>
          <s v="2587"/>
          <s v="2588"/>
          <s v="2589"/>
          <s v="2590"/>
          <s v="2591"/>
          <s v="2592"/>
          <s v="2593"/>
          <s v="2594"/>
          <s v="2595"/>
          <s v="2596"/>
          <s v="2597"/>
          <s v="2598"/>
          <s v="2599"/>
          <s v="2600"/>
          <s v="2601"/>
          <s v="2602"/>
          <s v="2603"/>
          <s v="2604"/>
          <s v="2605"/>
          <s v="2606"/>
          <s v="2607"/>
          <s v="2608"/>
          <s v="2609"/>
          <s v="2610"/>
          <s v="2611"/>
          <s v="2612"/>
          <s v="2613"/>
          <s v="2614"/>
          <s v="2615"/>
          <s v="2616"/>
          <s v="2617"/>
          <s v="2618"/>
          <s v="2619"/>
          <s v="2620"/>
          <s v="2621"/>
          <s v="2622"/>
          <s v="2623"/>
          <s v="2624"/>
          <s v="2625"/>
          <s v="2626"/>
          <s v="2627"/>
          <s v="2628"/>
          <s v="2629"/>
          <s v="2630"/>
          <s v="2631"/>
          <s v="2632"/>
          <s v="2633"/>
          <s v="2634"/>
          <s v="2635"/>
          <s v="2636"/>
          <s v="2637"/>
          <s v="2638"/>
          <s v="2639"/>
          <s v="2640"/>
          <s v="2641"/>
          <s v="2642"/>
          <s v="2643"/>
          <s v="2644"/>
          <s v="2645"/>
          <s v="2646"/>
          <s v="2647"/>
          <s v="2648"/>
          <s v="2649"/>
          <s v="2650"/>
          <s v="2651"/>
          <s v="2652"/>
          <s v="2653"/>
          <s v="2654"/>
          <s v="2655"/>
          <s v="2656"/>
          <s v="2657"/>
          <s v="2658"/>
          <s v="2659"/>
          <s v="2660"/>
          <s v="2661"/>
          <s v="2662"/>
          <s v="2663"/>
          <s v="2664"/>
          <s v="2665"/>
          <s v="2666"/>
          <s v="2667"/>
          <s v="2668"/>
          <s v="2669"/>
          <s v="2670"/>
          <s v="2671"/>
          <s v="2672"/>
          <s v="2673"/>
          <s v="2674"/>
          <s v="2675"/>
          <s v="2676"/>
          <s v="2677"/>
          <s v="2678"/>
          <s v="2679"/>
          <s v="2680"/>
          <s v="2681"/>
          <s v="2682"/>
          <s v="2683"/>
          <s v="2684"/>
          <s v="2685"/>
          <s v="2686"/>
          <s v="2687"/>
          <s v="2688"/>
          <s v="2689"/>
          <s v="2690"/>
          <s v="2691"/>
          <s v="2692"/>
          <s v="2693"/>
          <s v="2694"/>
          <s v="2695"/>
          <s v="2696"/>
          <s v="2697"/>
          <s v="2698"/>
          <s v="2699"/>
          <s v="2700"/>
          <s v="2701"/>
          <s v="2702"/>
          <s v="2703"/>
          <s v="2704"/>
          <s v="2705"/>
          <s v="2706"/>
          <s v="2707"/>
          <s v="2708"/>
          <s v="2709"/>
          <s v="2710"/>
          <s v="2711"/>
          <s v="2712"/>
          <s v="2713"/>
          <s v="2714"/>
          <s v="2715"/>
          <s v="2716"/>
          <s v="2717"/>
          <s v="2718"/>
          <s v="2719"/>
          <s v="2720"/>
          <s v="2721"/>
          <s v="2722"/>
          <s v="2723"/>
          <s v="2724"/>
          <s v="2725"/>
          <s v="2726"/>
          <s v="2727"/>
          <s v="2728"/>
          <s v="2729"/>
          <s v="2730"/>
          <s v="2731"/>
          <s v="2732"/>
          <s v="2733"/>
          <s v="2734"/>
          <s v="2735"/>
          <s v="2736"/>
          <s v="2737"/>
          <s v="2738"/>
          <s v="2739"/>
          <s v="2740"/>
          <s v="2741"/>
          <s v="2742"/>
          <s v="2743"/>
          <s v="2744"/>
          <s v="2745"/>
          <s v="2746"/>
          <s v="2747"/>
          <s v="2748"/>
          <s v="2749"/>
          <s v="2750"/>
          <s v="2751"/>
          <s v="2752"/>
          <s v="2753"/>
          <s v="2754"/>
          <s v="2755"/>
          <s v="2756"/>
          <s v="2757"/>
          <s v="2758"/>
          <s v="2759"/>
          <s v="2760"/>
          <s v="2761"/>
          <s v="2762"/>
          <s v="2763"/>
          <s v="2764"/>
          <s v="2765"/>
          <s v="2766"/>
          <s v="2767"/>
          <s v="2768"/>
          <s v="2769"/>
          <s v="2770"/>
          <s v="2771"/>
          <s v="2772"/>
          <s v="2773"/>
          <s v="2774"/>
          <s v="2775"/>
          <s v="2776"/>
          <s v="2777"/>
          <s v="2778"/>
          <s v="2779"/>
          <s v="2780"/>
          <s v="2781"/>
          <s v="2782"/>
          <s v="2783"/>
          <s v="2784"/>
          <s v="2785"/>
          <s v="2786"/>
          <s v="2787"/>
          <s v="2788"/>
          <s v="2789"/>
          <s v="2790"/>
          <s v="2791"/>
          <s v="2792"/>
          <s v="2793"/>
          <s v="2794"/>
          <s v="2795"/>
          <s v="2796"/>
          <s v="2797"/>
          <s v="2798"/>
          <s v="2799"/>
          <s v="2800"/>
          <s v="2801"/>
          <s v="2802"/>
          <s v="2803"/>
          <s v="2804"/>
          <s v="2805"/>
          <s v="2806"/>
          <s v="2807"/>
          <s v="2808"/>
          <s v="2809"/>
          <s v="2810"/>
          <s v="2811"/>
          <s v="2812"/>
          <s v="2813"/>
          <s v="2814"/>
          <s v="2815"/>
          <s v="2816"/>
          <s v="2817"/>
          <s v="2818"/>
          <s v="2819"/>
          <s v="2820"/>
          <s v="2821"/>
          <s v="2822"/>
          <s v="2823"/>
          <s v="2824"/>
          <s v="2825"/>
          <s v="2826"/>
          <s v="2827"/>
          <s v="2828"/>
          <s v="2829"/>
          <s v="2830"/>
          <s v="2831"/>
          <s v="2832"/>
          <s v="2833"/>
          <s v="2834"/>
          <s v="2835"/>
          <s v="2836"/>
          <s v="2837"/>
          <s v="2838"/>
          <s v="2839"/>
          <s v="2840"/>
          <s v="2841"/>
          <s v="2842"/>
          <s v="2843"/>
          <s v="2844"/>
          <s v="2845"/>
          <s v="2846"/>
          <s v="2847"/>
          <s v="2848"/>
          <s v="2849"/>
          <s v="2850"/>
          <s v="2851"/>
          <s v="2852"/>
          <s v="2853"/>
          <s v="2854"/>
          <s v="2855"/>
          <s v="2856"/>
          <s v="2857"/>
          <s v="2858"/>
          <s v="2859"/>
          <s v="2860"/>
          <s v="2861"/>
          <s v="2862"/>
          <s v="2863"/>
          <s v="2864"/>
          <s v="2865"/>
          <s v="2866"/>
          <s v="2867"/>
          <s v="2868"/>
          <s v="2869"/>
          <s v="2870"/>
          <s v="2871"/>
          <s v="2872"/>
          <s v="2873"/>
          <s v="2874"/>
          <s v="2875"/>
          <s v="2876"/>
          <s v="2877"/>
          <s v="2878"/>
          <s v="2879"/>
          <s v="2880"/>
          <s v="2881"/>
          <s v="2882"/>
          <s v="2883"/>
          <s v="2884"/>
          <s v="2885"/>
          <s v="2886"/>
          <s v="2887"/>
          <s v="2888"/>
          <s v="2889"/>
          <s v="2890"/>
          <s v="2891"/>
          <s v="2892"/>
          <s v="2893"/>
          <s v="2894"/>
          <s v="2895"/>
          <s v="2896"/>
          <s v="2897"/>
          <s v="2898"/>
          <s v="2899"/>
          <s v="2900"/>
          <s v="2901"/>
          <s v="2902"/>
          <s v="2903"/>
          <s v="2904"/>
          <s v="2905"/>
          <s v="2906"/>
          <s v="2907"/>
          <s v="2908"/>
          <s v="2909"/>
          <s v="2910"/>
          <s v="2911"/>
          <s v="2912"/>
          <s v="2913"/>
          <s v="2914"/>
          <s v="2915"/>
          <s v="2916"/>
          <s v="2917"/>
          <s v="2918"/>
          <s v="2919"/>
          <s v="2920"/>
          <s v="2921"/>
          <s v="2922"/>
          <s v="2923"/>
          <s v="2924"/>
          <s v="2925"/>
          <s v="2926"/>
          <s v="2927"/>
          <s v="2928"/>
          <s v="2929"/>
          <s v="2930"/>
          <s v="2931"/>
          <s v="2932"/>
          <s v="2933"/>
          <s v="2934"/>
          <s v="2935"/>
          <s v="2936"/>
          <s v="2937"/>
          <s v="2938"/>
          <s v="2939"/>
          <s v="2940"/>
          <s v="2941"/>
          <s v="2942"/>
          <s v="2943"/>
          <s v="2944"/>
          <s v="2945"/>
          <s v="2946"/>
          <s v="2947"/>
          <s v="2948"/>
          <s v="2949"/>
          <s v="2950"/>
          <s v="2951"/>
          <s v="2952"/>
          <s v="2953"/>
          <s v="2954"/>
          <s v="2955"/>
          <s v="2956"/>
          <s v="2957"/>
          <s v="2958"/>
          <s v="2959"/>
          <s v="2960"/>
          <s v="2961"/>
          <s v="2962"/>
          <s v="2963"/>
          <s v="2964"/>
          <s v="2965"/>
          <s v="2966"/>
          <s v="2967"/>
          <s v="2968"/>
          <s v="2969"/>
          <s v="2970"/>
          <s v="2971"/>
          <s v="2972"/>
          <s v="2973"/>
          <s v="2974"/>
          <s v="2975"/>
          <s v="2976"/>
          <s v="2977"/>
          <s v="2978"/>
          <s v="2979"/>
          <s v="2980"/>
          <s v="2981"/>
          <s v="2982"/>
          <s v="2983"/>
          <s v="2984"/>
          <s v="2985"/>
          <s v="2986"/>
          <s v="2987"/>
          <s v="2988"/>
          <s v="2989"/>
          <s v="2990"/>
          <s v="2991"/>
          <s v="2992"/>
          <s v="2993"/>
          <s v="2994"/>
          <s v="2995"/>
          <s v="2996"/>
          <s v="2997"/>
          <s v="2998"/>
          <s v="2999"/>
          <s v="3000"/>
          <s v="3001"/>
          <s v="3002"/>
          <s v="3003"/>
          <s v="3004"/>
          <s v="3005"/>
          <s v="3006"/>
          <s v="3007"/>
          <s v="3008"/>
          <s v="3009"/>
          <s v="3010"/>
          <s v="3011"/>
          <s v="3012"/>
          <s v="3013"/>
          <s v="3014"/>
          <s v="3015"/>
          <s v="3016"/>
          <s v="3017"/>
          <s v="3018"/>
          <s v="3019"/>
          <s v="3020"/>
          <s v="&gt;4/1/3020"/>
        </groupItems>
      </fieldGroup>
    </cacheField>
  </cacheFields>
  <extLst>
    <ext xmlns:x14="http://schemas.microsoft.com/office/spreadsheetml/2009/9/main" uri="{725AE2AE-9491-48be-B2B4-4EB974FC3084}">
      <x14:pivotCacheDefinition pivotCacheId="19250515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0">
  <r>
    <x v="0"/>
    <x v="0"/>
    <b v="0"/>
    <x v="0"/>
    <n v="-107.11"/>
  </r>
  <r>
    <x v="1"/>
    <x v="0"/>
    <b v="0"/>
    <x v="0"/>
    <n v="-32.4"/>
  </r>
  <r>
    <x v="2"/>
    <x v="1"/>
    <b v="0"/>
    <x v="0"/>
    <n v="4"/>
  </r>
  <r>
    <x v="3"/>
    <x v="1"/>
    <b v="0"/>
    <x v="0"/>
    <n v="2"/>
  </r>
  <r>
    <x v="4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8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6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5"/>
    <x v="1"/>
    <b v="0"/>
    <x v="0"/>
    <n v="6"/>
  </r>
  <r>
    <x v="5"/>
    <x v="1"/>
    <b v="0"/>
    <x v="0"/>
    <n v="2"/>
  </r>
  <r>
    <x v="5"/>
    <x v="1"/>
    <b v="0"/>
    <x v="0"/>
    <n v="2"/>
  </r>
  <r>
    <x v="5"/>
    <x v="1"/>
    <b v="0"/>
    <x v="0"/>
    <n v="2"/>
  </r>
  <r>
    <x v="6"/>
    <x v="1"/>
    <b v="0"/>
    <x v="0"/>
    <n v="2"/>
  </r>
  <r>
    <x v="7"/>
    <x v="1"/>
    <b v="0"/>
    <x v="0"/>
    <n v="2"/>
  </r>
  <r>
    <x v="8"/>
    <x v="1"/>
    <b v="0"/>
    <x v="0"/>
    <n v="1"/>
  </r>
  <r>
    <x v="9"/>
    <x v="1"/>
    <b v="0"/>
    <x v="0"/>
    <n v="2"/>
  </r>
  <r>
    <x v="0"/>
    <x v="0"/>
    <b v="0"/>
    <x v="1"/>
    <n v="-60"/>
  </r>
  <r>
    <x v="1"/>
    <x v="0"/>
    <b v="0"/>
    <x v="1"/>
    <n v="-67.73"/>
  </r>
  <r>
    <x v="2"/>
    <x v="1"/>
    <b v="0"/>
    <x v="1"/>
    <n v="2"/>
  </r>
  <r>
    <x v="10"/>
    <x v="1"/>
    <b v="0"/>
    <x v="1"/>
    <n v="6"/>
  </r>
  <r>
    <x v="3"/>
    <x v="1"/>
    <b v="0"/>
    <x v="1"/>
    <n v="2"/>
  </r>
  <r>
    <x v="11"/>
    <x v="1"/>
    <b v="0"/>
    <x v="1"/>
    <n v="4"/>
  </r>
  <r>
    <x v="4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4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5"/>
    <x v="1"/>
    <b v="0"/>
    <x v="1"/>
    <n v="2"/>
  </r>
  <r>
    <x v="6"/>
    <x v="1"/>
    <b v="0"/>
    <x v="1"/>
    <n v="2"/>
  </r>
  <r>
    <x v="7"/>
    <x v="1"/>
    <b v="0"/>
    <x v="1"/>
    <n v="2"/>
  </r>
  <r>
    <x v="8"/>
    <x v="1"/>
    <b v="0"/>
    <x v="1"/>
    <n v="2"/>
  </r>
  <r>
    <x v="9"/>
    <x v="1"/>
    <b v="0"/>
    <x v="1"/>
    <n v="2"/>
  </r>
  <r>
    <x v="0"/>
    <x v="0"/>
    <b v="0"/>
    <x v="2"/>
    <n v="-39.930000000000007"/>
  </r>
  <r>
    <x v="1"/>
    <x v="0"/>
    <b v="0"/>
    <x v="2"/>
    <n v="-23.64"/>
  </r>
  <r>
    <x v="2"/>
    <x v="1"/>
    <b v="0"/>
    <x v="2"/>
    <n v="2"/>
  </r>
  <r>
    <x v="10"/>
    <x v="1"/>
    <b v="0"/>
    <x v="2"/>
    <n v="2"/>
  </r>
  <r>
    <x v="3"/>
    <x v="1"/>
    <b v="0"/>
    <x v="2"/>
    <n v="2"/>
  </r>
  <r>
    <x v="11"/>
    <x v="1"/>
    <b v="0"/>
    <x v="2"/>
    <n v="2"/>
  </r>
  <r>
    <x v="4"/>
    <x v="1"/>
    <b v="0"/>
    <x v="2"/>
    <n v="2"/>
  </r>
  <r>
    <x v="5"/>
    <x v="1"/>
    <b v="0"/>
    <x v="2"/>
    <n v="6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6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4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5"/>
    <x v="1"/>
    <b v="0"/>
    <x v="2"/>
    <n v="2"/>
  </r>
  <r>
    <x v="12"/>
    <x v="1"/>
    <b v="0"/>
    <x v="2"/>
    <n v="2"/>
  </r>
  <r>
    <x v="6"/>
    <x v="1"/>
    <b v="0"/>
    <x v="2"/>
    <n v="2"/>
  </r>
  <r>
    <x v="7"/>
    <x v="1"/>
    <b v="0"/>
    <x v="2"/>
    <n v="2"/>
  </r>
  <r>
    <x v="8"/>
    <x v="1"/>
    <b v="0"/>
    <x v="2"/>
    <n v="2"/>
  </r>
  <r>
    <x v="9"/>
    <x v="1"/>
    <b v="0"/>
    <x v="2"/>
    <n v="2"/>
  </r>
  <r>
    <x v="0"/>
    <x v="0"/>
    <b v="0"/>
    <x v="3"/>
    <n v="-67.739999999999995"/>
  </r>
  <r>
    <x v="1"/>
    <x v="0"/>
    <b v="0"/>
    <x v="3"/>
    <n v="-15.270000000000001"/>
  </r>
  <r>
    <x v="13"/>
    <x v="0"/>
    <b v="0"/>
    <x v="3"/>
    <n v="-29.41"/>
  </r>
  <r>
    <x v="2"/>
    <x v="1"/>
    <b v="0"/>
    <x v="3"/>
    <n v="2"/>
  </r>
  <r>
    <x v="10"/>
    <x v="1"/>
    <b v="0"/>
    <x v="3"/>
    <n v="2"/>
  </r>
  <r>
    <x v="3"/>
    <x v="1"/>
    <b v="0"/>
    <x v="3"/>
    <n v="2"/>
  </r>
  <r>
    <x v="11"/>
    <x v="1"/>
    <b v="0"/>
    <x v="3"/>
    <n v="2"/>
  </r>
  <r>
    <x v="4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5"/>
    <x v="1"/>
    <b v="0"/>
    <x v="3"/>
    <n v="2"/>
  </r>
  <r>
    <x v="12"/>
    <x v="1"/>
    <b v="0"/>
    <x v="3"/>
    <n v="2"/>
  </r>
  <r>
    <x v="7"/>
    <x v="1"/>
    <b v="0"/>
    <x v="3"/>
    <n v="2"/>
  </r>
  <r>
    <x v="8"/>
    <x v="1"/>
    <b v="0"/>
    <x v="3"/>
    <n v="2"/>
  </r>
  <r>
    <x v="9"/>
    <x v="1"/>
    <b v="0"/>
    <x v="3"/>
    <n v="2"/>
  </r>
  <r>
    <x v="0"/>
    <x v="0"/>
    <b v="0"/>
    <x v="4"/>
    <n v="-38.299999999999997"/>
  </r>
  <r>
    <x v="13"/>
    <x v="0"/>
    <b v="0"/>
    <x v="4"/>
    <n v="-3.57"/>
  </r>
  <r>
    <x v="2"/>
    <x v="1"/>
    <b v="0"/>
    <x v="4"/>
    <n v="2"/>
  </r>
  <r>
    <x v="10"/>
    <x v="1"/>
    <b v="0"/>
    <x v="4"/>
    <n v="2"/>
  </r>
  <r>
    <x v="3"/>
    <x v="1"/>
    <b v="0"/>
    <x v="4"/>
    <n v="2"/>
  </r>
  <r>
    <x v="11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5"/>
    <x v="1"/>
    <b v="0"/>
    <x v="4"/>
    <n v="2"/>
  </r>
  <r>
    <x v="12"/>
    <x v="1"/>
    <b v="0"/>
    <x v="4"/>
    <n v="2"/>
  </r>
  <r>
    <x v="7"/>
    <x v="1"/>
    <b v="0"/>
    <x v="4"/>
    <n v="2"/>
  </r>
  <r>
    <x v="8"/>
    <x v="1"/>
    <b v="0"/>
    <x v="4"/>
    <n v="2"/>
  </r>
  <r>
    <x v="9"/>
    <x v="1"/>
    <b v="0"/>
    <x v="4"/>
    <n v="2"/>
  </r>
  <r>
    <x v="0"/>
    <x v="0"/>
    <b v="0"/>
    <x v="5"/>
    <n v="-52.75"/>
  </r>
  <r>
    <x v="2"/>
    <x v="1"/>
    <b v="0"/>
    <x v="5"/>
    <n v="2"/>
  </r>
  <r>
    <x v="10"/>
    <x v="1"/>
    <b v="0"/>
    <x v="5"/>
    <n v="2"/>
  </r>
  <r>
    <x v="3"/>
    <x v="1"/>
    <b v="0"/>
    <x v="5"/>
    <n v="2"/>
  </r>
  <r>
    <x v="11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1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1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1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5"/>
    <x v="1"/>
    <b v="0"/>
    <x v="5"/>
    <n v="2"/>
  </r>
  <r>
    <x v="12"/>
    <x v="1"/>
    <b v="0"/>
    <x v="5"/>
    <n v="2"/>
  </r>
  <r>
    <x v="7"/>
    <x v="1"/>
    <b v="0"/>
    <x v="5"/>
    <n v="2"/>
  </r>
  <r>
    <x v="8"/>
    <x v="1"/>
    <b v="0"/>
    <x v="5"/>
    <n v="2"/>
  </r>
  <r>
    <x v="9"/>
    <x v="1"/>
    <b v="0"/>
    <x v="5"/>
    <n v="2"/>
  </r>
  <r>
    <x v="0"/>
    <x v="0"/>
    <b v="0"/>
    <x v="6"/>
    <n v="-116"/>
  </r>
  <r>
    <x v="2"/>
    <x v="1"/>
    <b v="0"/>
    <x v="6"/>
    <n v="2"/>
  </r>
  <r>
    <x v="10"/>
    <x v="1"/>
    <b v="0"/>
    <x v="6"/>
    <n v="2"/>
  </r>
  <r>
    <x v="3"/>
    <x v="1"/>
    <b v="0"/>
    <x v="6"/>
    <n v="2"/>
  </r>
  <r>
    <x v="11"/>
    <x v="1"/>
    <b v="0"/>
    <x v="6"/>
    <n v="2"/>
  </r>
  <r>
    <x v="14"/>
    <x v="1"/>
    <b v="0"/>
    <x v="6"/>
    <n v="5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1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1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5"/>
    <x v="1"/>
    <b v="0"/>
    <x v="6"/>
    <n v="2"/>
  </r>
  <r>
    <x v="12"/>
    <x v="1"/>
    <b v="0"/>
    <x v="6"/>
    <n v="2"/>
  </r>
  <r>
    <x v="7"/>
    <x v="1"/>
    <b v="0"/>
    <x v="6"/>
    <n v="2"/>
  </r>
  <r>
    <x v="8"/>
    <x v="1"/>
    <b v="0"/>
    <x v="6"/>
    <n v="2"/>
  </r>
  <r>
    <x v="9"/>
    <x v="1"/>
    <b v="0"/>
    <x v="6"/>
    <n v="2"/>
  </r>
  <r>
    <x v="15"/>
    <x v="2"/>
    <b v="0"/>
    <x v="6"/>
    <n v="0.2"/>
  </r>
  <r>
    <x v="0"/>
    <x v="0"/>
    <b v="0"/>
    <x v="7"/>
    <n v="-65.150000000000006"/>
  </r>
  <r>
    <x v="1"/>
    <x v="0"/>
    <b v="0"/>
    <x v="7"/>
    <n v="-0.05"/>
  </r>
  <r>
    <x v="2"/>
    <x v="1"/>
    <b v="0"/>
    <x v="7"/>
    <n v="2"/>
  </r>
  <r>
    <x v="10"/>
    <x v="1"/>
    <b v="0"/>
    <x v="7"/>
    <n v="2"/>
  </r>
  <r>
    <x v="3"/>
    <x v="1"/>
    <b v="0"/>
    <x v="7"/>
    <n v="2"/>
  </r>
  <r>
    <x v="11"/>
    <x v="1"/>
    <b v="0"/>
    <x v="7"/>
    <n v="2"/>
  </r>
  <r>
    <x v="5"/>
    <x v="1"/>
    <b v="0"/>
    <x v="7"/>
    <n v="2"/>
  </r>
  <r>
    <x v="5"/>
    <x v="1"/>
    <b v="0"/>
    <x v="7"/>
    <n v="1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5"/>
    <x v="1"/>
    <b v="0"/>
    <x v="7"/>
    <n v="2"/>
  </r>
  <r>
    <x v="12"/>
    <x v="1"/>
    <b v="0"/>
    <x v="7"/>
    <n v="2"/>
  </r>
  <r>
    <x v="7"/>
    <x v="1"/>
    <b v="0"/>
    <x v="7"/>
    <n v="2"/>
  </r>
  <r>
    <x v="8"/>
    <x v="1"/>
    <b v="0"/>
    <x v="7"/>
    <n v="2"/>
  </r>
  <r>
    <x v="9"/>
    <x v="1"/>
    <b v="0"/>
    <x v="7"/>
    <n v="2"/>
  </r>
  <r>
    <x v="15"/>
    <x v="2"/>
    <b v="0"/>
    <x v="7"/>
    <n v="0.25"/>
  </r>
  <r>
    <x v="0"/>
    <x v="0"/>
    <b v="0"/>
    <x v="8"/>
    <n v="-40"/>
  </r>
  <r>
    <x v="16"/>
    <x v="0"/>
    <b v="1"/>
    <x v="8"/>
    <n v="-23"/>
  </r>
  <r>
    <x v="13"/>
    <x v="0"/>
    <b v="0"/>
    <x v="8"/>
    <n v="-1.59"/>
  </r>
  <r>
    <x v="2"/>
    <x v="1"/>
    <b v="0"/>
    <x v="8"/>
    <n v="2"/>
  </r>
  <r>
    <x v="10"/>
    <x v="1"/>
    <b v="0"/>
    <x v="8"/>
    <n v="2"/>
  </r>
  <r>
    <x v="3"/>
    <x v="1"/>
    <b v="0"/>
    <x v="8"/>
    <n v="2"/>
  </r>
  <r>
    <x v="11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1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5"/>
    <x v="1"/>
    <b v="0"/>
    <x v="8"/>
    <n v="2"/>
  </r>
  <r>
    <x v="12"/>
    <x v="1"/>
    <b v="0"/>
    <x v="8"/>
    <n v="2"/>
  </r>
  <r>
    <x v="7"/>
    <x v="1"/>
    <b v="0"/>
    <x v="8"/>
    <n v="2"/>
  </r>
  <r>
    <x v="8"/>
    <x v="1"/>
    <b v="0"/>
    <x v="8"/>
    <n v="2"/>
  </r>
  <r>
    <x v="9"/>
    <x v="1"/>
    <b v="0"/>
    <x v="8"/>
    <n v="2"/>
  </r>
  <r>
    <x v="0"/>
    <x v="0"/>
    <b v="0"/>
    <x v="9"/>
    <n v="-41.73"/>
  </r>
  <r>
    <x v="1"/>
    <x v="0"/>
    <b v="0"/>
    <x v="9"/>
    <n v="-47.93"/>
  </r>
  <r>
    <x v="13"/>
    <x v="0"/>
    <b v="0"/>
    <x v="9"/>
    <n v="-17.21"/>
  </r>
  <r>
    <x v="2"/>
    <x v="1"/>
    <b v="0"/>
    <x v="9"/>
    <n v="2"/>
  </r>
  <r>
    <x v="10"/>
    <x v="1"/>
    <b v="0"/>
    <x v="9"/>
    <n v="2"/>
  </r>
  <r>
    <x v="3"/>
    <x v="1"/>
    <b v="0"/>
    <x v="9"/>
    <n v="2"/>
  </r>
  <r>
    <x v="11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5"/>
    <x v="1"/>
    <b v="0"/>
    <x v="9"/>
    <n v="2"/>
  </r>
  <r>
    <x v="12"/>
    <x v="1"/>
    <b v="0"/>
    <x v="9"/>
    <n v="2"/>
  </r>
  <r>
    <x v="7"/>
    <x v="1"/>
    <b v="0"/>
    <x v="9"/>
    <n v="2"/>
  </r>
  <r>
    <x v="8"/>
    <x v="1"/>
    <b v="0"/>
    <x v="9"/>
    <n v="2"/>
  </r>
  <r>
    <x v="9"/>
    <x v="1"/>
    <b v="0"/>
    <x v="9"/>
    <n v="2"/>
  </r>
  <r>
    <x v="0"/>
    <x v="0"/>
    <b v="0"/>
    <x v="10"/>
    <n v="-22.14"/>
  </r>
  <r>
    <x v="1"/>
    <x v="0"/>
    <b v="0"/>
    <x v="10"/>
    <n v="-15.76"/>
  </r>
  <r>
    <x v="13"/>
    <x v="0"/>
    <b v="0"/>
    <x v="10"/>
    <n v="-0.1"/>
  </r>
  <r>
    <x v="17"/>
    <x v="1"/>
    <b v="0"/>
    <x v="10"/>
    <n v="1"/>
  </r>
  <r>
    <x v="2"/>
    <x v="1"/>
    <b v="0"/>
    <x v="10"/>
    <n v="2"/>
  </r>
  <r>
    <x v="10"/>
    <x v="1"/>
    <b v="0"/>
    <x v="10"/>
    <n v="2"/>
  </r>
  <r>
    <x v="3"/>
    <x v="1"/>
    <b v="0"/>
    <x v="10"/>
    <n v="2"/>
  </r>
  <r>
    <x v="11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5"/>
    <x v="1"/>
    <b v="0"/>
    <x v="10"/>
    <n v="2"/>
  </r>
  <r>
    <x v="12"/>
    <x v="1"/>
    <b v="0"/>
    <x v="10"/>
    <n v="2"/>
  </r>
  <r>
    <x v="7"/>
    <x v="1"/>
    <b v="0"/>
    <x v="10"/>
    <n v="2"/>
  </r>
  <r>
    <x v="8"/>
    <x v="1"/>
    <b v="0"/>
    <x v="10"/>
    <n v="2"/>
  </r>
  <r>
    <x v="9"/>
    <x v="1"/>
    <b v="0"/>
    <x v="10"/>
    <n v="2"/>
  </r>
  <r>
    <x v="15"/>
    <x v="2"/>
    <b v="0"/>
    <x v="10"/>
    <n v="3"/>
  </r>
  <r>
    <x v="17"/>
    <x v="1"/>
    <b v="0"/>
    <x v="11"/>
    <n v="2"/>
  </r>
  <r>
    <x v="2"/>
    <x v="1"/>
    <b v="0"/>
    <x v="11"/>
    <n v="2"/>
  </r>
  <r>
    <x v="10"/>
    <x v="1"/>
    <b v="0"/>
    <x v="11"/>
    <n v="2"/>
  </r>
  <r>
    <x v="3"/>
    <x v="1"/>
    <b v="0"/>
    <x v="11"/>
    <n v="2"/>
  </r>
  <r>
    <x v="11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5"/>
    <x v="1"/>
    <b v="0"/>
    <x v="11"/>
    <n v="2"/>
  </r>
  <r>
    <x v="12"/>
    <x v="1"/>
    <b v="0"/>
    <x v="11"/>
    <n v="2"/>
  </r>
  <r>
    <x v="7"/>
    <x v="1"/>
    <b v="0"/>
    <x v="11"/>
    <n v="2"/>
  </r>
  <r>
    <x v="8"/>
    <x v="1"/>
    <b v="0"/>
    <x v="11"/>
    <n v="2"/>
  </r>
  <r>
    <x v="9"/>
    <x v="1"/>
    <b v="0"/>
    <x v="11"/>
    <n v="2"/>
  </r>
  <r>
    <x v="0"/>
    <x v="0"/>
    <b v="0"/>
    <x v="12"/>
    <n v="-94.4"/>
  </r>
  <r>
    <x v="1"/>
    <x v="0"/>
    <b v="0"/>
    <x v="12"/>
    <n v="-4.88"/>
  </r>
  <r>
    <x v="17"/>
    <x v="1"/>
    <b v="0"/>
    <x v="12"/>
    <n v="2"/>
  </r>
  <r>
    <x v="2"/>
    <x v="1"/>
    <b v="0"/>
    <x v="12"/>
    <n v="2"/>
  </r>
  <r>
    <x v="10"/>
    <x v="1"/>
    <b v="0"/>
    <x v="12"/>
    <n v="2"/>
  </r>
  <r>
    <x v="3"/>
    <x v="1"/>
    <b v="0"/>
    <x v="12"/>
    <n v="2"/>
  </r>
  <r>
    <x v="11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5"/>
    <x v="1"/>
    <b v="0"/>
    <x v="12"/>
    <n v="2"/>
  </r>
  <r>
    <x v="12"/>
    <x v="1"/>
    <b v="0"/>
    <x v="12"/>
    <n v="2"/>
  </r>
  <r>
    <x v="7"/>
    <x v="1"/>
    <b v="0"/>
    <x v="12"/>
    <n v="2"/>
  </r>
  <r>
    <x v="8"/>
    <x v="1"/>
    <b v="0"/>
    <x v="12"/>
    <n v="2"/>
  </r>
  <r>
    <x v="9"/>
    <x v="1"/>
    <b v="0"/>
    <x v="12"/>
    <n v="2"/>
  </r>
  <r>
    <x v="15"/>
    <x v="2"/>
    <b v="0"/>
    <x v="12"/>
    <n v="6"/>
  </r>
  <r>
    <x v="0"/>
    <x v="0"/>
    <b v="0"/>
    <x v="13"/>
    <n v="-113"/>
  </r>
  <r>
    <x v="13"/>
    <x v="0"/>
    <b v="0"/>
    <x v="13"/>
    <n v="-2"/>
  </r>
  <r>
    <x v="17"/>
    <x v="1"/>
    <b v="0"/>
    <x v="13"/>
    <n v="2"/>
  </r>
  <r>
    <x v="2"/>
    <x v="1"/>
    <b v="0"/>
    <x v="13"/>
    <n v="2"/>
  </r>
  <r>
    <x v="10"/>
    <x v="1"/>
    <b v="0"/>
    <x v="13"/>
    <n v="2"/>
  </r>
  <r>
    <x v="3"/>
    <x v="1"/>
    <b v="0"/>
    <x v="13"/>
    <n v="2"/>
  </r>
  <r>
    <x v="11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1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5"/>
    <x v="1"/>
    <b v="0"/>
    <x v="13"/>
    <n v="2"/>
  </r>
  <r>
    <x v="12"/>
    <x v="1"/>
    <b v="0"/>
    <x v="13"/>
    <n v="2"/>
  </r>
  <r>
    <x v="7"/>
    <x v="1"/>
    <b v="0"/>
    <x v="13"/>
    <n v="2"/>
  </r>
  <r>
    <x v="8"/>
    <x v="1"/>
    <b v="0"/>
    <x v="13"/>
    <n v="2"/>
  </r>
  <r>
    <x v="9"/>
    <x v="1"/>
    <b v="0"/>
    <x v="13"/>
    <n v="2"/>
  </r>
  <r>
    <x v="17"/>
    <x v="1"/>
    <b v="0"/>
    <x v="14"/>
    <n v="2"/>
  </r>
  <r>
    <x v="2"/>
    <x v="1"/>
    <b v="0"/>
    <x v="14"/>
    <n v="2"/>
  </r>
  <r>
    <x v="3"/>
    <x v="1"/>
    <b v="0"/>
    <x v="14"/>
    <n v="2"/>
  </r>
  <r>
    <x v="11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5"/>
    <x v="1"/>
    <b v="0"/>
    <x v="14"/>
    <n v="2"/>
  </r>
  <r>
    <x v="12"/>
    <x v="1"/>
    <b v="0"/>
    <x v="14"/>
    <n v="2"/>
  </r>
  <r>
    <x v="7"/>
    <x v="1"/>
    <b v="0"/>
    <x v="14"/>
    <n v="2"/>
  </r>
  <r>
    <x v="8"/>
    <x v="1"/>
    <b v="0"/>
    <x v="14"/>
    <n v="2"/>
  </r>
  <r>
    <x v="9"/>
    <x v="1"/>
    <b v="0"/>
    <x v="14"/>
    <n v="2"/>
  </r>
  <r>
    <x v="0"/>
    <x v="0"/>
    <b v="0"/>
    <x v="15"/>
    <n v="-22.14"/>
  </r>
  <r>
    <x v="1"/>
    <x v="0"/>
    <b v="0"/>
    <x v="15"/>
    <n v="-5.33"/>
  </r>
  <r>
    <x v="13"/>
    <x v="0"/>
    <b v="0"/>
    <x v="15"/>
    <n v="-17.53"/>
  </r>
  <r>
    <x v="17"/>
    <x v="1"/>
    <b v="0"/>
    <x v="15"/>
    <n v="2"/>
  </r>
  <r>
    <x v="2"/>
    <x v="1"/>
    <b v="0"/>
    <x v="15"/>
    <n v="2"/>
  </r>
  <r>
    <x v="10"/>
    <x v="1"/>
    <b v="0"/>
    <x v="15"/>
    <n v="4"/>
  </r>
  <r>
    <x v="3"/>
    <x v="1"/>
    <b v="0"/>
    <x v="15"/>
    <n v="2"/>
  </r>
  <r>
    <x v="11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5"/>
    <x v="1"/>
    <b v="0"/>
    <x v="15"/>
    <n v="1"/>
  </r>
  <r>
    <x v="5"/>
    <x v="1"/>
    <b v="0"/>
    <x v="15"/>
    <n v="2"/>
  </r>
  <r>
    <x v="5"/>
    <x v="1"/>
    <b v="0"/>
    <x v="15"/>
    <n v="2"/>
  </r>
  <r>
    <x v="5"/>
    <x v="1"/>
    <b v="0"/>
    <x v="15"/>
    <n v="2"/>
  </r>
  <r>
    <x v="12"/>
    <x v="1"/>
    <b v="0"/>
    <x v="15"/>
    <n v="2"/>
  </r>
  <r>
    <x v="7"/>
    <x v="1"/>
    <b v="0"/>
    <x v="15"/>
    <n v="2"/>
  </r>
  <r>
    <x v="8"/>
    <x v="1"/>
    <b v="0"/>
    <x v="15"/>
    <n v="2"/>
  </r>
  <r>
    <x v="9"/>
    <x v="1"/>
    <b v="0"/>
    <x v="15"/>
    <n v="2"/>
  </r>
  <r>
    <x v="0"/>
    <x v="0"/>
    <b v="0"/>
    <x v="16"/>
    <n v="-72"/>
  </r>
  <r>
    <x v="1"/>
    <x v="0"/>
    <b v="0"/>
    <x v="16"/>
    <n v="-31"/>
  </r>
  <r>
    <x v="17"/>
    <x v="1"/>
    <b v="0"/>
    <x v="16"/>
    <n v="2"/>
  </r>
  <r>
    <x v="2"/>
    <x v="1"/>
    <b v="0"/>
    <x v="16"/>
    <n v="2"/>
  </r>
  <r>
    <x v="10"/>
    <x v="1"/>
    <b v="0"/>
    <x v="16"/>
    <n v="2"/>
  </r>
  <r>
    <x v="3"/>
    <x v="1"/>
    <b v="0"/>
    <x v="16"/>
    <n v="2"/>
  </r>
  <r>
    <x v="11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1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5"/>
    <x v="1"/>
    <b v="0"/>
    <x v="16"/>
    <n v="3"/>
  </r>
  <r>
    <x v="5"/>
    <x v="1"/>
    <b v="0"/>
    <x v="16"/>
    <n v="2"/>
  </r>
  <r>
    <x v="5"/>
    <x v="1"/>
    <b v="0"/>
    <x v="16"/>
    <n v="2"/>
  </r>
  <r>
    <x v="5"/>
    <x v="1"/>
    <b v="0"/>
    <x v="16"/>
    <n v="2"/>
  </r>
  <r>
    <x v="12"/>
    <x v="1"/>
    <b v="0"/>
    <x v="16"/>
    <n v="2"/>
  </r>
  <r>
    <x v="7"/>
    <x v="1"/>
    <b v="0"/>
    <x v="16"/>
    <n v="2"/>
  </r>
  <r>
    <x v="8"/>
    <x v="1"/>
    <b v="0"/>
    <x v="16"/>
    <n v="2"/>
  </r>
  <r>
    <x v="9"/>
    <x v="1"/>
    <b v="0"/>
    <x v="16"/>
    <n v="2"/>
  </r>
  <r>
    <x v="15"/>
    <x v="2"/>
    <b v="0"/>
    <x v="16"/>
    <n v="4.25"/>
  </r>
  <r>
    <x v="0"/>
    <x v="0"/>
    <b v="0"/>
    <x v="17"/>
    <n v="-50.25"/>
  </r>
  <r>
    <x v="17"/>
    <x v="1"/>
    <b v="0"/>
    <x v="17"/>
    <n v="2"/>
  </r>
  <r>
    <x v="10"/>
    <x v="1"/>
    <b v="0"/>
    <x v="17"/>
    <n v="2"/>
  </r>
  <r>
    <x v="3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5"/>
    <x v="1"/>
    <b v="0"/>
    <x v="17"/>
    <n v="2"/>
  </r>
  <r>
    <x v="7"/>
    <x v="1"/>
    <b v="0"/>
    <x v="17"/>
    <n v="2"/>
  </r>
  <r>
    <x v="8"/>
    <x v="1"/>
    <b v="0"/>
    <x v="17"/>
    <n v="2"/>
  </r>
  <r>
    <x v="9"/>
    <x v="1"/>
    <b v="0"/>
    <x v="17"/>
    <n v="2"/>
  </r>
  <r>
    <x v="15"/>
    <x v="2"/>
    <b v="0"/>
    <x v="17"/>
    <n v="11"/>
  </r>
  <r>
    <x v="0"/>
    <x v="0"/>
    <b v="0"/>
    <x v="18"/>
    <n v="-63"/>
  </r>
  <r>
    <x v="1"/>
    <x v="0"/>
    <b v="0"/>
    <x v="18"/>
    <n v="-60"/>
  </r>
  <r>
    <x v="10"/>
    <x v="1"/>
    <b v="0"/>
    <x v="18"/>
    <n v="2"/>
  </r>
  <r>
    <x v="3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5"/>
    <x v="1"/>
    <b v="0"/>
    <x v="18"/>
    <n v="2"/>
  </r>
  <r>
    <x v="8"/>
    <x v="1"/>
    <b v="0"/>
    <x v="18"/>
    <n v="2"/>
  </r>
  <r>
    <x v="9"/>
    <x v="1"/>
    <b v="0"/>
    <x v="18"/>
    <n v="2"/>
  </r>
  <r>
    <x v="18"/>
    <x v="1"/>
    <b v="0"/>
    <x v="18"/>
    <n v="2"/>
  </r>
  <r>
    <x v="0"/>
    <x v="0"/>
    <b v="0"/>
    <x v="19"/>
    <n v="-36.97"/>
  </r>
  <r>
    <x v="16"/>
    <x v="0"/>
    <b v="0"/>
    <x v="19"/>
    <n v="-0.43"/>
  </r>
  <r>
    <x v="1"/>
    <x v="0"/>
    <b v="0"/>
    <x v="19"/>
    <n v="-30.36"/>
  </r>
  <r>
    <x v="13"/>
    <x v="0"/>
    <b v="0"/>
    <x v="19"/>
    <n v="-5.29"/>
  </r>
  <r>
    <x v="17"/>
    <x v="1"/>
    <b v="0"/>
    <x v="19"/>
    <n v="2"/>
  </r>
  <r>
    <x v="19"/>
    <x v="1"/>
    <b v="0"/>
    <x v="19"/>
    <n v="2"/>
  </r>
  <r>
    <x v="10"/>
    <x v="1"/>
    <b v="0"/>
    <x v="19"/>
    <n v="2"/>
  </r>
  <r>
    <x v="3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5"/>
    <x v="1"/>
    <b v="0"/>
    <x v="19"/>
    <n v="2"/>
  </r>
  <r>
    <x v="7"/>
    <x v="1"/>
    <b v="0"/>
    <x v="19"/>
    <n v="2"/>
  </r>
  <r>
    <x v="8"/>
    <x v="1"/>
    <b v="0"/>
    <x v="19"/>
    <n v="2"/>
  </r>
  <r>
    <x v="9"/>
    <x v="1"/>
    <b v="0"/>
    <x v="19"/>
    <n v="2"/>
  </r>
  <r>
    <x v="18"/>
    <x v="1"/>
    <b v="0"/>
    <x v="19"/>
    <n v="2"/>
  </r>
  <r>
    <x v="15"/>
    <x v="2"/>
    <b v="0"/>
    <x v="19"/>
    <n v="8.5500000000000007"/>
  </r>
  <r>
    <x v="0"/>
    <x v="0"/>
    <b v="0"/>
    <x v="20"/>
    <n v="-93.710000000000008"/>
  </r>
  <r>
    <x v="16"/>
    <x v="0"/>
    <b v="0"/>
    <x v="20"/>
    <n v="-0.46"/>
  </r>
  <r>
    <x v="1"/>
    <x v="0"/>
    <b v="0"/>
    <x v="20"/>
    <n v="-7.38"/>
  </r>
  <r>
    <x v="13"/>
    <x v="0"/>
    <b v="0"/>
    <x v="20"/>
    <n v="-11.35"/>
  </r>
  <r>
    <x v="20"/>
    <x v="0"/>
    <b v="0"/>
    <x v="20"/>
    <n v="-11.5"/>
  </r>
  <r>
    <x v="17"/>
    <x v="1"/>
    <b v="0"/>
    <x v="20"/>
    <n v="2"/>
  </r>
  <r>
    <x v="19"/>
    <x v="1"/>
    <b v="0"/>
    <x v="20"/>
    <n v="2"/>
  </r>
  <r>
    <x v="10"/>
    <x v="1"/>
    <b v="0"/>
    <x v="20"/>
    <n v="2"/>
  </r>
  <r>
    <x v="3"/>
    <x v="1"/>
    <b v="0"/>
    <x v="20"/>
    <n v="2"/>
  </r>
  <r>
    <x v="21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5"/>
    <x v="1"/>
    <b v="0"/>
    <x v="20"/>
    <n v="2"/>
  </r>
  <r>
    <x v="7"/>
    <x v="1"/>
    <b v="0"/>
    <x v="20"/>
    <n v="2"/>
  </r>
  <r>
    <x v="8"/>
    <x v="1"/>
    <b v="0"/>
    <x v="20"/>
    <n v="2"/>
  </r>
  <r>
    <x v="9"/>
    <x v="1"/>
    <b v="0"/>
    <x v="20"/>
    <n v="2"/>
  </r>
  <r>
    <x v="18"/>
    <x v="1"/>
    <b v="0"/>
    <x v="20"/>
    <n v="2"/>
  </r>
  <r>
    <x v="15"/>
    <x v="2"/>
    <b v="0"/>
    <x v="20"/>
    <n v="5.55"/>
  </r>
  <r>
    <x v="0"/>
    <x v="0"/>
    <b v="0"/>
    <x v="21"/>
    <n v="-92"/>
  </r>
  <r>
    <x v="1"/>
    <x v="0"/>
    <b v="0"/>
    <x v="21"/>
    <n v="-26"/>
  </r>
  <r>
    <x v="13"/>
    <x v="0"/>
    <b v="0"/>
    <x v="21"/>
    <n v="-2.6"/>
  </r>
  <r>
    <x v="17"/>
    <x v="1"/>
    <b v="0"/>
    <x v="21"/>
    <n v="2"/>
  </r>
  <r>
    <x v="19"/>
    <x v="1"/>
    <b v="0"/>
    <x v="21"/>
    <n v="1"/>
  </r>
  <r>
    <x v="10"/>
    <x v="1"/>
    <b v="0"/>
    <x v="21"/>
    <n v="2"/>
  </r>
  <r>
    <x v="3"/>
    <x v="1"/>
    <b v="0"/>
    <x v="21"/>
    <n v="2"/>
  </r>
  <r>
    <x v="21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5"/>
    <x v="1"/>
    <b v="0"/>
    <x v="21"/>
    <n v="2"/>
  </r>
  <r>
    <x v="22"/>
    <x v="1"/>
    <b v="0"/>
    <x v="21"/>
    <n v="2"/>
  </r>
  <r>
    <x v="7"/>
    <x v="1"/>
    <b v="0"/>
    <x v="21"/>
    <n v="2"/>
  </r>
  <r>
    <x v="8"/>
    <x v="1"/>
    <b v="0"/>
    <x v="21"/>
    <n v="2"/>
  </r>
  <r>
    <x v="9"/>
    <x v="1"/>
    <b v="0"/>
    <x v="21"/>
    <n v="2"/>
  </r>
  <r>
    <x v="18"/>
    <x v="1"/>
    <b v="0"/>
    <x v="21"/>
    <n v="2"/>
  </r>
  <r>
    <x v="15"/>
    <x v="2"/>
    <b v="0"/>
    <x v="21"/>
    <n v="9.75"/>
  </r>
  <r>
    <x v="1"/>
    <x v="0"/>
    <b v="0"/>
    <x v="22"/>
    <n v="-20"/>
  </r>
  <r>
    <x v="17"/>
    <x v="1"/>
    <b v="0"/>
    <x v="22"/>
    <n v="2"/>
  </r>
  <r>
    <x v="10"/>
    <x v="1"/>
    <b v="0"/>
    <x v="22"/>
    <n v="2"/>
  </r>
  <r>
    <x v="3"/>
    <x v="1"/>
    <b v="0"/>
    <x v="22"/>
    <n v="2"/>
  </r>
  <r>
    <x v="21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1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5"/>
    <x v="1"/>
    <b v="0"/>
    <x v="22"/>
    <n v="2"/>
  </r>
  <r>
    <x v="22"/>
    <x v="1"/>
    <b v="0"/>
    <x v="22"/>
    <n v="2"/>
  </r>
  <r>
    <x v="7"/>
    <x v="1"/>
    <b v="0"/>
    <x v="22"/>
    <n v="2"/>
  </r>
  <r>
    <x v="8"/>
    <x v="1"/>
    <b v="0"/>
    <x v="22"/>
    <n v="2"/>
  </r>
  <r>
    <x v="9"/>
    <x v="1"/>
    <b v="0"/>
    <x v="22"/>
    <n v="2"/>
  </r>
  <r>
    <x v="18"/>
    <x v="1"/>
    <b v="0"/>
    <x v="22"/>
    <n v="2"/>
  </r>
  <r>
    <x v="0"/>
    <x v="0"/>
    <b v="0"/>
    <x v="23"/>
    <n v="-47.310000000000009"/>
  </r>
  <r>
    <x v="1"/>
    <x v="0"/>
    <b v="0"/>
    <x v="23"/>
    <n v="-42.379999999999995"/>
  </r>
  <r>
    <x v="13"/>
    <x v="0"/>
    <b v="0"/>
    <x v="23"/>
    <n v="-27.78"/>
  </r>
  <r>
    <x v="20"/>
    <x v="0"/>
    <b v="0"/>
    <x v="23"/>
    <n v="-24.8"/>
  </r>
  <r>
    <x v="17"/>
    <x v="1"/>
    <b v="0"/>
    <x v="23"/>
    <n v="2"/>
  </r>
  <r>
    <x v="19"/>
    <x v="1"/>
    <b v="0"/>
    <x v="23"/>
    <n v="2"/>
  </r>
  <r>
    <x v="10"/>
    <x v="1"/>
    <b v="0"/>
    <x v="23"/>
    <n v="2"/>
  </r>
  <r>
    <x v="3"/>
    <x v="1"/>
    <b v="0"/>
    <x v="23"/>
    <n v="2"/>
  </r>
  <r>
    <x v="21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1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5"/>
    <x v="1"/>
    <b v="0"/>
    <x v="23"/>
    <n v="2"/>
  </r>
  <r>
    <x v="7"/>
    <x v="1"/>
    <b v="0"/>
    <x v="23"/>
    <n v="2"/>
  </r>
  <r>
    <x v="8"/>
    <x v="1"/>
    <b v="0"/>
    <x v="23"/>
    <n v="2"/>
  </r>
  <r>
    <x v="9"/>
    <x v="1"/>
    <b v="0"/>
    <x v="23"/>
    <n v="2"/>
  </r>
  <r>
    <x v="18"/>
    <x v="1"/>
    <b v="0"/>
    <x v="23"/>
    <n v="2"/>
  </r>
  <r>
    <x v="15"/>
    <x v="2"/>
    <b v="0"/>
    <x v="23"/>
    <n v="11.93"/>
  </r>
  <r>
    <x v="0"/>
    <x v="0"/>
    <b v="0"/>
    <x v="24"/>
    <n v="-12"/>
  </r>
  <r>
    <x v="1"/>
    <x v="0"/>
    <b v="0"/>
    <x v="24"/>
    <n v="-8"/>
  </r>
  <r>
    <x v="17"/>
    <x v="1"/>
    <b v="0"/>
    <x v="24"/>
    <n v="2"/>
  </r>
  <r>
    <x v="19"/>
    <x v="1"/>
    <b v="0"/>
    <x v="24"/>
    <n v="2"/>
  </r>
  <r>
    <x v="10"/>
    <x v="1"/>
    <b v="0"/>
    <x v="24"/>
    <n v="2"/>
  </r>
  <r>
    <x v="3"/>
    <x v="1"/>
    <b v="0"/>
    <x v="24"/>
    <n v="2"/>
  </r>
  <r>
    <x v="21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5"/>
    <x v="1"/>
    <b v="0"/>
    <x v="24"/>
    <n v="2"/>
  </r>
  <r>
    <x v="22"/>
    <x v="1"/>
    <b v="0"/>
    <x v="24"/>
    <n v="2"/>
  </r>
  <r>
    <x v="7"/>
    <x v="1"/>
    <b v="0"/>
    <x v="24"/>
    <n v="2"/>
  </r>
  <r>
    <x v="8"/>
    <x v="1"/>
    <b v="0"/>
    <x v="24"/>
    <n v="2"/>
  </r>
  <r>
    <x v="9"/>
    <x v="1"/>
    <b v="0"/>
    <x v="24"/>
    <n v="2"/>
  </r>
  <r>
    <x v="18"/>
    <x v="1"/>
    <b v="0"/>
    <x v="24"/>
    <n v="2"/>
  </r>
  <r>
    <x v="15"/>
    <x v="2"/>
    <b v="0"/>
    <x v="24"/>
    <n v="8.0299999999999994"/>
  </r>
  <r>
    <x v="0"/>
    <x v="0"/>
    <b v="0"/>
    <x v="25"/>
    <n v="-62.57"/>
  </r>
  <r>
    <x v="1"/>
    <x v="0"/>
    <b v="0"/>
    <x v="25"/>
    <n v="-11.940000000000001"/>
  </r>
  <r>
    <x v="13"/>
    <x v="0"/>
    <b v="0"/>
    <x v="25"/>
    <n v="-2"/>
  </r>
  <r>
    <x v="17"/>
    <x v="1"/>
    <b v="0"/>
    <x v="25"/>
    <n v="2"/>
  </r>
  <r>
    <x v="19"/>
    <x v="1"/>
    <b v="0"/>
    <x v="25"/>
    <n v="2"/>
  </r>
  <r>
    <x v="10"/>
    <x v="1"/>
    <b v="0"/>
    <x v="25"/>
    <n v="2"/>
  </r>
  <r>
    <x v="3"/>
    <x v="1"/>
    <b v="0"/>
    <x v="25"/>
    <n v="2"/>
  </r>
  <r>
    <x v="21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5"/>
    <x v="1"/>
    <b v="0"/>
    <x v="25"/>
    <n v="2"/>
  </r>
  <r>
    <x v="22"/>
    <x v="1"/>
    <b v="0"/>
    <x v="25"/>
    <n v="2"/>
  </r>
  <r>
    <x v="7"/>
    <x v="1"/>
    <b v="0"/>
    <x v="25"/>
    <n v="2"/>
  </r>
  <r>
    <x v="8"/>
    <x v="1"/>
    <b v="0"/>
    <x v="25"/>
    <n v="2"/>
  </r>
  <r>
    <x v="9"/>
    <x v="1"/>
    <b v="0"/>
    <x v="25"/>
    <n v="2"/>
  </r>
  <r>
    <x v="18"/>
    <x v="1"/>
    <b v="0"/>
    <x v="25"/>
    <n v="2"/>
  </r>
  <r>
    <x v="23"/>
    <x v="1"/>
    <b v="0"/>
    <x v="25"/>
    <n v="2"/>
  </r>
  <r>
    <x v="15"/>
    <x v="2"/>
    <b v="0"/>
    <x v="25"/>
    <n v="6.37"/>
  </r>
  <r>
    <x v="0"/>
    <x v="0"/>
    <b v="0"/>
    <x v="26"/>
    <n v="-19.96"/>
  </r>
  <r>
    <x v="1"/>
    <x v="0"/>
    <b v="0"/>
    <x v="26"/>
    <n v="-1.99"/>
  </r>
  <r>
    <x v="20"/>
    <x v="0"/>
    <b v="0"/>
    <x v="26"/>
    <n v="-11.36"/>
  </r>
  <r>
    <x v="17"/>
    <x v="1"/>
    <b v="0"/>
    <x v="26"/>
    <n v="3"/>
  </r>
  <r>
    <x v="19"/>
    <x v="1"/>
    <b v="0"/>
    <x v="26"/>
    <n v="3"/>
  </r>
  <r>
    <x v="10"/>
    <x v="1"/>
    <b v="0"/>
    <x v="26"/>
    <n v="3"/>
  </r>
  <r>
    <x v="3"/>
    <x v="1"/>
    <b v="0"/>
    <x v="26"/>
    <n v="3"/>
  </r>
  <r>
    <x v="21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2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5"/>
    <x v="1"/>
    <b v="0"/>
    <x v="26"/>
    <n v="3"/>
  </r>
  <r>
    <x v="22"/>
    <x v="1"/>
    <b v="0"/>
    <x v="26"/>
    <n v="3"/>
  </r>
  <r>
    <x v="7"/>
    <x v="1"/>
    <b v="0"/>
    <x v="26"/>
    <n v="3"/>
  </r>
  <r>
    <x v="8"/>
    <x v="1"/>
    <b v="0"/>
    <x v="26"/>
    <n v="3"/>
  </r>
  <r>
    <x v="9"/>
    <x v="1"/>
    <b v="0"/>
    <x v="26"/>
    <n v="3"/>
  </r>
  <r>
    <x v="23"/>
    <x v="1"/>
    <b v="0"/>
    <x v="26"/>
    <n v="3"/>
  </r>
  <r>
    <x v="15"/>
    <x v="2"/>
    <b v="0"/>
    <x v="26"/>
    <n v="7.42"/>
  </r>
  <r>
    <x v="0"/>
    <x v="0"/>
    <b v="0"/>
    <x v="27"/>
    <n v="-166.16"/>
  </r>
  <r>
    <x v="1"/>
    <x v="0"/>
    <b v="0"/>
    <x v="27"/>
    <n v="-5.2"/>
  </r>
  <r>
    <x v="17"/>
    <x v="1"/>
    <b v="0"/>
    <x v="27"/>
    <n v="3"/>
  </r>
  <r>
    <x v="19"/>
    <x v="1"/>
    <b v="0"/>
    <x v="27"/>
    <n v="3"/>
  </r>
  <r>
    <x v="10"/>
    <x v="1"/>
    <b v="0"/>
    <x v="27"/>
    <n v="3"/>
  </r>
  <r>
    <x v="3"/>
    <x v="1"/>
    <b v="0"/>
    <x v="27"/>
    <n v="3"/>
  </r>
  <r>
    <x v="21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2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5"/>
    <x v="1"/>
    <b v="0"/>
    <x v="27"/>
    <n v="3"/>
  </r>
  <r>
    <x v="22"/>
    <x v="1"/>
    <b v="0"/>
    <x v="27"/>
    <n v="3"/>
  </r>
  <r>
    <x v="7"/>
    <x v="1"/>
    <b v="0"/>
    <x v="27"/>
    <n v="3"/>
  </r>
  <r>
    <x v="8"/>
    <x v="1"/>
    <b v="0"/>
    <x v="27"/>
    <n v="3"/>
  </r>
  <r>
    <x v="9"/>
    <x v="1"/>
    <b v="0"/>
    <x v="27"/>
    <n v="3"/>
  </r>
  <r>
    <x v="18"/>
    <x v="1"/>
    <b v="0"/>
    <x v="27"/>
    <n v="3"/>
  </r>
  <r>
    <x v="23"/>
    <x v="1"/>
    <b v="0"/>
    <x v="27"/>
    <n v="3"/>
  </r>
  <r>
    <x v="15"/>
    <x v="2"/>
    <b v="0"/>
    <x v="27"/>
    <n v="12.839999999999998"/>
  </r>
  <r>
    <x v="16"/>
    <x v="0"/>
    <b v="0"/>
    <x v="28"/>
    <n v="-6.88"/>
  </r>
  <r>
    <x v="1"/>
    <x v="0"/>
    <b v="0"/>
    <x v="28"/>
    <n v="-16.61"/>
  </r>
  <r>
    <x v="17"/>
    <x v="1"/>
    <b v="0"/>
    <x v="28"/>
    <n v="3"/>
  </r>
  <r>
    <x v="19"/>
    <x v="1"/>
    <b v="0"/>
    <x v="28"/>
    <n v="3"/>
  </r>
  <r>
    <x v="10"/>
    <x v="1"/>
    <b v="0"/>
    <x v="28"/>
    <n v="3"/>
  </r>
  <r>
    <x v="3"/>
    <x v="1"/>
    <b v="0"/>
    <x v="28"/>
    <n v="3"/>
  </r>
  <r>
    <x v="21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5"/>
    <x v="1"/>
    <b v="0"/>
    <x v="28"/>
    <n v="3"/>
  </r>
  <r>
    <x v="22"/>
    <x v="1"/>
    <b v="0"/>
    <x v="28"/>
    <n v="3"/>
  </r>
  <r>
    <x v="7"/>
    <x v="1"/>
    <b v="0"/>
    <x v="28"/>
    <n v="3"/>
  </r>
  <r>
    <x v="8"/>
    <x v="1"/>
    <b v="0"/>
    <x v="28"/>
    <n v="3"/>
  </r>
  <r>
    <x v="9"/>
    <x v="1"/>
    <b v="0"/>
    <x v="28"/>
    <n v="3"/>
  </r>
  <r>
    <x v="18"/>
    <x v="1"/>
    <b v="0"/>
    <x v="28"/>
    <n v="3"/>
  </r>
  <r>
    <x v="23"/>
    <x v="1"/>
    <b v="0"/>
    <x v="28"/>
    <n v="3"/>
  </r>
  <r>
    <x v="15"/>
    <x v="2"/>
    <b v="0"/>
    <x v="28"/>
    <n v="9.7700000000000014"/>
  </r>
  <r>
    <x v="0"/>
    <x v="0"/>
    <b v="0"/>
    <x v="29"/>
    <n v="-91.39"/>
  </r>
  <r>
    <x v="1"/>
    <x v="0"/>
    <b v="0"/>
    <x v="29"/>
    <n v="-22.98"/>
  </r>
  <r>
    <x v="24"/>
    <x v="1"/>
    <b v="0"/>
    <x v="29"/>
    <n v="1.5"/>
  </r>
  <r>
    <x v="17"/>
    <x v="1"/>
    <b v="0"/>
    <x v="29"/>
    <n v="3"/>
  </r>
  <r>
    <x v="10"/>
    <x v="1"/>
    <b v="0"/>
    <x v="29"/>
    <n v="3"/>
  </r>
  <r>
    <x v="21"/>
    <x v="1"/>
    <b v="0"/>
    <x v="29"/>
    <n v="3"/>
  </r>
  <r>
    <x v="5"/>
    <x v="1"/>
    <b v="0"/>
    <x v="29"/>
    <n v="1.5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5"/>
    <x v="1"/>
    <b v="0"/>
    <x v="29"/>
    <n v="3"/>
  </r>
  <r>
    <x v="22"/>
    <x v="1"/>
    <b v="0"/>
    <x v="29"/>
    <n v="3"/>
  </r>
  <r>
    <x v="7"/>
    <x v="1"/>
    <b v="0"/>
    <x v="29"/>
    <n v="3"/>
  </r>
  <r>
    <x v="8"/>
    <x v="1"/>
    <b v="0"/>
    <x v="29"/>
    <n v="3"/>
  </r>
  <r>
    <x v="9"/>
    <x v="1"/>
    <b v="0"/>
    <x v="29"/>
    <n v="3"/>
  </r>
  <r>
    <x v="18"/>
    <x v="1"/>
    <b v="0"/>
    <x v="29"/>
    <n v="3"/>
  </r>
  <r>
    <x v="23"/>
    <x v="1"/>
    <b v="0"/>
    <x v="29"/>
    <n v="3"/>
  </r>
  <r>
    <x v="15"/>
    <x v="2"/>
    <b v="0"/>
    <x v="29"/>
    <n v="8.4799999999999986"/>
  </r>
  <r>
    <x v="0"/>
    <x v="0"/>
    <b v="0"/>
    <x v="30"/>
    <n v="-143"/>
  </r>
  <r>
    <x v="1"/>
    <x v="0"/>
    <b v="0"/>
    <x v="30"/>
    <n v="-18.5"/>
  </r>
  <r>
    <x v="24"/>
    <x v="1"/>
    <b v="0"/>
    <x v="30"/>
    <n v="1.5"/>
  </r>
  <r>
    <x v="17"/>
    <x v="1"/>
    <b v="0"/>
    <x v="30"/>
    <n v="3"/>
  </r>
  <r>
    <x v="19"/>
    <x v="1"/>
    <b v="0"/>
    <x v="30"/>
    <n v="3"/>
  </r>
  <r>
    <x v="10"/>
    <x v="1"/>
    <b v="0"/>
    <x v="30"/>
    <n v="3"/>
  </r>
  <r>
    <x v="3"/>
    <x v="1"/>
    <b v="0"/>
    <x v="30"/>
    <n v="3"/>
  </r>
  <r>
    <x v="21"/>
    <x v="1"/>
    <b v="0"/>
    <x v="30"/>
    <n v="3"/>
  </r>
  <r>
    <x v="5"/>
    <x v="1"/>
    <b v="0"/>
    <x v="30"/>
    <n v="1.5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3"/>
  </r>
  <r>
    <x v="5"/>
    <x v="1"/>
    <b v="0"/>
    <x v="30"/>
    <n v="2"/>
  </r>
  <r>
    <x v="22"/>
    <x v="1"/>
    <b v="0"/>
    <x v="30"/>
    <n v="3"/>
  </r>
  <r>
    <x v="7"/>
    <x v="1"/>
    <b v="0"/>
    <x v="30"/>
    <n v="3"/>
  </r>
  <r>
    <x v="8"/>
    <x v="1"/>
    <b v="0"/>
    <x v="30"/>
    <n v="3"/>
  </r>
  <r>
    <x v="9"/>
    <x v="1"/>
    <b v="0"/>
    <x v="30"/>
    <n v="3"/>
  </r>
  <r>
    <x v="18"/>
    <x v="1"/>
    <b v="0"/>
    <x v="30"/>
    <n v="3"/>
  </r>
  <r>
    <x v="23"/>
    <x v="1"/>
    <b v="0"/>
    <x v="30"/>
    <n v="3"/>
  </r>
  <r>
    <x v="15"/>
    <x v="2"/>
    <b v="0"/>
    <x v="30"/>
    <n v="10.299999999999999"/>
  </r>
  <r>
    <x v="1"/>
    <x v="0"/>
    <b v="0"/>
    <x v="31"/>
    <n v="-24.769999999999996"/>
  </r>
  <r>
    <x v="13"/>
    <x v="0"/>
    <b v="0"/>
    <x v="31"/>
    <n v="-2.2000000000000002"/>
  </r>
  <r>
    <x v="20"/>
    <x v="0"/>
    <b v="0"/>
    <x v="31"/>
    <n v="-11.260000000000002"/>
  </r>
  <r>
    <x v="19"/>
    <x v="1"/>
    <b v="0"/>
    <x v="31"/>
    <n v="3"/>
  </r>
  <r>
    <x v="10"/>
    <x v="1"/>
    <b v="0"/>
    <x v="31"/>
    <n v="3"/>
  </r>
  <r>
    <x v="3"/>
    <x v="1"/>
    <b v="0"/>
    <x v="31"/>
    <n v="3"/>
  </r>
  <r>
    <x v="21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5"/>
    <x v="1"/>
    <b v="0"/>
    <x v="31"/>
    <n v="3"/>
  </r>
  <r>
    <x v="22"/>
    <x v="1"/>
    <b v="0"/>
    <x v="31"/>
    <n v="3"/>
  </r>
  <r>
    <x v="7"/>
    <x v="1"/>
    <b v="0"/>
    <x v="31"/>
    <n v="3"/>
  </r>
  <r>
    <x v="8"/>
    <x v="1"/>
    <b v="0"/>
    <x v="31"/>
    <n v="3"/>
  </r>
  <r>
    <x v="9"/>
    <x v="1"/>
    <b v="0"/>
    <x v="31"/>
    <n v="3"/>
  </r>
  <r>
    <x v="18"/>
    <x v="1"/>
    <b v="0"/>
    <x v="31"/>
    <n v="3"/>
  </r>
  <r>
    <x v="23"/>
    <x v="1"/>
    <b v="0"/>
    <x v="31"/>
    <n v="3"/>
  </r>
  <r>
    <x v="15"/>
    <x v="2"/>
    <b v="0"/>
    <x v="31"/>
    <n v="5.3"/>
  </r>
  <r>
    <x v="0"/>
    <x v="0"/>
    <b v="0"/>
    <x v="32"/>
    <n v="-46.32"/>
  </r>
  <r>
    <x v="16"/>
    <x v="0"/>
    <b v="0"/>
    <x v="32"/>
    <n v="-20.080000000000002"/>
  </r>
  <r>
    <x v="1"/>
    <x v="0"/>
    <b v="0"/>
    <x v="32"/>
    <n v="-40.799999999999997"/>
  </r>
  <r>
    <x v="13"/>
    <x v="0"/>
    <b v="0"/>
    <x v="32"/>
    <n v="-2"/>
  </r>
  <r>
    <x v="19"/>
    <x v="1"/>
    <b v="0"/>
    <x v="32"/>
    <n v="3"/>
  </r>
  <r>
    <x v="10"/>
    <x v="1"/>
    <b v="0"/>
    <x v="32"/>
    <n v="3"/>
  </r>
  <r>
    <x v="3"/>
    <x v="1"/>
    <b v="0"/>
    <x v="32"/>
    <n v="3"/>
  </r>
  <r>
    <x v="21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1.5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5"/>
    <x v="1"/>
    <b v="0"/>
    <x v="32"/>
    <n v="3"/>
  </r>
  <r>
    <x v="22"/>
    <x v="1"/>
    <b v="0"/>
    <x v="32"/>
    <n v="3"/>
  </r>
  <r>
    <x v="7"/>
    <x v="1"/>
    <b v="0"/>
    <x v="32"/>
    <n v="3"/>
  </r>
  <r>
    <x v="8"/>
    <x v="1"/>
    <b v="0"/>
    <x v="32"/>
    <n v="3"/>
  </r>
  <r>
    <x v="9"/>
    <x v="1"/>
    <b v="0"/>
    <x v="32"/>
    <n v="3"/>
  </r>
  <r>
    <x v="23"/>
    <x v="1"/>
    <b v="0"/>
    <x v="32"/>
    <n v="3"/>
  </r>
  <r>
    <x v="15"/>
    <x v="2"/>
    <b v="0"/>
    <x v="32"/>
    <n v="7.76"/>
  </r>
  <r>
    <x v="0"/>
    <x v="0"/>
    <b v="0"/>
    <x v="33"/>
    <n v="-7"/>
  </r>
  <r>
    <x v="16"/>
    <x v="0"/>
    <b v="0"/>
    <x v="33"/>
    <n v="-2.54"/>
  </r>
  <r>
    <x v="1"/>
    <x v="0"/>
    <b v="0"/>
    <x v="33"/>
    <n v="-42.809999999999995"/>
  </r>
  <r>
    <x v="13"/>
    <x v="0"/>
    <b v="0"/>
    <x v="33"/>
    <n v="-16.97"/>
  </r>
  <r>
    <x v="20"/>
    <x v="0"/>
    <b v="0"/>
    <x v="33"/>
    <n v="-35.94"/>
  </r>
  <r>
    <x v="10"/>
    <x v="1"/>
    <b v="0"/>
    <x v="33"/>
    <n v="3"/>
  </r>
  <r>
    <x v="3"/>
    <x v="1"/>
    <b v="0"/>
    <x v="33"/>
    <n v="3"/>
  </r>
  <r>
    <x v="21"/>
    <x v="1"/>
    <b v="0"/>
    <x v="33"/>
    <n v="1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5"/>
    <x v="1"/>
    <b v="0"/>
    <x v="33"/>
    <n v="3"/>
  </r>
  <r>
    <x v="22"/>
    <x v="1"/>
    <b v="0"/>
    <x v="33"/>
    <n v="3"/>
  </r>
  <r>
    <x v="7"/>
    <x v="1"/>
    <b v="0"/>
    <x v="33"/>
    <n v="3"/>
  </r>
  <r>
    <x v="8"/>
    <x v="1"/>
    <b v="0"/>
    <x v="33"/>
    <n v="3"/>
  </r>
  <r>
    <x v="9"/>
    <x v="1"/>
    <b v="0"/>
    <x v="33"/>
    <n v="3"/>
  </r>
  <r>
    <x v="23"/>
    <x v="1"/>
    <b v="0"/>
    <x v="33"/>
    <n v="3"/>
  </r>
  <r>
    <x v="0"/>
    <x v="0"/>
    <b v="0"/>
    <x v="34"/>
    <n v="-86.99"/>
  </r>
  <r>
    <x v="16"/>
    <x v="0"/>
    <b v="0"/>
    <x v="34"/>
    <n v="-7.91"/>
  </r>
  <r>
    <x v="1"/>
    <x v="0"/>
    <b v="0"/>
    <x v="34"/>
    <n v="-20.68"/>
  </r>
  <r>
    <x v="13"/>
    <x v="0"/>
    <b v="0"/>
    <x v="34"/>
    <n v="-3.42"/>
  </r>
  <r>
    <x v="10"/>
    <x v="1"/>
    <b v="0"/>
    <x v="34"/>
    <n v="3"/>
  </r>
  <r>
    <x v="3"/>
    <x v="1"/>
    <b v="0"/>
    <x v="34"/>
    <n v="3"/>
  </r>
  <r>
    <x v="21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5"/>
    <x v="1"/>
    <b v="0"/>
    <x v="34"/>
    <n v="3"/>
  </r>
  <r>
    <x v="7"/>
    <x v="1"/>
    <b v="0"/>
    <x v="34"/>
    <n v="3"/>
  </r>
  <r>
    <x v="8"/>
    <x v="1"/>
    <b v="0"/>
    <x v="34"/>
    <n v="3"/>
  </r>
  <r>
    <x v="23"/>
    <x v="1"/>
    <b v="0"/>
    <x v="34"/>
    <n v="3"/>
  </r>
  <r>
    <x v="15"/>
    <x v="2"/>
    <b v="0"/>
    <x v="34"/>
    <n v="3.379999999999999"/>
  </r>
  <r>
    <x v="0"/>
    <x v="0"/>
    <b v="0"/>
    <x v="35"/>
    <n v="-8.9700000000000006"/>
  </r>
  <r>
    <x v="19"/>
    <x v="1"/>
    <b v="0"/>
    <x v="35"/>
    <n v="3"/>
  </r>
  <r>
    <x v="3"/>
    <x v="1"/>
    <b v="0"/>
    <x v="35"/>
    <n v="3"/>
  </r>
  <r>
    <x v="21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5"/>
    <x v="1"/>
    <b v="0"/>
    <x v="35"/>
    <n v="3"/>
  </r>
  <r>
    <x v="7"/>
    <x v="1"/>
    <b v="0"/>
    <x v="35"/>
    <n v="3"/>
  </r>
  <r>
    <x v="8"/>
    <x v="1"/>
    <b v="0"/>
    <x v="35"/>
    <n v="3"/>
  </r>
  <r>
    <x v="9"/>
    <x v="1"/>
    <b v="0"/>
    <x v="35"/>
    <n v="3"/>
  </r>
  <r>
    <x v="23"/>
    <x v="1"/>
    <b v="0"/>
    <x v="35"/>
    <n v="3"/>
  </r>
  <r>
    <x v="15"/>
    <x v="2"/>
    <b v="0"/>
    <x v="35"/>
    <n v="5.42"/>
  </r>
  <r>
    <x v="0"/>
    <x v="0"/>
    <b v="0"/>
    <x v="36"/>
    <n v="-46.32"/>
  </r>
  <r>
    <x v="16"/>
    <x v="0"/>
    <b v="0"/>
    <x v="36"/>
    <n v="-0.56000000000000005"/>
  </r>
  <r>
    <x v="1"/>
    <x v="0"/>
    <b v="0"/>
    <x v="36"/>
    <n v="-23.04"/>
  </r>
  <r>
    <x v="13"/>
    <x v="0"/>
    <b v="0"/>
    <x v="36"/>
    <n v="-16.32"/>
  </r>
  <r>
    <x v="20"/>
    <x v="0"/>
    <b v="0"/>
    <x v="36"/>
    <n v="-34.29"/>
  </r>
  <r>
    <x v="19"/>
    <x v="1"/>
    <b v="0"/>
    <x v="36"/>
    <n v="3"/>
  </r>
  <r>
    <x v="3"/>
    <x v="1"/>
    <b v="0"/>
    <x v="36"/>
    <n v="3"/>
  </r>
  <r>
    <x v="21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5"/>
    <x v="1"/>
    <b v="0"/>
    <x v="36"/>
    <n v="3"/>
  </r>
  <r>
    <x v="7"/>
    <x v="1"/>
    <b v="0"/>
    <x v="36"/>
    <n v="3"/>
  </r>
  <r>
    <x v="8"/>
    <x v="1"/>
    <b v="0"/>
    <x v="36"/>
    <n v="3"/>
  </r>
  <r>
    <x v="9"/>
    <x v="1"/>
    <b v="0"/>
    <x v="36"/>
    <n v="3"/>
  </r>
  <r>
    <x v="23"/>
    <x v="1"/>
    <b v="0"/>
    <x v="36"/>
    <n v="3"/>
  </r>
  <r>
    <x v="15"/>
    <x v="2"/>
    <b v="0"/>
    <x v="36"/>
    <n v="16.79"/>
  </r>
  <r>
    <x v="0"/>
    <x v="0"/>
    <b v="0"/>
    <x v="37"/>
    <n v="-131"/>
  </r>
  <r>
    <x v="16"/>
    <x v="0"/>
    <b v="0"/>
    <x v="37"/>
    <n v="-2.12"/>
  </r>
  <r>
    <x v="3"/>
    <x v="1"/>
    <b v="0"/>
    <x v="37"/>
    <n v="3"/>
  </r>
  <r>
    <x v="21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5"/>
    <x v="1"/>
    <b v="0"/>
    <x v="37"/>
    <n v="3"/>
  </r>
  <r>
    <x v="7"/>
    <x v="1"/>
    <b v="0"/>
    <x v="37"/>
    <n v="3"/>
  </r>
  <r>
    <x v="8"/>
    <x v="1"/>
    <b v="0"/>
    <x v="37"/>
    <n v="3"/>
  </r>
  <r>
    <x v="9"/>
    <x v="1"/>
    <b v="0"/>
    <x v="37"/>
    <n v="3"/>
  </r>
  <r>
    <x v="23"/>
    <x v="1"/>
    <b v="0"/>
    <x v="37"/>
    <n v="3"/>
  </r>
  <r>
    <x v="15"/>
    <x v="2"/>
    <b v="0"/>
    <x v="37"/>
    <n v="12.24"/>
  </r>
  <r>
    <x v="1"/>
    <x v="0"/>
    <b v="0"/>
    <x v="38"/>
    <n v="-23"/>
  </r>
  <r>
    <x v="3"/>
    <x v="1"/>
    <b v="0"/>
    <x v="38"/>
    <n v="3"/>
  </r>
  <r>
    <x v="21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5"/>
    <x v="1"/>
    <b v="0"/>
    <x v="38"/>
    <n v="3"/>
  </r>
  <r>
    <x v="7"/>
    <x v="1"/>
    <b v="0"/>
    <x v="38"/>
    <n v="3"/>
  </r>
  <r>
    <x v="8"/>
    <x v="1"/>
    <b v="0"/>
    <x v="38"/>
    <n v="3"/>
  </r>
  <r>
    <x v="9"/>
    <x v="1"/>
    <b v="0"/>
    <x v="38"/>
    <n v="3"/>
  </r>
  <r>
    <x v="23"/>
    <x v="1"/>
    <b v="0"/>
    <x v="38"/>
    <n v="3"/>
  </r>
  <r>
    <x v="0"/>
    <x v="0"/>
    <b v="0"/>
    <x v="39"/>
    <n v="-5"/>
  </r>
  <r>
    <x v="16"/>
    <x v="0"/>
    <b v="0"/>
    <x v="39"/>
    <n v="-28"/>
  </r>
  <r>
    <x v="1"/>
    <x v="0"/>
    <b v="0"/>
    <x v="39"/>
    <n v="-20"/>
  </r>
  <r>
    <x v="20"/>
    <x v="0"/>
    <b v="0"/>
    <x v="39"/>
    <n v="-23.98"/>
  </r>
  <r>
    <x v="3"/>
    <x v="1"/>
    <b v="0"/>
    <x v="39"/>
    <n v="3"/>
  </r>
  <r>
    <x v="21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5"/>
    <x v="1"/>
    <b v="0"/>
    <x v="39"/>
    <n v="3"/>
  </r>
  <r>
    <x v="7"/>
    <x v="1"/>
    <b v="0"/>
    <x v="39"/>
    <n v="3"/>
  </r>
  <r>
    <x v="8"/>
    <x v="1"/>
    <b v="0"/>
    <x v="39"/>
    <n v="3"/>
  </r>
  <r>
    <x v="9"/>
    <x v="1"/>
    <b v="0"/>
    <x v="39"/>
    <n v="3"/>
  </r>
  <r>
    <x v="23"/>
    <x v="1"/>
    <b v="0"/>
    <x v="39"/>
    <n v="3"/>
  </r>
  <r>
    <x v="15"/>
    <x v="2"/>
    <b v="0"/>
    <x v="39"/>
    <n v="18.600000000000001"/>
  </r>
  <r>
    <x v="0"/>
    <x v="0"/>
    <b v="0"/>
    <x v="40"/>
    <n v="-140.03"/>
  </r>
  <r>
    <x v="16"/>
    <x v="0"/>
    <b v="0"/>
    <x v="40"/>
    <n v="-6.35"/>
  </r>
  <r>
    <x v="3"/>
    <x v="1"/>
    <b v="0"/>
    <x v="40"/>
    <n v="3"/>
  </r>
  <r>
    <x v="21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5"/>
    <x v="1"/>
    <b v="0"/>
    <x v="40"/>
    <n v="3"/>
  </r>
  <r>
    <x v="7"/>
    <x v="1"/>
    <b v="0"/>
    <x v="40"/>
    <n v="3"/>
  </r>
  <r>
    <x v="8"/>
    <x v="1"/>
    <b v="0"/>
    <x v="40"/>
    <n v="3"/>
  </r>
  <r>
    <x v="9"/>
    <x v="1"/>
    <b v="0"/>
    <x v="40"/>
    <n v="3"/>
  </r>
  <r>
    <x v="23"/>
    <x v="1"/>
    <b v="0"/>
    <x v="40"/>
    <n v="3"/>
  </r>
  <r>
    <x v="15"/>
    <x v="2"/>
    <b v="0"/>
    <x v="40"/>
    <n v="12.440000000000001"/>
  </r>
  <r>
    <x v="0"/>
    <x v="0"/>
    <b v="0"/>
    <x v="41"/>
    <n v="-63.64"/>
  </r>
  <r>
    <x v="1"/>
    <x v="0"/>
    <b v="0"/>
    <x v="41"/>
    <n v="-0.69"/>
  </r>
  <r>
    <x v="20"/>
    <x v="0"/>
    <b v="0"/>
    <x v="41"/>
    <n v="-18.669999999999998"/>
  </r>
  <r>
    <x v="3"/>
    <x v="1"/>
    <b v="0"/>
    <x v="41"/>
    <n v="3"/>
  </r>
  <r>
    <x v="21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1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0"/>
  </r>
  <r>
    <x v="5"/>
    <x v="1"/>
    <b v="0"/>
    <x v="41"/>
    <n v="2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5"/>
    <x v="1"/>
    <b v="0"/>
    <x v="41"/>
    <n v="3"/>
  </r>
  <r>
    <x v="7"/>
    <x v="1"/>
    <b v="0"/>
    <x v="41"/>
    <n v="3"/>
  </r>
  <r>
    <x v="8"/>
    <x v="1"/>
    <b v="0"/>
    <x v="41"/>
    <n v="3"/>
  </r>
  <r>
    <x v="9"/>
    <x v="1"/>
    <b v="0"/>
    <x v="41"/>
    <n v="3"/>
  </r>
  <r>
    <x v="23"/>
    <x v="1"/>
    <b v="0"/>
    <x v="41"/>
    <n v="3"/>
  </r>
  <r>
    <x v="15"/>
    <x v="2"/>
    <b v="0"/>
    <x v="41"/>
    <n v="18.73"/>
  </r>
  <r>
    <x v="0"/>
    <x v="0"/>
    <b v="0"/>
    <x v="42"/>
    <n v="-106.32"/>
  </r>
  <r>
    <x v="1"/>
    <x v="0"/>
    <b v="0"/>
    <x v="42"/>
    <n v="-39.68"/>
  </r>
  <r>
    <x v="3"/>
    <x v="1"/>
    <b v="0"/>
    <x v="42"/>
    <n v="3"/>
  </r>
  <r>
    <x v="21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2"/>
  </r>
  <r>
    <x v="5"/>
    <x v="1"/>
    <b v="0"/>
    <x v="42"/>
    <n v="1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0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5"/>
    <x v="1"/>
    <b v="0"/>
    <x v="42"/>
    <n v="3"/>
  </r>
  <r>
    <x v="7"/>
    <x v="1"/>
    <b v="0"/>
    <x v="42"/>
    <n v="3"/>
  </r>
  <r>
    <x v="8"/>
    <x v="1"/>
    <b v="0"/>
    <x v="42"/>
    <n v="3"/>
  </r>
  <r>
    <x v="9"/>
    <x v="1"/>
    <b v="0"/>
    <x v="42"/>
    <n v="3"/>
  </r>
  <r>
    <x v="18"/>
    <x v="1"/>
    <b v="0"/>
    <x v="42"/>
    <n v="3"/>
  </r>
  <r>
    <x v="23"/>
    <x v="1"/>
    <b v="0"/>
    <x v="42"/>
    <n v="3"/>
  </r>
  <r>
    <x v="0"/>
    <x v="0"/>
    <b v="0"/>
    <x v="43"/>
    <n v="-136.62"/>
  </r>
  <r>
    <x v="1"/>
    <x v="0"/>
    <b v="0"/>
    <x v="43"/>
    <n v="-22.68"/>
  </r>
  <r>
    <x v="13"/>
    <x v="0"/>
    <b v="0"/>
    <x v="43"/>
    <n v="-12.69"/>
  </r>
  <r>
    <x v="20"/>
    <x v="0"/>
    <b v="0"/>
    <x v="43"/>
    <n v="-0.13"/>
  </r>
  <r>
    <x v="3"/>
    <x v="1"/>
    <b v="0"/>
    <x v="43"/>
    <n v="3"/>
  </r>
  <r>
    <x v="21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5"/>
    <x v="1"/>
    <b v="0"/>
    <x v="43"/>
    <n v="3"/>
  </r>
  <r>
    <x v="7"/>
    <x v="1"/>
    <b v="0"/>
    <x v="43"/>
    <n v="3"/>
  </r>
  <r>
    <x v="8"/>
    <x v="1"/>
    <b v="0"/>
    <x v="43"/>
    <n v="3"/>
  </r>
  <r>
    <x v="9"/>
    <x v="1"/>
    <b v="0"/>
    <x v="43"/>
    <n v="3"/>
  </r>
  <r>
    <x v="18"/>
    <x v="1"/>
    <b v="0"/>
    <x v="43"/>
    <n v="3"/>
  </r>
  <r>
    <x v="23"/>
    <x v="1"/>
    <b v="0"/>
    <x v="43"/>
    <n v="3"/>
  </r>
  <r>
    <x v="15"/>
    <x v="2"/>
    <b v="0"/>
    <x v="43"/>
    <n v="17.439999999999998"/>
  </r>
  <r>
    <x v="0"/>
    <x v="0"/>
    <b v="0"/>
    <x v="44"/>
    <n v="-10"/>
  </r>
  <r>
    <x v="16"/>
    <x v="0"/>
    <b v="0"/>
    <x v="44"/>
    <n v="-4"/>
  </r>
  <r>
    <x v="1"/>
    <x v="0"/>
    <b v="0"/>
    <x v="44"/>
    <n v="-4"/>
  </r>
  <r>
    <x v="20"/>
    <x v="0"/>
    <b v="0"/>
    <x v="44"/>
    <n v="-18"/>
  </r>
  <r>
    <x v="19"/>
    <x v="1"/>
    <b v="0"/>
    <x v="44"/>
    <n v="3"/>
  </r>
  <r>
    <x v="21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5"/>
    <x v="1"/>
    <b v="0"/>
    <x v="44"/>
    <n v="3"/>
  </r>
  <r>
    <x v="7"/>
    <x v="1"/>
    <b v="0"/>
    <x v="44"/>
    <n v="3"/>
  </r>
  <r>
    <x v="8"/>
    <x v="1"/>
    <b v="0"/>
    <x v="44"/>
    <n v="3"/>
  </r>
  <r>
    <x v="9"/>
    <x v="1"/>
    <b v="0"/>
    <x v="44"/>
    <n v="3"/>
  </r>
  <r>
    <x v="18"/>
    <x v="1"/>
    <b v="0"/>
    <x v="44"/>
    <n v="3"/>
  </r>
  <r>
    <x v="23"/>
    <x v="1"/>
    <b v="0"/>
    <x v="44"/>
    <n v="3"/>
  </r>
  <r>
    <x v="15"/>
    <x v="2"/>
    <b v="0"/>
    <x v="44"/>
    <n v="10.07"/>
  </r>
  <r>
    <x v="1"/>
    <x v="0"/>
    <b v="0"/>
    <x v="45"/>
    <n v="-17.11"/>
  </r>
  <r>
    <x v="20"/>
    <x v="0"/>
    <b v="0"/>
    <x v="45"/>
    <n v="-21"/>
  </r>
  <r>
    <x v="3"/>
    <x v="1"/>
    <b v="0"/>
    <x v="45"/>
    <n v="3"/>
  </r>
  <r>
    <x v="21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5"/>
    <x v="1"/>
    <b v="0"/>
    <x v="45"/>
    <n v="3"/>
  </r>
  <r>
    <x v="7"/>
    <x v="1"/>
    <b v="0"/>
    <x v="45"/>
    <n v="3"/>
  </r>
  <r>
    <x v="8"/>
    <x v="1"/>
    <b v="0"/>
    <x v="45"/>
    <n v="3"/>
  </r>
  <r>
    <x v="9"/>
    <x v="1"/>
    <b v="0"/>
    <x v="45"/>
    <n v="3"/>
  </r>
  <r>
    <x v="18"/>
    <x v="1"/>
    <b v="0"/>
    <x v="45"/>
    <n v="3"/>
  </r>
  <r>
    <x v="23"/>
    <x v="1"/>
    <b v="0"/>
    <x v="45"/>
    <n v="3"/>
  </r>
  <r>
    <x v="15"/>
    <x v="2"/>
    <b v="0"/>
    <x v="45"/>
    <n v="13.16"/>
  </r>
  <r>
    <x v="0"/>
    <x v="0"/>
    <b v="0"/>
    <x v="46"/>
    <n v="-152.06"/>
  </r>
  <r>
    <x v="1"/>
    <x v="0"/>
    <b v="0"/>
    <x v="46"/>
    <n v="-2"/>
  </r>
  <r>
    <x v="13"/>
    <x v="0"/>
    <b v="0"/>
    <x v="46"/>
    <n v="-1.89"/>
  </r>
  <r>
    <x v="19"/>
    <x v="1"/>
    <b v="0"/>
    <x v="46"/>
    <n v="2"/>
  </r>
  <r>
    <x v="3"/>
    <x v="1"/>
    <b v="0"/>
    <x v="46"/>
    <n v="3"/>
  </r>
  <r>
    <x v="21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5"/>
    <x v="1"/>
    <b v="0"/>
    <x v="46"/>
    <n v="3"/>
  </r>
  <r>
    <x v="7"/>
    <x v="1"/>
    <b v="0"/>
    <x v="46"/>
    <n v="3"/>
  </r>
  <r>
    <x v="8"/>
    <x v="1"/>
    <b v="0"/>
    <x v="46"/>
    <n v="3"/>
  </r>
  <r>
    <x v="9"/>
    <x v="1"/>
    <b v="0"/>
    <x v="46"/>
    <n v="3"/>
  </r>
  <r>
    <x v="18"/>
    <x v="1"/>
    <b v="0"/>
    <x v="46"/>
    <n v="3"/>
  </r>
  <r>
    <x v="23"/>
    <x v="1"/>
    <b v="0"/>
    <x v="46"/>
    <n v="3"/>
  </r>
  <r>
    <x v="25"/>
    <x v="1"/>
    <b v="0"/>
    <x v="46"/>
    <n v="3"/>
  </r>
  <r>
    <x v="15"/>
    <x v="2"/>
    <b v="0"/>
    <x v="46"/>
    <n v="11.629999999999999"/>
  </r>
  <r>
    <x v="0"/>
    <x v="0"/>
    <b v="0"/>
    <x v="47"/>
    <n v="-42"/>
  </r>
  <r>
    <x v="1"/>
    <x v="0"/>
    <b v="0"/>
    <x v="47"/>
    <n v="-61"/>
  </r>
  <r>
    <x v="13"/>
    <x v="0"/>
    <b v="0"/>
    <x v="47"/>
    <n v="-5"/>
  </r>
  <r>
    <x v="19"/>
    <x v="1"/>
    <b v="0"/>
    <x v="47"/>
    <n v="3"/>
  </r>
  <r>
    <x v="3"/>
    <x v="1"/>
    <b v="0"/>
    <x v="47"/>
    <n v="3"/>
  </r>
  <r>
    <x v="21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5"/>
    <x v="1"/>
    <b v="0"/>
    <x v="47"/>
    <n v="3"/>
  </r>
  <r>
    <x v="7"/>
    <x v="1"/>
    <b v="0"/>
    <x v="47"/>
    <n v="3"/>
  </r>
  <r>
    <x v="8"/>
    <x v="1"/>
    <b v="0"/>
    <x v="47"/>
    <n v="3"/>
  </r>
  <r>
    <x v="9"/>
    <x v="1"/>
    <b v="0"/>
    <x v="47"/>
    <n v="3"/>
  </r>
  <r>
    <x v="18"/>
    <x v="1"/>
    <b v="0"/>
    <x v="47"/>
    <n v="3"/>
  </r>
  <r>
    <x v="23"/>
    <x v="1"/>
    <b v="0"/>
    <x v="47"/>
    <n v="3"/>
  </r>
  <r>
    <x v="25"/>
    <x v="1"/>
    <b v="0"/>
    <x v="47"/>
    <n v="3"/>
  </r>
  <r>
    <x v="15"/>
    <x v="2"/>
    <b v="0"/>
    <x v="47"/>
    <n v="13.28"/>
  </r>
  <r>
    <x v="0"/>
    <x v="0"/>
    <b v="0"/>
    <x v="48"/>
    <n v="-38"/>
  </r>
  <r>
    <x v="1"/>
    <x v="0"/>
    <b v="0"/>
    <x v="48"/>
    <n v="-17"/>
  </r>
  <r>
    <x v="13"/>
    <x v="0"/>
    <b v="0"/>
    <x v="48"/>
    <n v="-5"/>
  </r>
  <r>
    <x v="3"/>
    <x v="1"/>
    <b v="0"/>
    <x v="48"/>
    <n v="3"/>
  </r>
  <r>
    <x v="21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5"/>
    <x v="1"/>
    <b v="0"/>
    <x v="48"/>
    <n v="3"/>
  </r>
  <r>
    <x v="7"/>
    <x v="1"/>
    <b v="0"/>
    <x v="48"/>
    <n v="3"/>
  </r>
  <r>
    <x v="8"/>
    <x v="1"/>
    <b v="0"/>
    <x v="48"/>
    <n v="3"/>
  </r>
  <r>
    <x v="9"/>
    <x v="1"/>
    <b v="0"/>
    <x v="48"/>
    <n v="3"/>
  </r>
  <r>
    <x v="18"/>
    <x v="1"/>
    <b v="0"/>
    <x v="48"/>
    <n v="3"/>
  </r>
  <r>
    <x v="23"/>
    <x v="1"/>
    <b v="0"/>
    <x v="48"/>
    <n v="3"/>
  </r>
  <r>
    <x v="25"/>
    <x v="1"/>
    <b v="0"/>
    <x v="48"/>
    <n v="3"/>
  </r>
  <r>
    <x v="0"/>
    <x v="0"/>
    <b v="0"/>
    <x v="49"/>
    <n v="-110"/>
  </r>
  <r>
    <x v="1"/>
    <x v="0"/>
    <b v="0"/>
    <x v="49"/>
    <n v="-28"/>
  </r>
  <r>
    <x v="13"/>
    <x v="0"/>
    <b v="0"/>
    <x v="49"/>
    <n v="-5"/>
  </r>
  <r>
    <x v="19"/>
    <x v="1"/>
    <b v="0"/>
    <x v="49"/>
    <n v="3"/>
  </r>
  <r>
    <x v="3"/>
    <x v="1"/>
    <b v="0"/>
    <x v="49"/>
    <n v="3"/>
  </r>
  <r>
    <x v="21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2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1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5"/>
    <x v="1"/>
    <b v="0"/>
    <x v="49"/>
    <n v="3"/>
  </r>
  <r>
    <x v="7"/>
    <x v="1"/>
    <b v="0"/>
    <x v="49"/>
    <n v="3"/>
  </r>
  <r>
    <x v="8"/>
    <x v="1"/>
    <b v="0"/>
    <x v="49"/>
    <n v="3"/>
  </r>
  <r>
    <x v="9"/>
    <x v="1"/>
    <b v="0"/>
    <x v="49"/>
    <n v="3"/>
  </r>
  <r>
    <x v="18"/>
    <x v="1"/>
    <b v="0"/>
    <x v="49"/>
    <n v="3"/>
  </r>
  <r>
    <x v="23"/>
    <x v="1"/>
    <b v="0"/>
    <x v="49"/>
    <n v="3"/>
  </r>
  <r>
    <x v="25"/>
    <x v="1"/>
    <b v="0"/>
    <x v="49"/>
    <n v="3"/>
  </r>
  <r>
    <x v="15"/>
    <x v="2"/>
    <b v="0"/>
    <x v="49"/>
    <n v="9.52"/>
  </r>
  <r>
    <x v="0"/>
    <x v="0"/>
    <b v="0"/>
    <x v="50"/>
    <n v="-58.4"/>
  </r>
  <r>
    <x v="1"/>
    <x v="0"/>
    <b v="0"/>
    <x v="50"/>
    <n v="-20"/>
  </r>
  <r>
    <x v="13"/>
    <x v="0"/>
    <b v="0"/>
    <x v="50"/>
    <n v="-4.1399999999999997"/>
  </r>
  <r>
    <x v="19"/>
    <x v="1"/>
    <b v="0"/>
    <x v="50"/>
    <n v="3"/>
  </r>
  <r>
    <x v="3"/>
    <x v="1"/>
    <b v="0"/>
    <x v="50"/>
    <n v="3"/>
  </r>
  <r>
    <x v="21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5"/>
    <x v="1"/>
    <b v="0"/>
    <x v="50"/>
    <n v="3"/>
  </r>
  <r>
    <x v="7"/>
    <x v="1"/>
    <b v="0"/>
    <x v="50"/>
    <n v="3"/>
  </r>
  <r>
    <x v="8"/>
    <x v="1"/>
    <b v="0"/>
    <x v="50"/>
    <n v="3"/>
  </r>
  <r>
    <x v="9"/>
    <x v="1"/>
    <b v="0"/>
    <x v="50"/>
    <n v="3"/>
  </r>
  <r>
    <x v="18"/>
    <x v="1"/>
    <b v="0"/>
    <x v="50"/>
    <n v="3"/>
  </r>
  <r>
    <x v="23"/>
    <x v="1"/>
    <b v="0"/>
    <x v="50"/>
    <n v="3"/>
  </r>
  <r>
    <x v="25"/>
    <x v="1"/>
    <b v="0"/>
    <x v="50"/>
    <n v="3"/>
  </r>
  <r>
    <x v="0"/>
    <x v="0"/>
    <b v="0"/>
    <x v="51"/>
    <n v="-208"/>
  </r>
  <r>
    <x v="1"/>
    <x v="0"/>
    <b v="0"/>
    <x v="51"/>
    <n v="-28"/>
  </r>
  <r>
    <x v="13"/>
    <x v="0"/>
    <b v="0"/>
    <x v="51"/>
    <n v="-5"/>
  </r>
  <r>
    <x v="19"/>
    <x v="1"/>
    <b v="0"/>
    <x v="51"/>
    <n v="3"/>
  </r>
  <r>
    <x v="3"/>
    <x v="1"/>
    <b v="0"/>
    <x v="51"/>
    <n v="3"/>
  </r>
  <r>
    <x v="21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5"/>
    <x v="1"/>
    <b v="0"/>
    <x v="51"/>
    <n v="3"/>
  </r>
  <r>
    <x v="26"/>
    <x v="1"/>
    <b v="0"/>
    <x v="51"/>
    <n v="3"/>
  </r>
  <r>
    <x v="7"/>
    <x v="1"/>
    <b v="0"/>
    <x v="51"/>
    <n v="3"/>
  </r>
  <r>
    <x v="8"/>
    <x v="1"/>
    <b v="0"/>
    <x v="51"/>
    <n v="3"/>
  </r>
  <r>
    <x v="9"/>
    <x v="1"/>
    <b v="0"/>
    <x v="51"/>
    <n v="3"/>
  </r>
  <r>
    <x v="18"/>
    <x v="1"/>
    <b v="0"/>
    <x v="51"/>
    <n v="3"/>
  </r>
  <r>
    <x v="23"/>
    <x v="1"/>
    <b v="0"/>
    <x v="51"/>
    <n v="3"/>
  </r>
  <r>
    <x v="25"/>
    <x v="1"/>
    <b v="0"/>
    <x v="51"/>
    <n v="3"/>
  </r>
  <r>
    <x v="15"/>
    <x v="2"/>
    <b v="0"/>
    <x v="51"/>
    <n v="17.59"/>
  </r>
  <r>
    <x v="16"/>
    <x v="0"/>
    <b v="0"/>
    <x v="52"/>
    <n v="-22.71"/>
  </r>
  <r>
    <x v="19"/>
    <x v="1"/>
    <b v="0"/>
    <x v="52"/>
    <n v="3"/>
  </r>
  <r>
    <x v="3"/>
    <x v="1"/>
    <b v="0"/>
    <x v="52"/>
    <n v="3"/>
  </r>
  <r>
    <x v="21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5"/>
    <x v="1"/>
    <b v="0"/>
    <x v="52"/>
    <n v="3"/>
  </r>
  <r>
    <x v="26"/>
    <x v="1"/>
    <b v="0"/>
    <x v="52"/>
    <n v="3"/>
  </r>
  <r>
    <x v="7"/>
    <x v="1"/>
    <b v="0"/>
    <x v="52"/>
    <n v="3"/>
  </r>
  <r>
    <x v="8"/>
    <x v="1"/>
    <b v="0"/>
    <x v="52"/>
    <n v="3"/>
  </r>
  <r>
    <x v="9"/>
    <x v="1"/>
    <b v="0"/>
    <x v="52"/>
    <n v="3"/>
  </r>
  <r>
    <x v="18"/>
    <x v="1"/>
    <b v="0"/>
    <x v="52"/>
    <n v="3"/>
  </r>
  <r>
    <x v="23"/>
    <x v="1"/>
    <b v="0"/>
    <x v="52"/>
    <n v="3"/>
  </r>
  <r>
    <x v="15"/>
    <x v="2"/>
    <b v="0"/>
    <x v="52"/>
    <n v="18.119999999999997"/>
  </r>
  <r>
    <x v="1"/>
    <x v="0"/>
    <b v="0"/>
    <x v="53"/>
    <n v="-34.14"/>
  </r>
  <r>
    <x v="13"/>
    <x v="0"/>
    <b v="0"/>
    <x v="53"/>
    <n v="-50.24"/>
  </r>
  <r>
    <x v="3"/>
    <x v="1"/>
    <b v="0"/>
    <x v="53"/>
    <n v="3"/>
  </r>
  <r>
    <x v="21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5"/>
    <x v="1"/>
    <b v="0"/>
    <x v="53"/>
    <n v="3"/>
  </r>
  <r>
    <x v="26"/>
    <x v="1"/>
    <b v="0"/>
    <x v="53"/>
    <n v="3"/>
  </r>
  <r>
    <x v="7"/>
    <x v="1"/>
    <b v="0"/>
    <x v="53"/>
    <n v="3"/>
  </r>
  <r>
    <x v="8"/>
    <x v="1"/>
    <b v="0"/>
    <x v="53"/>
    <n v="3"/>
  </r>
  <r>
    <x v="9"/>
    <x v="1"/>
    <b v="0"/>
    <x v="53"/>
    <n v="3"/>
  </r>
  <r>
    <x v="18"/>
    <x v="1"/>
    <b v="0"/>
    <x v="53"/>
    <n v="3"/>
  </r>
  <r>
    <x v="23"/>
    <x v="1"/>
    <b v="0"/>
    <x v="53"/>
    <n v="3"/>
  </r>
  <r>
    <x v="15"/>
    <x v="2"/>
    <b v="0"/>
    <x v="53"/>
    <n v="13.34"/>
  </r>
  <r>
    <x v="1"/>
    <x v="0"/>
    <b v="0"/>
    <x v="54"/>
    <n v="-14.64"/>
  </r>
  <r>
    <x v="13"/>
    <x v="0"/>
    <b v="0"/>
    <x v="54"/>
    <n v="-3.98"/>
  </r>
  <r>
    <x v="19"/>
    <x v="1"/>
    <b v="0"/>
    <x v="54"/>
    <n v="3"/>
  </r>
  <r>
    <x v="3"/>
    <x v="1"/>
    <b v="0"/>
    <x v="54"/>
    <n v="3"/>
  </r>
  <r>
    <x v="21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5"/>
    <x v="1"/>
    <b v="0"/>
    <x v="54"/>
    <n v="3"/>
  </r>
  <r>
    <x v="26"/>
    <x v="1"/>
    <b v="0"/>
    <x v="54"/>
    <n v="3"/>
  </r>
  <r>
    <x v="7"/>
    <x v="1"/>
    <b v="0"/>
    <x v="54"/>
    <n v="3"/>
  </r>
  <r>
    <x v="8"/>
    <x v="1"/>
    <b v="0"/>
    <x v="54"/>
    <n v="3"/>
  </r>
  <r>
    <x v="9"/>
    <x v="1"/>
    <b v="0"/>
    <x v="54"/>
    <n v="3"/>
  </r>
  <r>
    <x v="18"/>
    <x v="1"/>
    <b v="0"/>
    <x v="54"/>
    <n v="3"/>
  </r>
  <r>
    <x v="23"/>
    <x v="1"/>
    <b v="0"/>
    <x v="54"/>
    <n v="3"/>
  </r>
  <r>
    <x v="0"/>
    <x v="0"/>
    <b v="0"/>
    <x v="55"/>
    <n v="-104.1"/>
  </r>
  <r>
    <x v="16"/>
    <x v="0"/>
    <b v="0"/>
    <x v="55"/>
    <n v="-1.29"/>
  </r>
  <r>
    <x v="1"/>
    <x v="0"/>
    <b v="0"/>
    <x v="55"/>
    <n v="-15.55"/>
  </r>
  <r>
    <x v="20"/>
    <x v="0"/>
    <b v="0"/>
    <x v="55"/>
    <n v="-90"/>
  </r>
  <r>
    <x v="19"/>
    <x v="1"/>
    <b v="0"/>
    <x v="55"/>
    <n v="3"/>
  </r>
  <r>
    <x v="3"/>
    <x v="1"/>
    <b v="0"/>
    <x v="55"/>
    <n v="3"/>
  </r>
  <r>
    <x v="21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5"/>
    <x v="1"/>
    <b v="0"/>
    <x v="55"/>
    <n v="3"/>
  </r>
  <r>
    <x v="26"/>
    <x v="1"/>
    <b v="0"/>
    <x v="55"/>
    <n v="3"/>
  </r>
  <r>
    <x v="7"/>
    <x v="1"/>
    <b v="0"/>
    <x v="55"/>
    <n v="3"/>
  </r>
  <r>
    <x v="8"/>
    <x v="1"/>
    <b v="0"/>
    <x v="55"/>
    <n v="3"/>
  </r>
  <r>
    <x v="9"/>
    <x v="1"/>
    <b v="0"/>
    <x v="55"/>
    <n v="3"/>
  </r>
  <r>
    <x v="18"/>
    <x v="1"/>
    <b v="0"/>
    <x v="55"/>
    <n v="3"/>
  </r>
  <r>
    <x v="23"/>
    <x v="1"/>
    <b v="0"/>
    <x v="55"/>
    <n v="3"/>
  </r>
  <r>
    <x v="25"/>
    <x v="1"/>
    <b v="0"/>
    <x v="55"/>
    <n v="3"/>
  </r>
  <r>
    <x v="15"/>
    <x v="2"/>
    <b v="0"/>
    <x v="55"/>
    <n v="10.6"/>
  </r>
  <r>
    <x v="0"/>
    <x v="0"/>
    <b v="0"/>
    <x v="56"/>
    <n v="-74.53"/>
  </r>
  <r>
    <x v="16"/>
    <x v="0"/>
    <b v="0"/>
    <x v="56"/>
    <n v="-127.38"/>
  </r>
  <r>
    <x v="19"/>
    <x v="1"/>
    <b v="0"/>
    <x v="56"/>
    <n v="7"/>
  </r>
  <r>
    <x v="3"/>
    <x v="1"/>
    <b v="0"/>
    <x v="56"/>
    <n v="7"/>
  </r>
  <r>
    <x v="21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3"/>
  </r>
  <r>
    <x v="5"/>
    <x v="1"/>
    <b v="0"/>
    <x v="56"/>
    <n v="7"/>
  </r>
  <r>
    <x v="5"/>
    <x v="1"/>
    <b v="0"/>
    <x v="56"/>
    <n v="3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5"/>
    <x v="1"/>
    <b v="0"/>
    <x v="56"/>
    <n v="7"/>
  </r>
  <r>
    <x v="26"/>
    <x v="1"/>
    <b v="0"/>
    <x v="56"/>
    <n v="7"/>
  </r>
  <r>
    <x v="7"/>
    <x v="1"/>
    <b v="0"/>
    <x v="56"/>
    <n v="7"/>
  </r>
  <r>
    <x v="8"/>
    <x v="1"/>
    <b v="0"/>
    <x v="56"/>
    <n v="7"/>
  </r>
  <r>
    <x v="9"/>
    <x v="1"/>
    <b v="0"/>
    <x v="56"/>
    <n v="7"/>
  </r>
  <r>
    <x v="27"/>
    <x v="1"/>
    <b v="0"/>
    <x v="56"/>
    <n v="7"/>
  </r>
  <r>
    <x v="23"/>
    <x v="1"/>
    <b v="0"/>
    <x v="56"/>
    <n v="7"/>
  </r>
  <r>
    <x v="25"/>
    <x v="1"/>
    <b v="0"/>
    <x v="56"/>
    <n v="7"/>
  </r>
  <r>
    <x v="15"/>
    <x v="2"/>
    <b v="0"/>
    <x v="56"/>
    <n v="24.89"/>
  </r>
  <r>
    <x v="16"/>
    <x v="0"/>
    <b v="0"/>
    <x v="57"/>
    <n v="-47.32"/>
  </r>
  <r>
    <x v="1"/>
    <x v="0"/>
    <b v="0"/>
    <x v="57"/>
    <n v="-6.39"/>
  </r>
  <r>
    <x v="13"/>
    <x v="0"/>
    <b v="0"/>
    <x v="57"/>
    <n v="-19.88"/>
  </r>
  <r>
    <x v="3"/>
    <x v="1"/>
    <b v="0"/>
    <x v="57"/>
    <n v="5"/>
  </r>
  <r>
    <x v="21"/>
    <x v="1"/>
    <b v="0"/>
    <x v="57"/>
    <n v="5"/>
  </r>
  <r>
    <x v="28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5"/>
    <x v="1"/>
    <b v="0"/>
    <x v="57"/>
    <n v="5"/>
  </r>
  <r>
    <x v="26"/>
    <x v="1"/>
    <b v="0"/>
    <x v="57"/>
    <n v="5"/>
  </r>
  <r>
    <x v="7"/>
    <x v="1"/>
    <b v="0"/>
    <x v="57"/>
    <n v="5"/>
  </r>
  <r>
    <x v="8"/>
    <x v="1"/>
    <b v="0"/>
    <x v="57"/>
    <n v="5"/>
  </r>
  <r>
    <x v="9"/>
    <x v="1"/>
    <b v="0"/>
    <x v="57"/>
    <n v="5"/>
  </r>
  <r>
    <x v="18"/>
    <x v="1"/>
    <b v="0"/>
    <x v="57"/>
    <n v="5"/>
  </r>
  <r>
    <x v="27"/>
    <x v="1"/>
    <b v="0"/>
    <x v="57"/>
    <n v="5"/>
  </r>
  <r>
    <x v="23"/>
    <x v="1"/>
    <b v="0"/>
    <x v="57"/>
    <n v="5"/>
  </r>
  <r>
    <x v="25"/>
    <x v="1"/>
    <b v="0"/>
    <x v="57"/>
    <n v="5"/>
  </r>
  <r>
    <x v="15"/>
    <x v="2"/>
    <b v="0"/>
    <x v="57"/>
    <n v="7.9799999999999995"/>
  </r>
  <r>
    <x v="0"/>
    <x v="0"/>
    <b v="0"/>
    <x v="58"/>
    <n v="-165.86"/>
  </r>
  <r>
    <x v="1"/>
    <x v="0"/>
    <b v="0"/>
    <x v="58"/>
    <n v="-19.66"/>
  </r>
  <r>
    <x v="19"/>
    <x v="1"/>
    <b v="0"/>
    <x v="58"/>
    <n v="5"/>
  </r>
  <r>
    <x v="3"/>
    <x v="1"/>
    <b v="0"/>
    <x v="58"/>
    <n v="5"/>
  </r>
  <r>
    <x v="21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5"/>
    <x v="1"/>
    <b v="0"/>
    <x v="58"/>
    <n v="5"/>
  </r>
  <r>
    <x v="26"/>
    <x v="1"/>
    <b v="0"/>
    <x v="58"/>
    <n v="5"/>
  </r>
  <r>
    <x v="7"/>
    <x v="1"/>
    <b v="0"/>
    <x v="58"/>
    <n v="5"/>
  </r>
  <r>
    <x v="8"/>
    <x v="1"/>
    <b v="0"/>
    <x v="58"/>
    <n v="5"/>
  </r>
  <r>
    <x v="9"/>
    <x v="1"/>
    <b v="0"/>
    <x v="58"/>
    <n v="5"/>
  </r>
  <r>
    <x v="18"/>
    <x v="1"/>
    <b v="0"/>
    <x v="58"/>
    <n v="5"/>
  </r>
  <r>
    <x v="27"/>
    <x v="1"/>
    <b v="0"/>
    <x v="58"/>
    <n v="5"/>
  </r>
  <r>
    <x v="23"/>
    <x v="1"/>
    <b v="0"/>
    <x v="58"/>
    <n v="5"/>
  </r>
  <r>
    <x v="25"/>
    <x v="1"/>
    <b v="0"/>
    <x v="58"/>
    <n v="5"/>
  </r>
  <r>
    <x v="15"/>
    <x v="2"/>
    <b v="0"/>
    <x v="58"/>
    <n v="15.5"/>
  </r>
  <r>
    <x v="16"/>
    <x v="0"/>
    <b v="0"/>
    <x v="59"/>
    <n v="-19"/>
  </r>
  <r>
    <x v="1"/>
    <x v="0"/>
    <b v="0"/>
    <x v="59"/>
    <n v="-8.7799999999999994"/>
  </r>
  <r>
    <x v="13"/>
    <x v="0"/>
    <b v="0"/>
    <x v="59"/>
    <n v="0.14000000000000001"/>
  </r>
  <r>
    <x v="3"/>
    <x v="1"/>
    <b v="0"/>
    <x v="59"/>
    <n v="5"/>
  </r>
  <r>
    <x v="21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1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5"/>
    <x v="1"/>
    <b v="0"/>
    <x v="59"/>
    <n v="5"/>
  </r>
  <r>
    <x v="26"/>
    <x v="1"/>
    <b v="0"/>
    <x v="59"/>
    <n v="5"/>
  </r>
  <r>
    <x v="7"/>
    <x v="1"/>
    <b v="0"/>
    <x v="59"/>
    <n v="5"/>
  </r>
  <r>
    <x v="8"/>
    <x v="1"/>
    <b v="0"/>
    <x v="59"/>
    <n v="5"/>
  </r>
  <r>
    <x v="9"/>
    <x v="1"/>
    <b v="0"/>
    <x v="59"/>
    <n v="5"/>
  </r>
  <r>
    <x v="18"/>
    <x v="1"/>
    <b v="0"/>
    <x v="59"/>
    <n v="5"/>
  </r>
  <r>
    <x v="27"/>
    <x v="1"/>
    <b v="0"/>
    <x v="59"/>
    <n v="5"/>
  </r>
  <r>
    <x v="23"/>
    <x v="1"/>
    <b v="0"/>
    <x v="59"/>
    <n v="5"/>
  </r>
  <r>
    <x v="25"/>
    <x v="1"/>
    <b v="0"/>
    <x v="59"/>
    <n v="5"/>
  </r>
  <r>
    <x v="15"/>
    <x v="2"/>
    <b v="0"/>
    <x v="59"/>
    <n v="9.2899999999999991"/>
  </r>
  <r>
    <x v="0"/>
    <x v="0"/>
    <b v="0"/>
    <x v="60"/>
    <n v="-18.400000000000002"/>
  </r>
  <r>
    <x v="1"/>
    <x v="0"/>
    <b v="0"/>
    <x v="60"/>
    <n v="-28.65"/>
  </r>
  <r>
    <x v="13"/>
    <x v="0"/>
    <b v="0"/>
    <x v="60"/>
    <n v="-18.95"/>
  </r>
  <r>
    <x v="3"/>
    <x v="1"/>
    <b v="0"/>
    <x v="60"/>
    <n v="5"/>
  </r>
  <r>
    <x v="21"/>
    <x v="1"/>
    <b v="0"/>
    <x v="60"/>
    <n v="5"/>
  </r>
  <r>
    <x v="5"/>
    <x v="1"/>
    <b v="0"/>
    <x v="60"/>
    <n v="5"/>
  </r>
  <r>
    <x v="5"/>
    <x v="1"/>
    <b v="0"/>
    <x v="60"/>
    <n v="2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5"/>
    <x v="1"/>
    <b v="0"/>
    <x v="60"/>
    <n v="5"/>
  </r>
  <r>
    <x v="26"/>
    <x v="1"/>
    <b v="0"/>
    <x v="60"/>
    <n v="5"/>
  </r>
  <r>
    <x v="7"/>
    <x v="1"/>
    <b v="0"/>
    <x v="60"/>
    <n v="5"/>
  </r>
  <r>
    <x v="8"/>
    <x v="1"/>
    <b v="0"/>
    <x v="60"/>
    <n v="5"/>
  </r>
  <r>
    <x v="9"/>
    <x v="1"/>
    <b v="0"/>
    <x v="60"/>
    <n v="5"/>
  </r>
  <r>
    <x v="18"/>
    <x v="1"/>
    <b v="0"/>
    <x v="60"/>
    <n v="5"/>
  </r>
  <r>
    <x v="27"/>
    <x v="1"/>
    <b v="0"/>
    <x v="60"/>
    <n v="5"/>
  </r>
  <r>
    <x v="23"/>
    <x v="1"/>
    <b v="0"/>
    <x v="60"/>
    <n v="5"/>
  </r>
  <r>
    <x v="25"/>
    <x v="1"/>
    <b v="0"/>
    <x v="60"/>
    <n v="5"/>
  </r>
  <r>
    <x v="15"/>
    <x v="2"/>
    <b v="0"/>
    <x v="60"/>
    <n v="3"/>
  </r>
  <r>
    <x v="0"/>
    <x v="0"/>
    <b v="0"/>
    <x v="61"/>
    <n v="-16.79"/>
  </r>
  <r>
    <x v="3"/>
    <x v="1"/>
    <b v="0"/>
    <x v="61"/>
    <n v="5"/>
  </r>
  <r>
    <x v="21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5"/>
    <x v="1"/>
    <b v="0"/>
    <x v="61"/>
    <n v="5"/>
  </r>
  <r>
    <x v="26"/>
    <x v="1"/>
    <b v="0"/>
    <x v="61"/>
    <n v="5"/>
  </r>
  <r>
    <x v="7"/>
    <x v="1"/>
    <b v="0"/>
    <x v="61"/>
    <n v="5"/>
  </r>
  <r>
    <x v="8"/>
    <x v="1"/>
    <b v="0"/>
    <x v="61"/>
    <n v="5"/>
  </r>
  <r>
    <x v="9"/>
    <x v="1"/>
    <b v="0"/>
    <x v="61"/>
    <n v="5"/>
  </r>
  <r>
    <x v="18"/>
    <x v="1"/>
    <b v="0"/>
    <x v="61"/>
    <n v="5"/>
  </r>
  <r>
    <x v="27"/>
    <x v="1"/>
    <b v="0"/>
    <x v="61"/>
    <n v="5"/>
  </r>
  <r>
    <x v="23"/>
    <x v="1"/>
    <b v="0"/>
    <x v="61"/>
    <n v="5"/>
  </r>
  <r>
    <x v="25"/>
    <x v="1"/>
    <b v="0"/>
    <x v="61"/>
    <n v="5"/>
  </r>
  <r>
    <x v="0"/>
    <x v="0"/>
    <b v="0"/>
    <x v="62"/>
    <n v="-243.34"/>
  </r>
  <r>
    <x v="3"/>
    <x v="1"/>
    <b v="0"/>
    <x v="62"/>
    <n v="5"/>
  </r>
  <r>
    <x v="21"/>
    <x v="1"/>
    <b v="0"/>
    <x v="62"/>
    <n v="5"/>
  </r>
  <r>
    <x v="5"/>
    <x v="1"/>
    <b v="0"/>
    <x v="62"/>
    <n v="5"/>
  </r>
  <r>
    <x v="5"/>
    <x v="1"/>
    <b v="0"/>
    <x v="62"/>
    <n v="1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5"/>
    <x v="1"/>
    <b v="0"/>
    <x v="62"/>
    <n v="5"/>
  </r>
  <r>
    <x v="26"/>
    <x v="1"/>
    <b v="0"/>
    <x v="62"/>
    <n v="5"/>
  </r>
  <r>
    <x v="7"/>
    <x v="1"/>
    <b v="0"/>
    <x v="62"/>
    <n v="5"/>
  </r>
  <r>
    <x v="9"/>
    <x v="1"/>
    <b v="0"/>
    <x v="62"/>
    <n v="5"/>
  </r>
  <r>
    <x v="18"/>
    <x v="1"/>
    <b v="0"/>
    <x v="62"/>
    <n v="5"/>
  </r>
  <r>
    <x v="27"/>
    <x v="1"/>
    <b v="0"/>
    <x v="62"/>
    <n v="5"/>
  </r>
  <r>
    <x v="23"/>
    <x v="1"/>
    <b v="0"/>
    <x v="62"/>
    <n v="5"/>
  </r>
  <r>
    <x v="15"/>
    <x v="2"/>
    <b v="0"/>
    <x v="62"/>
    <n v="23.06"/>
  </r>
  <r>
    <x v="0"/>
    <x v="0"/>
    <b v="0"/>
    <x v="63"/>
    <n v="-42"/>
  </r>
  <r>
    <x v="1"/>
    <x v="0"/>
    <b v="0"/>
    <x v="63"/>
    <n v="-37.880000000000003"/>
  </r>
  <r>
    <x v="13"/>
    <x v="0"/>
    <b v="0"/>
    <x v="63"/>
    <n v="-2"/>
  </r>
  <r>
    <x v="19"/>
    <x v="1"/>
    <b v="0"/>
    <x v="63"/>
    <n v="5"/>
  </r>
  <r>
    <x v="3"/>
    <x v="1"/>
    <b v="0"/>
    <x v="63"/>
    <n v="5"/>
  </r>
  <r>
    <x v="21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5"/>
    <x v="1"/>
    <b v="0"/>
    <x v="63"/>
    <n v="5"/>
  </r>
  <r>
    <x v="26"/>
    <x v="1"/>
    <b v="0"/>
    <x v="63"/>
    <n v="5"/>
  </r>
  <r>
    <x v="7"/>
    <x v="1"/>
    <b v="0"/>
    <x v="63"/>
    <n v="5"/>
  </r>
  <r>
    <x v="8"/>
    <x v="1"/>
    <b v="0"/>
    <x v="63"/>
    <n v="5"/>
  </r>
  <r>
    <x v="9"/>
    <x v="1"/>
    <b v="0"/>
    <x v="63"/>
    <n v="5"/>
  </r>
  <r>
    <x v="18"/>
    <x v="1"/>
    <b v="0"/>
    <x v="63"/>
    <n v="5"/>
  </r>
  <r>
    <x v="27"/>
    <x v="1"/>
    <b v="0"/>
    <x v="63"/>
    <n v="5"/>
  </r>
  <r>
    <x v="23"/>
    <x v="1"/>
    <b v="0"/>
    <x v="63"/>
    <n v="5"/>
  </r>
  <r>
    <x v="25"/>
    <x v="1"/>
    <b v="0"/>
    <x v="63"/>
    <n v="5"/>
  </r>
  <r>
    <x v="15"/>
    <x v="2"/>
    <b v="0"/>
    <x v="63"/>
    <n v="12.4"/>
  </r>
  <r>
    <x v="0"/>
    <x v="0"/>
    <b v="0"/>
    <x v="64"/>
    <n v="-189.85"/>
  </r>
  <r>
    <x v="1"/>
    <x v="0"/>
    <b v="0"/>
    <x v="64"/>
    <n v="-0.53"/>
  </r>
  <r>
    <x v="20"/>
    <x v="0"/>
    <b v="0"/>
    <x v="64"/>
    <n v="-0.33"/>
  </r>
  <r>
    <x v="3"/>
    <x v="1"/>
    <b v="0"/>
    <x v="64"/>
    <n v="5"/>
  </r>
  <r>
    <x v="21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5"/>
    <x v="1"/>
    <b v="0"/>
    <x v="64"/>
    <n v="5"/>
  </r>
  <r>
    <x v="26"/>
    <x v="1"/>
    <b v="0"/>
    <x v="64"/>
    <n v="5"/>
  </r>
  <r>
    <x v="7"/>
    <x v="1"/>
    <b v="0"/>
    <x v="64"/>
    <n v="5"/>
  </r>
  <r>
    <x v="8"/>
    <x v="1"/>
    <b v="0"/>
    <x v="64"/>
    <n v="5"/>
  </r>
  <r>
    <x v="9"/>
    <x v="1"/>
    <b v="0"/>
    <x v="64"/>
    <n v="5"/>
  </r>
  <r>
    <x v="18"/>
    <x v="1"/>
    <b v="0"/>
    <x v="64"/>
    <n v="5"/>
  </r>
  <r>
    <x v="27"/>
    <x v="1"/>
    <b v="0"/>
    <x v="64"/>
    <n v="5"/>
  </r>
  <r>
    <x v="23"/>
    <x v="1"/>
    <b v="0"/>
    <x v="64"/>
    <n v="5"/>
  </r>
  <r>
    <x v="25"/>
    <x v="1"/>
    <b v="0"/>
    <x v="64"/>
    <n v="5"/>
  </r>
  <r>
    <x v="15"/>
    <x v="2"/>
    <b v="0"/>
    <x v="64"/>
    <n v="6.6"/>
  </r>
  <r>
    <x v="20"/>
    <x v="0"/>
    <b v="0"/>
    <x v="65"/>
    <n v="-27.599999999999998"/>
  </r>
  <r>
    <x v="3"/>
    <x v="1"/>
    <b v="0"/>
    <x v="65"/>
    <n v="5"/>
  </r>
  <r>
    <x v="21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5"/>
  </r>
  <r>
    <x v="5"/>
    <x v="1"/>
    <b v="0"/>
    <x v="65"/>
    <n v="2"/>
  </r>
  <r>
    <x v="26"/>
    <x v="1"/>
    <b v="0"/>
    <x v="65"/>
    <n v="5"/>
  </r>
  <r>
    <x v="7"/>
    <x v="1"/>
    <b v="0"/>
    <x v="65"/>
    <n v="5"/>
  </r>
  <r>
    <x v="8"/>
    <x v="1"/>
    <b v="0"/>
    <x v="65"/>
    <n v="5"/>
  </r>
  <r>
    <x v="9"/>
    <x v="1"/>
    <b v="0"/>
    <x v="65"/>
    <n v="5"/>
  </r>
  <r>
    <x v="18"/>
    <x v="1"/>
    <b v="0"/>
    <x v="65"/>
    <n v="5"/>
  </r>
  <r>
    <x v="27"/>
    <x v="1"/>
    <b v="0"/>
    <x v="65"/>
    <n v="5"/>
  </r>
  <r>
    <x v="23"/>
    <x v="1"/>
    <b v="0"/>
    <x v="65"/>
    <n v="5"/>
  </r>
  <r>
    <x v="25"/>
    <x v="1"/>
    <b v="0"/>
    <x v="65"/>
    <n v="5"/>
  </r>
  <r>
    <x v="15"/>
    <x v="2"/>
    <b v="0"/>
    <x v="65"/>
    <n v="20.25"/>
  </r>
  <r>
    <x v="0"/>
    <x v="0"/>
    <b v="0"/>
    <x v="66"/>
    <n v="-137.76"/>
  </r>
  <r>
    <x v="20"/>
    <x v="0"/>
    <b v="0"/>
    <x v="66"/>
    <n v="-0.24"/>
  </r>
  <r>
    <x v="3"/>
    <x v="1"/>
    <b v="0"/>
    <x v="66"/>
    <n v="5"/>
  </r>
  <r>
    <x v="21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5"/>
    <x v="1"/>
    <b v="0"/>
    <x v="66"/>
    <n v="5"/>
  </r>
  <r>
    <x v="26"/>
    <x v="1"/>
    <b v="0"/>
    <x v="66"/>
    <n v="5"/>
  </r>
  <r>
    <x v="7"/>
    <x v="1"/>
    <b v="0"/>
    <x v="66"/>
    <n v="5"/>
  </r>
  <r>
    <x v="8"/>
    <x v="1"/>
    <b v="0"/>
    <x v="66"/>
    <n v="5"/>
  </r>
  <r>
    <x v="9"/>
    <x v="1"/>
    <b v="0"/>
    <x v="66"/>
    <n v="5"/>
  </r>
  <r>
    <x v="18"/>
    <x v="1"/>
    <b v="0"/>
    <x v="66"/>
    <n v="5"/>
  </r>
  <r>
    <x v="23"/>
    <x v="1"/>
    <b v="0"/>
    <x v="66"/>
    <n v="5"/>
  </r>
  <r>
    <x v="25"/>
    <x v="1"/>
    <b v="0"/>
    <x v="66"/>
    <n v="5"/>
  </r>
  <r>
    <x v="15"/>
    <x v="2"/>
    <b v="0"/>
    <x v="66"/>
    <n v="19.98"/>
  </r>
  <r>
    <x v="0"/>
    <x v="0"/>
    <b v="0"/>
    <x v="67"/>
    <n v="-190.63"/>
  </r>
  <r>
    <x v="20"/>
    <x v="0"/>
    <b v="0"/>
    <x v="67"/>
    <n v="-10"/>
  </r>
  <r>
    <x v="3"/>
    <x v="1"/>
    <b v="0"/>
    <x v="67"/>
    <n v="5"/>
  </r>
  <r>
    <x v="21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5"/>
    <x v="1"/>
    <b v="0"/>
    <x v="67"/>
    <n v="5"/>
  </r>
  <r>
    <x v="29"/>
    <x v="1"/>
    <b v="0"/>
    <x v="67"/>
    <n v="3"/>
  </r>
  <r>
    <x v="26"/>
    <x v="1"/>
    <b v="0"/>
    <x v="67"/>
    <n v="5"/>
  </r>
  <r>
    <x v="7"/>
    <x v="1"/>
    <b v="0"/>
    <x v="67"/>
    <n v="5"/>
  </r>
  <r>
    <x v="30"/>
    <x v="1"/>
    <b v="0"/>
    <x v="67"/>
    <n v="5"/>
  </r>
  <r>
    <x v="8"/>
    <x v="1"/>
    <b v="0"/>
    <x v="67"/>
    <n v="5"/>
  </r>
  <r>
    <x v="9"/>
    <x v="1"/>
    <b v="0"/>
    <x v="67"/>
    <n v="5"/>
  </r>
  <r>
    <x v="18"/>
    <x v="1"/>
    <b v="0"/>
    <x v="67"/>
    <n v="5"/>
  </r>
  <r>
    <x v="27"/>
    <x v="1"/>
    <b v="0"/>
    <x v="67"/>
    <n v="5"/>
  </r>
  <r>
    <x v="23"/>
    <x v="1"/>
    <b v="0"/>
    <x v="67"/>
    <n v="5"/>
  </r>
  <r>
    <x v="25"/>
    <x v="1"/>
    <b v="0"/>
    <x v="67"/>
    <n v="5"/>
  </r>
  <r>
    <x v="0"/>
    <x v="0"/>
    <b v="0"/>
    <x v="68"/>
    <n v="-85.48"/>
  </r>
  <r>
    <x v="20"/>
    <x v="0"/>
    <b v="0"/>
    <x v="68"/>
    <n v="-5"/>
  </r>
  <r>
    <x v="3"/>
    <x v="1"/>
    <b v="0"/>
    <x v="68"/>
    <n v="5"/>
  </r>
  <r>
    <x v="21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5"/>
    <x v="1"/>
    <b v="0"/>
    <x v="68"/>
    <n v="5"/>
  </r>
  <r>
    <x v="29"/>
    <x v="1"/>
    <b v="0"/>
    <x v="68"/>
    <n v="3"/>
  </r>
  <r>
    <x v="26"/>
    <x v="1"/>
    <b v="0"/>
    <x v="68"/>
    <n v="5"/>
  </r>
  <r>
    <x v="7"/>
    <x v="1"/>
    <b v="0"/>
    <x v="68"/>
    <n v="5"/>
  </r>
  <r>
    <x v="30"/>
    <x v="1"/>
    <b v="0"/>
    <x v="68"/>
    <n v="5"/>
  </r>
  <r>
    <x v="8"/>
    <x v="1"/>
    <b v="0"/>
    <x v="68"/>
    <n v="5"/>
  </r>
  <r>
    <x v="9"/>
    <x v="1"/>
    <b v="0"/>
    <x v="68"/>
    <n v="5"/>
  </r>
  <r>
    <x v="18"/>
    <x v="1"/>
    <b v="0"/>
    <x v="68"/>
    <n v="5"/>
  </r>
  <r>
    <x v="27"/>
    <x v="1"/>
    <b v="0"/>
    <x v="68"/>
    <n v="5"/>
  </r>
  <r>
    <x v="23"/>
    <x v="1"/>
    <b v="0"/>
    <x v="68"/>
    <n v="5"/>
  </r>
  <r>
    <x v="25"/>
    <x v="1"/>
    <b v="0"/>
    <x v="68"/>
    <n v="5"/>
  </r>
  <r>
    <x v="15"/>
    <x v="2"/>
    <b v="0"/>
    <x v="68"/>
    <n v="26.42"/>
  </r>
  <r>
    <x v="0"/>
    <x v="0"/>
    <b v="0"/>
    <x v="69"/>
    <n v="-119.97999999999999"/>
  </r>
  <r>
    <x v="20"/>
    <x v="0"/>
    <b v="0"/>
    <x v="69"/>
    <n v="-5"/>
  </r>
  <r>
    <x v="3"/>
    <x v="1"/>
    <b v="0"/>
    <x v="69"/>
    <n v="5"/>
  </r>
  <r>
    <x v="21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5"/>
    <x v="1"/>
    <b v="0"/>
    <x v="69"/>
    <n v="5"/>
  </r>
  <r>
    <x v="29"/>
    <x v="1"/>
    <b v="0"/>
    <x v="69"/>
    <n v="3"/>
  </r>
  <r>
    <x v="26"/>
    <x v="1"/>
    <b v="0"/>
    <x v="69"/>
    <n v="5"/>
  </r>
  <r>
    <x v="7"/>
    <x v="1"/>
    <b v="0"/>
    <x v="69"/>
    <n v="5"/>
  </r>
  <r>
    <x v="30"/>
    <x v="1"/>
    <b v="0"/>
    <x v="69"/>
    <n v="5"/>
  </r>
  <r>
    <x v="8"/>
    <x v="1"/>
    <b v="0"/>
    <x v="69"/>
    <n v="5"/>
  </r>
  <r>
    <x v="9"/>
    <x v="1"/>
    <b v="0"/>
    <x v="69"/>
    <n v="5"/>
  </r>
  <r>
    <x v="18"/>
    <x v="1"/>
    <b v="0"/>
    <x v="69"/>
    <n v="5"/>
  </r>
  <r>
    <x v="27"/>
    <x v="1"/>
    <b v="0"/>
    <x v="69"/>
    <n v="5"/>
  </r>
  <r>
    <x v="23"/>
    <x v="1"/>
    <b v="0"/>
    <x v="69"/>
    <n v="5"/>
  </r>
  <r>
    <x v="25"/>
    <x v="1"/>
    <b v="0"/>
    <x v="69"/>
    <n v="5"/>
  </r>
  <r>
    <x v="0"/>
    <x v="0"/>
    <b v="0"/>
    <x v="70"/>
    <n v="-119.67"/>
  </r>
  <r>
    <x v="20"/>
    <x v="0"/>
    <b v="0"/>
    <x v="70"/>
    <n v="-5.29"/>
  </r>
  <r>
    <x v="19"/>
    <x v="1"/>
    <b v="0"/>
    <x v="70"/>
    <n v="5"/>
  </r>
  <r>
    <x v="3"/>
    <x v="1"/>
    <b v="0"/>
    <x v="70"/>
    <n v="5"/>
  </r>
  <r>
    <x v="21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.29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5"/>
    <x v="1"/>
    <b v="0"/>
    <x v="70"/>
    <n v="5"/>
  </r>
  <r>
    <x v="26"/>
    <x v="1"/>
    <b v="0"/>
    <x v="70"/>
    <n v="5"/>
  </r>
  <r>
    <x v="7"/>
    <x v="1"/>
    <b v="0"/>
    <x v="70"/>
    <n v="5"/>
  </r>
  <r>
    <x v="30"/>
    <x v="1"/>
    <b v="0"/>
    <x v="70"/>
    <n v="5"/>
  </r>
  <r>
    <x v="8"/>
    <x v="1"/>
    <b v="0"/>
    <x v="70"/>
    <n v="5"/>
  </r>
  <r>
    <x v="9"/>
    <x v="1"/>
    <b v="0"/>
    <x v="70"/>
    <n v="5"/>
  </r>
  <r>
    <x v="18"/>
    <x v="1"/>
    <b v="0"/>
    <x v="70"/>
    <n v="5"/>
  </r>
  <r>
    <x v="27"/>
    <x v="1"/>
    <b v="0"/>
    <x v="70"/>
    <n v="5"/>
  </r>
  <r>
    <x v="23"/>
    <x v="1"/>
    <b v="0"/>
    <x v="70"/>
    <n v="5"/>
  </r>
  <r>
    <x v="25"/>
    <x v="1"/>
    <b v="0"/>
    <x v="70"/>
    <n v="5"/>
  </r>
  <r>
    <x v="15"/>
    <x v="2"/>
    <b v="0"/>
    <x v="70"/>
    <n v="29"/>
  </r>
  <r>
    <x v="0"/>
    <x v="0"/>
    <b v="0"/>
    <x v="71"/>
    <n v="-122.19"/>
  </r>
  <r>
    <x v="13"/>
    <x v="0"/>
    <b v="0"/>
    <x v="71"/>
    <n v="-5"/>
  </r>
  <r>
    <x v="20"/>
    <x v="0"/>
    <b v="0"/>
    <x v="71"/>
    <n v="-16"/>
  </r>
  <r>
    <x v="19"/>
    <x v="1"/>
    <b v="0"/>
    <x v="71"/>
    <n v="5"/>
  </r>
  <r>
    <x v="3"/>
    <x v="1"/>
    <b v="0"/>
    <x v="71"/>
    <n v="5"/>
  </r>
  <r>
    <x v="21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5"/>
    <x v="1"/>
    <b v="0"/>
    <x v="71"/>
    <n v="5"/>
  </r>
  <r>
    <x v="7"/>
    <x v="1"/>
    <b v="0"/>
    <x v="71"/>
    <n v="5"/>
  </r>
  <r>
    <x v="30"/>
    <x v="1"/>
    <b v="0"/>
    <x v="71"/>
    <n v="5"/>
  </r>
  <r>
    <x v="8"/>
    <x v="1"/>
    <b v="0"/>
    <x v="71"/>
    <n v="5"/>
  </r>
  <r>
    <x v="9"/>
    <x v="1"/>
    <b v="0"/>
    <x v="71"/>
    <n v="5"/>
  </r>
  <r>
    <x v="18"/>
    <x v="1"/>
    <b v="0"/>
    <x v="71"/>
    <n v="5"/>
  </r>
  <r>
    <x v="27"/>
    <x v="1"/>
    <b v="0"/>
    <x v="71"/>
    <n v="5"/>
  </r>
  <r>
    <x v="23"/>
    <x v="1"/>
    <b v="0"/>
    <x v="71"/>
    <n v="5"/>
  </r>
  <r>
    <x v="25"/>
    <x v="1"/>
    <b v="0"/>
    <x v="71"/>
    <n v="5"/>
  </r>
  <r>
    <x v="0"/>
    <x v="0"/>
    <b v="0"/>
    <x v="72"/>
    <n v="-112.07"/>
  </r>
  <r>
    <x v="16"/>
    <x v="0"/>
    <b v="0"/>
    <x v="72"/>
    <n v="-12"/>
  </r>
  <r>
    <x v="13"/>
    <x v="0"/>
    <b v="0"/>
    <x v="72"/>
    <n v="-5"/>
  </r>
  <r>
    <x v="20"/>
    <x v="0"/>
    <b v="0"/>
    <x v="72"/>
    <n v="-5"/>
  </r>
  <r>
    <x v="19"/>
    <x v="1"/>
    <b v="0"/>
    <x v="72"/>
    <n v="5"/>
  </r>
  <r>
    <x v="3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2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5"/>
    <x v="1"/>
    <b v="0"/>
    <x v="72"/>
    <n v="5"/>
  </r>
  <r>
    <x v="26"/>
    <x v="1"/>
    <b v="0"/>
    <x v="72"/>
    <n v="5"/>
  </r>
  <r>
    <x v="7"/>
    <x v="1"/>
    <b v="0"/>
    <x v="72"/>
    <n v="5"/>
  </r>
  <r>
    <x v="30"/>
    <x v="1"/>
    <b v="0"/>
    <x v="72"/>
    <n v="5"/>
  </r>
  <r>
    <x v="8"/>
    <x v="1"/>
    <b v="0"/>
    <x v="72"/>
    <n v="5"/>
  </r>
  <r>
    <x v="9"/>
    <x v="1"/>
    <b v="0"/>
    <x v="72"/>
    <n v="5"/>
  </r>
  <r>
    <x v="27"/>
    <x v="1"/>
    <b v="0"/>
    <x v="72"/>
    <n v="5"/>
  </r>
  <r>
    <x v="23"/>
    <x v="1"/>
    <b v="0"/>
    <x v="72"/>
    <n v="5"/>
  </r>
  <r>
    <x v="25"/>
    <x v="1"/>
    <b v="0"/>
    <x v="72"/>
    <n v="5"/>
  </r>
  <r>
    <x v="15"/>
    <x v="2"/>
    <b v="0"/>
    <x v="72"/>
    <n v="32.26"/>
  </r>
  <r>
    <x v="13"/>
    <x v="0"/>
    <b v="0"/>
    <x v="73"/>
    <n v="-5"/>
  </r>
  <r>
    <x v="20"/>
    <x v="0"/>
    <b v="0"/>
    <x v="73"/>
    <n v="-10"/>
  </r>
  <r>
    <x v="3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5"/>
    <x v="1"/>
    <b v="0"/>
    <x v="73"/>
    <n v="5"/>
  </r>
  <r>
    <x v="26"/>
    <x v="1"/>
    <b v="0"/>
    <x v="73"/>
    <n v="5"/>
  </r>
  <r>
    <x v="7"/>
    <x v="1"/>
    <b v="0"/>
    <x v="73"/>
    <n v="5"/>
  </r>
  <r>
    <x v="30"/>
    <x v="1"/>
    <b v="0"/>
    <x v="73"/>
    <n v="5"/>
  </r>
  <r>
    <x v="8"/>
    <x v="1"/>
    <b v="0"/>
    <x v="73"/>
    <n v="5"/>
  </r>
  <r>
    <x v="9"/>
    <x v="1"/>
    <b v="0"/>
    <x v="73"/>
    <n v="5"/>
  </r>
  <r>
    <x v="27"/>
    <x v="1"/>
    <b v="0"/>
    <x v="73"/>
    <n v="5"/>
  </r>
  <r>
    <x v="23"/>
    <x v="1"/>
    <b v="0"/>
    <x v="73"/>
    <n v="5"/>
  </r>
  <r>
    <x v="25"/>
    <x v="1"/>
    <b v="0"/>
    <x v="73"/>
    <n v="5"/>
  </r>
  <r>
    <x v="15"/>
    <x v="2"/>
    <b v="0"/>
    <x v="73"/>
    <n v="24.52"/>
  </r>
  <r>
    <x v="0"/>
    <x v="0"/>
    <b v="0"/>
    <x v="74"/>
    <n v="-153.43"/>
  </r>
  <r>
    <x v="16"/>
    <x v="0"/>
    <b v="0"/>
    <x v="74"/>
    <n v="-9.57"/>
  </r>
  <r>
    <x v="20"/>
    <x v="0"/>
    <b v="0"/>
    <x v="74"/>
    <n v="-5"/>
  </r>
  <r>
    <x v="3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5"/>
    <x v="1"/>
    <b v="0"/>
    <x v="74"/>
    <n v="5"/>
  </r>
  <r>
    <x v="7"/>
    <x v="1"/>
    <b v="0"/>
    <x v="74"/>
    <n v="5"/>
  </r>
  <r>
    <x v="8"/>
    <x v="1"/>
    <b v="0"/>
    <x v="74"/>
    <n v="5"/>
  </r>
  <r>
    <x v="9"/>
    <x v="1"/>
    <b v="0"/>
    <x v="74"/>
    <n v="5"/>
  </r>
  <r>
    <x v="18"/>
    <x v="1"/>
    <b v="0"/>
    <x v="74"/>
    <n v="5"/>
  </r>
  <r>
    <x v="27"/>
    <x v="1"/>
    <b v="0"/>
    <x v="74"/>
    <n v="5"/>
  </r>
  <r>
    <x v="23"/>
    <x v="1"/>
    <b v="0"/>
    <x v="74"/>
    <n v="5"/>
  </r>
  <r>
    <x v="25"/>
    <x v="1"/>
    <b v="0"/>
    <x v="74"/>
    <n v="5"/>
  </r>
  <r>
    <x v="0"/>
    <x v="0"/>
    <b v="0"/>
    <x v="75"/>
    <n v="-5"/>
  </r>
  <r>
    <x v="20"/>
    <x v="0"/>
    <b v="0"/>
    <x v="75"/>
    <n v="-10.56"/>
  </r>
  <r>
    <x v="3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5"/>
    <x v="1"/>
    <b v="0"/>
    <x v="75"/>
    <n v="5"/>
  </r>
  <r>
    <x v="26"/>
    <x v="1"/>
    <b v="0"/>
    <x v="75"/>
    <n v="5"/>
  </r>
  <r>
    <x v="7"/>
    <x v="1"/>
    <b v="0"/>
    <x v="75"/>
    <n v="5"/>
  </r>
  <r>
    <x v="30"/>
    <x v="1"/>
    <b v="0"/>
    <x v="75"/>
    <n v="5"/>
  </r>
  <r>
    <x v="8"/>
    <x v="1"/>
    <b v="0"/>
    <x v="75"/>
    <n v="5"/>
  </r>
  <r>
    <x v="9"/>
    <x v="1"/>
    <b v="0"/>
    <x v="75"/>
    <n v="5"/>
  </r>
  <r>
    <x v="18"/>
    <x v="1"/>
    <b v="0"/>
    <x v="75"/>
    <n v="5"/>
  </r>
  <r>
    <x v="27"/>
    <x v="1"/>
    <b v="0"/>
    <x v="75"/>
    <n v="5"/>
  </r>
  <r>
    <x v="23"/>
    <x v="1"/>
    <b v="0"/>
    <x v="75"/>
    <n v="5"/>
  </r>
  <r>
    <x v="25"/>
    <x v="1"/>
    <b v="0"/>
    <x v="75"/>
    <n v="5"/>
  </r>
  <r>
    <x v="15"/>
    <x v="2"/>
    <b v="0"/>
    <x v="75"/>
    <n v="45.25"/>
  </r>
  <r>
    <x v="0"/>
    <x v="0"/>
    <b v="0"/>
    <x v="76"/>
    <n v="-75.72"/>
  </r>
  <r>
    <x v="13"/>
    <x v="0"/>
    <b v="0"/>
    <x v="76"/>
    <n v="-5"/>
  </r>
  <r>
    <x v="20"/>
    <x v="0"/>
    <b v="0"/>
    <x v="76"/>
    <n v="-18.16"/>
  </r>
  <r>
    <x v="3"/>
    <x v="1"/>
    <b v="0"/>
    <x v="76"/>
    <n v="5"/>
  </r>
  <r>
    <x v="31"/>
    <x v="1"/>
    <b v="0"/>
    <x v="76"/>
    <n v="2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5"/>
    <x v="1"/>
    <b v="0"/>
    <x v="76"/>
    <n v="2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5"/>
    <x v="1"/>
    <b v="0"/>
    <x v="76"/>
    <n v="5"/>
  </r>
  <r>
    <x v="26"/>
    <x v="1"/>
    <b v="0"/>
    <x v="76"/>
    <n v="5"/>
  </r>
  <r>
    <x v="7"/>
    <x v="1"/>
    <b v="0"/>
    <x v="76"/>
    <n v="5"/>
  </r>
  <r>
    <x v="30"/>
    <x v="1"/>
    <b v="0"/>
    <x v="76"/>
    <n v="5"/>
  </r>
  <r>
    <x v="8"/>
    <x v="1"/>
    <b v="0"/>
    <x v="76"/>
    <n v="5"/>
  </r>
  <r>
    <x v="9"/>
    <x v="1"/>
    <b v="0"/>
    <x v="76"/>
    <n v="5"/>
  </r>
  <r>
    <x v="27"/>
    <x v="1"/>
    <b v="0"/>
    <x v="76"/>
    <n v="5"/>
  </r>
  <r>
    <x v="23"/>
    <x v="1"/>
    <b v="0"/>
    <x v="76"/>
    <n v="5"/>
  </r>
  <r>
    <x v="25"/>
    <x v="1"/>
    <b v="0"/>
    <x v="76"/>
    <n v="5"/>
  </r>
  <r>
    <x v="15"/>
    <x v="2"/>
    <b v="0"/>
    <x v="76"/>
    <n v="45.44"/>
  </r>
  <r>
    <x v="0"/>
    <x v="0"/>
    <b v="0"/>
    <x v="77"/>
    <n v="-63.02"/>
  </r>
  <r>
    <x v="16"/>
    <x v="0"/>
    <b v="0"/>
    <x v="77"/>
    <n v="-5"/>
  </r>
  <r>
    <x v="20"/>
    <x v="0"/>
    <b v="0"/>
    <x v="77"/>
    <n v="-130.57"/>
  </r>
  <r>
    <x v="3"/>
    <x v="1"/>
    <b v="0"/>
    <x v="77"/>
    <n v="5"/>
  </r>
  <r>
    <x v="31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5"/>
    <x v="1"/>
    <b v="0"/>
    <x v="77"/>
    <n v="5"/>
  </r>
  <r>
    <x v="26"/>
    <x v="1"/>
    <b v="0"/>
    <x v="77"/>
    <n v="5"/>
  </r>
  <r>
    <x v="7"/>
    <x v="1"/>
    <b v="0"/>
    <x v="77"/>
    <n v="5"/>
  </r>
  <r>
    <x v="30"/>
    <x v="1"/>
    <b v="0"/>
    <x v="77"/>
    <n v="5"/>
  </r>
  <r>
    <x v="8"/>
    <x v="1"/>
    <b v="0"/>
    <x v="77"/>
    <n v="5"/>
  </r>
  <r>
    <x v="9"/>
    <x v="1"/>
    <b v="0"/>
    <x v="77"/>
    <n v="5"/>
  </r>
  <r>
    <x v="18"/>
    <x v="1"/>
    <b v="0"/>
    <x v="77"/>
    <n v="5"/>
  </r>
  <r>
    <x v="27"/>
    <x v="1"/>
    <b v="0"/>
    <x v="77"/>
    <n v="5"/>
  </r>
  <r>
    <x v="23"/>
    <x v="1"/>
    <b v="0"/>
    <x v="77"/>
    <n v="5"/>
  </r>
  <r>
    <x v="25"/>
    <x v="1"/>
    <b v="0"/>
    <x v="77"/>
    <n v="5"/>
  </r>
  <r>
    <x v="0"/>
    <x v="0"/>
    <b v="0"/>
    <x v="78"/>
    <n v="-100"/>
  </r>
  <r>
    <x v="3"/>
    <x v="1"/>
    <b v="0"/>
    <x v="78"/>
    <n v="5"/>
  </r>
  <r>
    <x v="5"/>
    <x v="1"/>
    <b v="0"/>
    <x v="78"/>
    <n v="5"/>
  </r>
  <r>
    <x v="5"/>
    <x v="1"/>
    <b v="0"/>
    <x v="78"/>
    <n v="3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5"/>
    <x v="1"/>
    <b v="0"/>
    <x v="78"/>
    <n v="5"/>
  </r>
  <r>
    <x v="26"/>
    <x v="1"/>
    <b v="0"/>
    <x v="78"/>
    <n v="5"/>
  </r>
  <r>
    <x v="30"/>
    <x v="1"/>
    <b v="0"/>
    <x v="78"/>
    <n v="5"/>
  </r>
  <r>
    <x v="8"/>
    <x v="1"/>
    <b v="0"/>
    <x v="78"/>
    <n v="5"/>
  </r>
  <r>
    <x v="9"/>
    <x v="1"/>
    <b v="0"/>
    <x v="78"/>
    <n v="5"/>
  </r>
  <r>
    <x v="27"/>
    <x v="1"/>
    <b v="0"/>
    <x v="78"/>
    <n v="5"/>
  </r>
  <r>
    <x v="23"/>
    <x v="1"/>
    <b v="0"/>
    <x v="78"/>
    <n v="5"/>
  </r>
  <r>
    <x v="25"/>
    <x v="1"/>
    <b v="0"/>
    <x v="78"/>
    <n v="5"/>
  </r>
  <r>
    <x v="15"/>
    <x v="2"/>
    <b v="0"/>
    <x v="78"/>
    <n v="11.35"/>
  </r>
  <r>
    <x v="0"/>
    <x v="0"/>
    <b v="0"/>
    <x v="79"/>
    <n v="-117.08"/>
  </r>
  <r>
    <x v="1"/>
    <x v="0"/>
    <b v="0"/>
    <x v="79"/>
    <n v="-5.85"/>
  </r>
  <r>
    <x v="3"/>
    <x v="1"/>
    <b v="0"/>
    <x v="79"/>
    <n v="5"/>
  </r>
  <r>
    <x v="5"/>
    <x v="1"/>
    <b v="0"/>
    <x v="79"/>
    <n v="5"/>
  </r>
  <r>
    <x v="5"/>
    <x v="1"/>
    <b v="0"/>
    <x v="79"/>
    <n v="5"/>
  </r>
  <r>
    <x v="5"/>
    <x v="1"/>
    <b v="0"/>
    <x v="79"/>
    <n v="2"/>
  </r>
  <r>
    <x v="5"/>
    <x v="1"/>
    <b v="0"/>
    <x v="79"/>
    <n v="5"/>
  </r>
  <r>
    <x v="5"/>
    <x v="1"/>
    <b v="0"/>
    <x v="79"/>
    <n v="5"/>
  </r>
  <r>
    <x v="5"/>
    <x v="1"/>
    <b v="0"/>
    <x v="79"/>
    <n v="5"/>
  </r>
  <r>
    <x v="5"/>
    <x v="1"/>
    <b v="0"/>
    <x v="79"/>
    <n v="5"/>
  </r>
  <r>
    <x v="5"/>
    <x v="1"/>
    <b v="0"/>
    <x v="79"/>
    <n v="3"/>
  </r>
  <r>
    <x v="5"/>
    <x v="1"/>
    <b v="0"/>
    <x v="79"/>
    <n v="5"/>
  </r>
  <r>
    <x v="5"/>
    <x v="1"/>
    <b v="0"/>
    <x v="79"/>
    <n v="5"/>
  </r>
  <r>
    <x v="26"/>
    <x v="1"/>
    <b v="0"/>
    <x v="79"/>
    <n v="5"/>
  </r>
  <r>
    <x v="7"/>
    <x v="1"/>
    <b v="0"/>
    <x v="79"/>
    <n v="5"/>
  </r>
  <r>
    <x v="30"/>
    <x v="1"/>
    <b v="0"/>
    <x v="79"/>
    <n v="5"/>
  </r>
  <r>
    <x v="9"/>
    <x v="1"/>
    <b v="0"/>
    <x v="79"/>
    <n v="5"/>
  </r>
  <r>
    <x v="18"/>
    <x v="1"/>
    <b v="0"/>
    <x v="79"/>
    <n v="5"/>
  </r>
  <r>
    <x v="27"/>
    <x v="1"/>
    <b v="0"/>
    <x v="79"/>
    <n v="5"/>
  </r>
  <r>
    <x v="23"/>
    <x v="1"/>
    <b v="0"/>
    <x v="79"/>
    <n v="5"/>
  </r>
  <r>
    <x v="25"/>
    <x v="1"/>
    <b v="0"/>
    <x v="79"/>
    <n v="5"/>
  </r>
  <r>
    <x v="15"/>
    <x v="2"/>
    <b v="0"/>
    <x v="79"/>
    <n v="25.5"/>
  </r>
  <r>
    <x v="0"/>
    <x v="0"/>
    <b v="0"/>
    <x v="80"/>
    <n v="-100"/>
  </r>
  <r>
    <x v="20"/>
    <x v="0"/>
    <b v="0"/>
    <x v="80"/>
    <n v="-20.059999999999999"/>
  </r>
  <r>
    <x v="3"/>
    <x v="1"/>
    <b v="0"/>
    <x v="80"/>
    <n v="5"/>
  </r>
  <r>
    <x v="5"/>
    <x v="1"/>
    <b v="0"/>
    <x v="80"/>
    <n v="2.5"/>
  </r>
  <r>
    <x v="5"/>
    <x v="1"/>
    <b v="0"/>
    <x v="80"/>
    <n v="5"/>
  </r>
  <r>
    <x v="5"/>
    <x v="1"/>
    <b v="0"/>
    <x v="80"/>
    <n v="5"/>
  </r>
  <r>
    <x v="5"/>
    <x v="1"/>
    <b v="0"/>
    <x v="80"/>
    <n v="5"/>
  </r>
  <r>
    <x v="5"/>
    <x v="1"/>
    <b v="0"/>
    <x v="80"/>
    <n v="5"/>
  </r>
  <r>
    <x v="26"/>
    <x v="1"/>
    <b v="0"/>
    <x v="80"/>
    <n v="5"/>
  </r>
  <r>
    <x v="7"/>
    <x v="1"/>
    <b v="0"/>
    <x v="80"/>
    <n v="5"/>
  </r>
  <r>
    <x v="30"/>
    <x v="1"/>
    <b v="0"/>
    <x v="80"/>
    <n v="5"/>
  </r>
  <r>
    <x v="8"/>
    <x v="1"/>
    <b v="0"/>
    <x v="80"/>
    <n v="5"/>
  </r>
  <r>
    <x v="32"/>
    <x v="1"/>
    <b v="0"/>
    <x v="80"/>
    <n v="5"/>
  </r>
  <r>
    <x v="9"/>
    <x v="1"/>
    <b v="0"/>
    <x v="80"/>
    <n v="5"/>
  </r>
  <r>
    <x v="18"/>
    <x v="1"/>
    <b v="0"/>
    <x v="80"/>
    <n v="5"/>
  </r>
  <r>
    <x v="27"/>
    <x v="1"/>
    <b v="0"/>
    <x v="80"/>
    <n v="5"/>
  </r>
  <r>
    <x v="23"/>
    <x v="1"/>
    <b v="0"/>
    <x v="80"/>
    <n v="5"/>
  </r>
  <r>
    <x v="25"/>
    <x v="1"/>
    <b v="0"/>
    <x v="80"/>
    <n v="5"/>
  </r>
  <r>
    <x v="15"/>
    <x v="2"/>
    <b v="0"/>
    <x v="80"/>
    <n v="17.7"/>
  </r>
  <r>
    <x v="0"/>
    <x v="0"/>
    <b v="0"/>
    <x v="81"/>
    <n v="-0.74"/>
  </r>
  <r>
    <x v="1"/>
    <x v="0"/>
    <b v="0"/>
    <x v="81"/>
    <n v="-45.16"/>
  </r>
  <r>
    <x v="13"/>
    <x v="0"/>
    <b v="0"/>
    <x v="81"/>
    <n v="-0.84"/>
  </r>
  <r>
    <x v="20"/>
    <x v="0"/>
    <b v="0"/>
    <x v="81"/>
    <n v="-3.5038499999999999"/>
  </r>
  <r>
    <x v="5"/>
    <x v="1"/>
    <b v="0"/>
    <x v="81"/>
    <n v="5"/>
  </r>
  <r>
    <x v="5"/>
    <x v="1"/>
    <b v="0"/>
    <x v="81"/>
    <n v="5"/>
  </r>
  <r>
    <x v="5"/>
    <x v="1"/>
    <b v="0"/>
    <x v="81"/>
    <n v="5"/>
  </r>
  <r>
    <x v="26"/>
    <x v="1"/>
    <b v="0"/>
    <x v="81"/>
    <n v="5"/>
  </r>
  <r>
    <x v="7"/>
    <x v="1"/>
    <b v="0"/>
    <x v="81"/>
    <n v="5"/>
  </r>
  <r>
    <x v="8"/>
    <x v="1"/>
    <b v="0"/>
    <x v="81"/>
    <n v="5"/>
  </r>
  <r>
    <x v="32"/>
    <x v="1"/>
    <b v="0"/>
    <x v="81"/>
    <n v="5"/>
  </r>
  <r>
    <x v="9"/>
    <x v="1"/>
    <b v="0"/>
    <x v="81"/>
    <n v="5"/>
  </r>
  <r>
    <x v="18"/>
    <x v="1"/>
    <b v="0"/>
    <x v="81"/>
    <n v="5"/>
  </r>
  <r>
    <x v="23"/>
    <x v="1"/>
    <b v="0"/>
    <x v="81"/>
    <n v="5"/>
  </r>
  <r>
    <x v="25"/>
    <x v="1"/>
    <b v="0"/>
    <x v="81"/>
    <n v="5"/>
  </r>
  <r>
    <x v="0"/>
    <x v="0"/>
    <b v="0"/>
    <x v="82"/>
    <n v="-122.5"/>
  </r>
  <r>
    <x v="3"/>
    <x v="1"/>
    <b v="0"/>
    <x v="82"/>
    <n v="5"/>
  </r>
  <r>
    <x v="5"/>
    <x v="1"/>
    <b v="0"/>
    <x v="82"/>
    <n v="5"/>
  </r>
  <r>
    <x v="5"/>
    <x v="1"/>
    <b v="0"/>
    <x v="82"/>
    <n v="5"/>
  </r>
  <r>
    <x v="5"/>
    <x v="1"/>
    <b v="0"/>
    <x v="82"/>
    <n v="5"/>
  </r>
  <r>
    <x v="26"/>
    <x v="1"/>
    <b v="0"/>
    <x v="82"/>
    <n v="5"/>
  </r>
  <r>
    <x v="7"/>
    <x v="1"/>
    <b v="0"/>
    <x v="82"/>
    <n v="5"/>
  </r>
  <r>
    <x v="30"/>
    <x v="1"/>
    <b v="0"/>
    <x v="82"/>
    <n v="5"/>
  </r>
  <r>
    <x v="8"/>
    <x v="1"/>
    <b v="0"/>
    <x v="82"/>
    <n v="5"/>
  </r>
  <r>
    <x v="32"/>
    <x v="1"/>
    <b v="0"/>
    <x v="82"/>
    <n v="5"/>
  </r>
  <r>
    <x v="9"/>
    <x v="1"/>
    <b v="0"/>
    <x v="82"/>
    <n v="5"/>
  </r>
  <r>
    <x v="18"/>
    <x v="1"/>
    <b v="0"/>
    <x v="82"/>
    <n v="5"/>
  </r>
  <r>
    <x v="27"/>
    <x v="1"/>
    <b v="0"/>
    <x v="82"/>
    <n v="5"/>
  </r>
  <r>
    <x v="23"/>
    <x v="1"/>
    <b v="0"/>
    <x v="82"/>
    <n v="5"/>
  </r>
  <r>
    <x v="25"/>
    <x v="1"/>
    <b v="0"/>
    <x v="82"/>
    <n v="5"/>
  </r>
  <r>
    <x v="15"/>
    <x v="2"/>
    <b v="0"/>
    <x v="82"/>
    <n v="34.5"/>
  </r>
  <r>
    <x v="0"/>
    <x v="0"/>
    <b v="0"/>
    <x v="83"/>
    <n v="-76.31"/>
  </r>
  <r>
    <x v="1"/>
    <x v="0"/>
    <b v="0"/>
    <x v="83"/>
    <n v="-24.4787"/>
  </r>
  <r>
    <x v="13"/>
    <x v="0"/>
    <b v="0"/>
    <x v="83"/>
    <n v="-66.86"/>
  </r>
  <r>
    <x v="20"/>
    <x v="0"/>
    <b v="0"/>
    <x v="83"/>
    <n v="-16.5977"/>
  </r>
  <r>
    <x v="3"/>
    <x v="1"/>
    <b v="0"/>
    <x v="83"/>
    <n v="5"/>
  </r>
  <r>
    <x v="5"/>
    <x v="1"/>
    <b v="0"/>
    <x v="83"/>
    <n v="5"/>
  </r>
  <r>
    <x v="26"/>
    <x v="1"/>
    <b v="0"/>
    <x v="83"/>
    <n v="5"/>
  </r>
  <r>
    <x v="7"/>
    <x v="1"/>
    <b v="0"/>
    <x v="83"/>
    <n v="5"/>
  </r>
  <r>
    <x v="30"/>
    <x v="1"/>
    <b v="0"/>
    <x v="83"/>
    <n v="5"/>
  </r>
  <r>
    <x v="8"/>
    <x v="1"/>
    <b v="0"/>
    <x v="83"/>
    <n v="5"/>
  </r>
  <r>
    <x v="32"/>
    <x v="1"/>
    <b v="0"/>
    <x v="83"/>
    <n v="5"/>
  </r>
  <r>
    <x v="9"/>
    <x v="1"/>
    <b v="0"/>
    <x v="83"/>
    <n v="5"/>
  </r>
  <r>
    <x v="18"/>
    <x v="1"/>
    <b v="0"/>
    <x v="83"/>
    <n v="5"/>
  </r>
  <r>
    <x v="23"/>
    <x v="1"/>
    <b v="0"/>
    <x v="83"/>
    <n v="5"/>
  </r>
  <r>
    <x v="25"/>
    <x v="1"/>
    <b v="0"/>
    <x v="83"/>
    <n v="5"/>
  </r>
  <r>
    <x v="15"/>
    <x v="2"/>
    <b v="0"/>
    <x v="83"/>
    <n v="5"/>
  </r>
  <r>
    <x v="3"/>
    <x v="1"/>
    <b v="0"/>
    <x v="84"/>
    <n v="5"/>
  </r>
  <r>
    <x v="5"/>
    <x v="1"/>
    <b v="0"/>
    <x v="84"/>
    <n v="5"/>
  </r>
  <r>
    <x v="5"/>
    <x v="1"/>
    <b v="0"/>
    <x v="84"/>
    <n v="5"/>
  </r>
  <r>
    <x v="5"/>
    <x v="1"/>
    <b v="0"/>
    <x v="84"/>
    <n v="5"/>
  </r>
  <r>
    <x v="26"/>
    <x v="1"/>
    <b v="0"/>
    <x v="84"/>
    <n v="5"/>
  </r>
  <r>
    <x v="7"/>
    <x v="1"/>
    <b v="0"/>
    <x v="84"/>
    <n v="5"/>
  </r>
  <r>
    <x v="8"/>
    <x v="1"/>
    <b v="0"/>
    <x v="84"/>
    <n v="5"/>
  </r>
  <r>
    <x v="32"/>
    <x v="1"/>
    <b v="0"/>
    <x v="84"/>
    <n v="5"/>
  </r>
  <r>
    <x v="9"/>
    <x v="1"/>
    <b v="0"/>
    <x v="84"/>
    <n v="5"/>
  </r>
  <r>
    <x v="18"/>
    <x v="1"/>
    <b v="0"/>
    <x v="84"/>
    <n v="5"/>
  </r>
  <r>
    <x v="23"/>
    <x v="1"/>
    <b v="0"/>
    <x v="84"/>
    <n v="5"/>
  </r>
  <r>
    <x v="25"/>
    <x v="1"/>
    <b v="0"/>
    <x v="84"/>
    <n v="5"/>
  </r>
  <r>
    <x v="15"/>
    <x v="2"/>
    <b v="0"/>
    <x v="84"/>
    <n v="27.05"/>
  </r>
  <r>
    <x v="0"/>
    <x v="0"/>
    <b v="0"/>
    <x v="85"/>
    <n v="-164.14"/>
  </r>
  <r>
    <x v="20"/>
    <x v="0"/>
    <b v="0"/>
    <x v="85"/>
    <n v="-0.65"/>
  </r>
  <r>
    <x v="15"/>
    <x v="2"/>
    <b v="0"/>
    <x v="85"/>
    <n v="39.1"/>
  </r>
  <r>
    <x v="0"/>
    <x v="0"/>
    <b v="0"/>
    <x v="86"/>
    <n v="-45"/>
  </r>
  <r>
    <x v="3"/>
    <x v="1"/>
    <b v="0"/>
    <x v="86"/>
    <n v="5"/>
  </r>
  <r>
    <x v="5"/>
    <x v="1"/>
    <b v="0"/>
    <x v="86"/>
    <n v="5"/>
  </r>
  <r>
    <x v="5"/>
    <x v="1"/>
    <b v="0"/>
    <x v="86"/>
    <n v="5"/>
  </r>
  <r>
    <x v="26"/>
    <x v="1"/>
    <b v="0"/>
    <x v="86"/>
    <n v="5"/>
  </r>
  <r>
    <x v="7"/>
    <x v="1"/>
    <b v="0"/>
    <x v="86"/>
    <n v="5"/>
  </r>
  <r>
    <x v="30"/>
    <x v="1"/>
    <b v="0"/>
    <x v="86"/>
    <n v="5"/>
  </r>
  <r>
    <x v="8"/>
    <x v="1"/>
    <b v="0"/>
    <x v="86"/>
    <n v="5"/>
  </r>
  <r>
    <x v="32"/>
    <x v="1"/>
    <b v="0"/>
    <x v="86"/>
    <n v="5"/>
  </r>
  <r>
    <x v="9"/>
    <x v="1"/>
    <b v="0"/>
    <x v="86"/>
    <n v="5"/>
  </r>
  <r>
    <x v="18"/>
    <x v="1"/>
    <b v="0"/>
    <x v="86"/>
    <n v="5"/>
  </r>
  <r>
    <x v="27"/>
    <x v="1"/>
    <b v="0"/>
    <x v="86"/>
    <n v="5"/>
  </r>
  <r>
    <x v="23"/>
    <x v="1"/>
    <b v="0"/>
    <x v="86"/>
    <n v="5"/>
  </r>
  <r>
    <x v="25"/>
    <x v="1"/>
    <b v="0"/>
    <x v="86"/>
    <n v="5"/>
  </r>
  <r>
    <x v="0"/>
    <x v="0"/>
    <b v="0"/>
    <x v="87"/>
    <n v="-125.85"/>
  </r>
  <r>
    <x v="3"/>
    <x v="1"/>
    <b v="0"/>
    <x v="87"/>
    <n v="5"/>
  </r>
  <r>
    <x v="5"/>
    <x v="1"/>
    <b v="0"/>
    <x v="87"/>
    <n v="5"/>
  </r>
  <r>
    <x v="5"/>
    <x v="1"/>
    <b v="0"/>
    <x v="87"/>
    <n v="5"/>
  </r>
  <r>
    <x v="5"/>
    <x v="1"/>
    <b v="0"/>
    <x v="87"/>
    <n v="5"/>
  </r>
  <r>
    <x v="7"/>
    <x v="1"/>
    <b v="0"/>
    <x v="87"/>
    <n v="5"/>
  </r>
  <r>
    <x v="30"/>
    <x v="1"/>
    <b v="0"/>
    <x v="87"/>
    <n v="5"/>
  </r>
  <r>
    <x v="8"/>
    <x v="1"/>
    <b v="0"/>
    <x v="87"/>
    <n v="5"/>
  </r>
  <r>
    <x v="32"/>
    <x v="1"/>
    <b v="0"/>
    <x v="87"/>
    <n v="5"/>
  </r>
  <r>
    <x v="9"/>
    <x v="1"/>
    <b v="0"/>
    <x v="87"/>
    <n v="5"/>
  </r>
  <r>
    <x v="18"/>
    <x v="1"/>
    <b v="0"/>
    <x v="87"/>
    <n v="5"/>
  </r>
  <r>
    <x v="27"/>
    <x v="1"/>
    <b v="0"/>
    <x v="87"/>
    <n v="5"/>
  </r>
  <r>
    <x v="33"/>
    <x v="1"/>
    <b v="0"/>
    <x v="87"/>
    <n v="5"/>
  </r>
  <r>
    <x v="23"/>
    <x v="1"/>
    <b v="0"/>
    <x v="87"/>
    <n v="5"/>
  </r>
  <r>
    <x v="25"/>
    <x v="1"/>
    <b v="0"/>
    <x v="87"/>
    <n v="5"/>
  </r>
  <r>
    <x v="0"/>
    <x v="0"/>
    <b v="0"/>
    <x v="88"/>
    <n v="-150.15"/>
  </r>
  <r>
    <x v="3"/>
    <x v="1"/>
    <b v="0"/>
    <x v="88"/>
    <n v="5"/>
  </r>
  <r>
    <x v="5"/>
    <x v="1"/>
    <b v="0"/>
    <x v="88"/>
    <n v="5"/>
  </r>
  <r>
    <x v="5"/>
    <x v="1"/>
    <b v="0"/>
    <x v="88"/>
    <n v="5"/>
  </r>
  <r>
    <x v="7"/>
    <x v="1"/>
    <b v="0"/>
    <x v="88"/>
    <n v="5"/>
  </r>
  <r>
    <x v="30"/>
    <x v="1"/>
    <b v="0"/>
    <x v="88"/>
    <n v="5"/>
  </r>
  <r>
    <x v="8"/>
    <x v="1"/>
    <b v="0"/>
    <x v="88"/>
    <n v="5"/>
  </r>
  <r>
    <x v="32"/>
    <x v="1"/>
    <b v="0"/>
    <x v="88"/>
    <n v="5"/>
  </r>
  <r>
    <x v="9"/>
    <x v="1"/>
    <b v="0"/>
    <x v="88"/>
    <n v="5"/>
  </r>
  <r>
    <x v="18"/>
    <x v="1"/>
    <b v="0"/>
    <x v="88"/>
    <n v="5"/>
  </r>
  <r>
    <x v="27"/>
    <x v="1"/>
    <b v="0"/>
    <x v="88"/>
    <n v="5"/>
  </r>
  <r>
    <x v="33"/>
    <x v="1"/>
    <b v="0"/>
    <x v="88"/>
    <n v="5"/>
  </r>
  <r>
    <x v="23"/>
    <x v="1"/>
    <b v="0"/>
    <x v="88"/>
    <n v="5"/>
  </r>
  <r>
    <x v="25"/>
    <x v="1"/>
    <b v="0"/>
    <x v="88"/>
    <n v="5"/>
  </r>
  <r>
    <x v="15"/>
    <x v="2"/>
    <b v="0"/>
    <x v="88"/>
    <n v="46"/>
  </r>
  <r>
    <x v="0"/>
    <x v="0"/>
    <b v="0"/>
    <x v="89"/>
    <n v="-57"/>
  </r>
  <r>
    <x v="3"/>
    <x v="1"/>
    <b v="0"/>
    <x v="89"/>
    <n v="5"/>
  </r>
  <r>
    <x v="5"/>
    <x v="1"/>
    <b v="0"/>
    <x v="89"/>
    <n v="5"/>
  </r>
  <r>
    <x v="5"/>
    <x v="1"/>
    <b v="0"/>
    <x v="89"/>
    <n v="5"/>
  </r>
  <r>
    <x v="34"/>
    <x v="1"/>
    <b v="0"/>
    <x v="89"/>
    <n v="5"/>
  </r>
  <r>
    <x v="26"/>
    <x v="1"/>
    <b v="0"/>
    <x v="89"/>
    <n v="5"/>
  </r>
  <r>
    <x v="7"/>
    <x v="1"/>
    <b v="0"/>
    <x v="89"/>
    <n v="5"/>
  </r>
  <r>
    <x v="30"/>
    <x v="1"/>
    <b v="0"/>
    <x v="89"/>
    <n v="5"/>
  </r>
  <r>
    <x v="8"/>
    <x v="1"/>
    <b v="0"/>
    <x v="89"/>
    <n v="5"/>
  </r>
  <r>
    <x v="9"/>
    <x v="1"/>
    <b v="0"/>
    <x v="89"/>
    <n v="5"/>
  </r>
  <r>
    <x v="18"/>
    <x v="1"/>
    <b v="0"/>
    <x v="89"/>
    <n v="5"/>
  </r>
  <r>
    <x v="27"/>
    <x v="1"/>
    <b v="0"/>
    <x v="89"/>
    <n v="5"/>
  </r>
  <r>
    <x v="33"/>
    <x v="1"/>
    <b v="0"/>
    <x v="89"/>
    <n v="5"/>
  </r>
  <r>
    <x v="23"/>
    <x v="1"/>
    <b v="0"/>
    <x v="89"/>
    <n v="5"/>
  </r>
  <r>
    <x v="25"/>
    <x v="1"/>
    <b v="0"/>
    <x v="89"/>
    <n v="5"/>
  </r>
  <r>
    <x v="15"/>
    <x v="2"/>
    <b v="0"/>
    <x v="89"/>
    <n v="41.4"/>
  </r>
  <r>
    <x v="0"/>
    <x v="0"/>
    <b v="0"/>
    <x v="90"/>
    <n v="-62.4"/>
  </r>
  <r>
    <x v="3"/>
    <x v="1"/>
    <b v="0"/>
    <x v="90"/>
    <n v="5"/>
  </r>
  <r>
    <x v="5"/>
    <x v="1"/>
    <b v="0"/>
    <x v="90"/>
    <n v="5"/>
  </r>
  <r>
    <x v="34"/>
    <x v="1"/>
    <b v="0"/>
    <x v="90"/>
    <n v="5"/>
  </r>
  <r>
    <x v="7"/>
    <x v="1"/>
    <b v="0"/>
    <x v="90"/>
    <n v="5"/>
  </r>
  <r>
    <x v="30"/>
    <x v="1"/>
    <b v="0"/>
    <x v="90"/>
    <n v="5"/>
  </r>
  <r>
    <x v="8"/>
    <x v="1"/>
    <b v="0"/>
    <x v="90"/>
    <n v="5"/>
  </r>
  <r>
    <x v="32"/>
    <x v="1"/>
    <b v="0"/>
    <x v="90"/>
    <n v="5"/>
  </r>
  <r>
    <x v="9"/>
    <x v="1"/>
    <b v="0"/>
    <x v="90"/>
    <n v="5"/>
  </r>
  <r>
    <x v="18"/>
    <x v="1"/>
    <b v="0"/>
    <x v="90"/>
    <n v="5"/>
  </r>
  <r>
    <x v="27"/>
    <x v="1"/>
    <b v="0"/>
    <x v="90"/>
    <n v="5"/>
  </r>
  <r>
    <x v="33"/>
    <x v="1"/>
    <b v="0"/>
    <x v="90"/>
    <n v="5"/>
  </r>
  <r>
    <x v="23"/>
    <x v="1"/>
    <b v="0"/>
    <x v="90"/>
    <n v="5"/>
  </r>
  <r>
    <x v="25"/>
    <x v="1"/>
    <b v="0"/>
    <x v="90"/>
    <n v="5"/>
  </r>
  <r>
    <x v="15"/>
    <x v="2"/>
    <b v="0"/>
    <x v="90"/>
    <n v="20.9"/>
  </r>
  <r>
    <x v="0"/>
    <x v="0"/>
    <b v="0"/>
    <x v="91"/>
    <n v="-130"/>
  </r>
  <r>
    <x v="13"/>
    <x v="0"/>
    <b v="0"/>
    <x v="91"/>
    <n v="-40.459999999999994"/>
  </r>
  <r>
    <x v="20"/>
    <x v="0"/>
    <b v="0"/>
    <x v="91"/>
    <n v="-0.44"/>
  </r>
  <r>
    <x v="3"/>
    <x v="1"/>
    <b v="0"/>
    <x v="91"/>
    <n v="5"/>
  </r>
  <r>
    <x v="5"/>
    <x v="1"/>
    <b v="0"/>
    <x v="91"/>
    <n v="5"/>
  </r>
  <r>
    <x v="5"/>
    <x v="1"/>
    <b v="0"/>
    <x v="91"/>
    <n v="5"/>
  </r>
  <r>
    <x v="34"/>
    <x v="1"/>
    <b v="0"/>
    <x v="91"/>
    <n v="5"/>
  </r>
  <r>
    <x v="7"/>
    <x v="1"/>
    <b v="0"/>
    <x v="91"/>
    <n v="5"/>
  </r>
  <r>
    <x v="30"/>
    <x v="1"/>
    <b v="0"/>
    <x v="91"/>
    <n v="5"/>
  </r>
  <r>
    <x v="32"/>
    <x v="1"/>
    <b v="0"/>
    <x v="91"/>
    <n v="5"/>
  </r>
  <r>
    <x v="9"/>
    <x v="1"/>
    <b v="0"/>
    <x v="91"/>
    <n v="5"/>
  </r>
  <r>
    <x v="18"/>
    <x v="1"/>
    <b v="0"/>
    <x v="91"/>
    <n v="5"/>
  </r>
  <r>
    <x v="27"/>
    <x v="1"/>
    <b v="0"/>
    <x v="91"/>
    <n v="5"/>
  </r>
  <r>
    <x v="33"/>
    <x v="1"/>
    <b v="0"/>
    <x v="91"/>
    <n v="5"/>
  </r>
  <r>
    <x v="23"/>
    <x v="1"/>
    <b v="0"/>
    <x v="91"/>
    <n v="5"/>
  </r>
  <r>
    <x v="25"/>
    <x v="1"/>
    <b v="0"/>
    <x v="91"/>
    <n v="5"/>
  </r>
  <r>
    <x v="15"/>
    <x v="2"/>
    <b v="0"/>
    <x v="91"/>
    <n v="29.35"/>
  </r>
  <r>
    <x v="0"/>
    <x v="0"/>
    <b v="0"/>
    <x v="92"/>
    <n v="-108.06"/>
  </r>
  <r>
    <x v="3"/>
    <x v="1"/>
    <b v="0"/>
    <x v="92"/>
    <n v="5"/>
  </r>
  <r>
    <x v="5"/>
    <x v="1"/>
    <b v="0"/>
    <x v="92"/>
    <n v="5"/>
  </r>
  <r>
    <x v="5"/>
    <x v="1"/>
    <b v="0"/>
    <x v="92"/>
    <n v="5"/>
  </r>
  <r>
    <x v="7"/>
    <x v="1"/>
    <b v="0"/>
    <x v="92"/>
    <n v="5"/>
  </r>
  <r>
    <x v="30"/>
    <x v="1"/>
    <b v="0"/>
    <x v="92"/>
    <n v="5"/>
  </r>
  <r>
    <x v="8"/>
    <x v="1"/>
    <b v="0"/>
    <x v="92"/>
    <n v="5"/>
  </r>
  <r>
    <x v="32"/>
    <x v="1"/>
    <b v="0"/>
    <x v="92"/>
    <n v="5"/>
  </r>
  <r>
    <x v="9"/>
    <x v="1"/>
    <b v="0"/>
    <x v="92"/>
    <n v="5"/>
  </r>
  <r>
    <x v="18"/>
    <x v="1"/>
    <b v="0"/>
    <x v="92"/>
    <n v="5"/>
  </r>
  <r>
    <x v="27"/>
    <x v="1"/>
    <b v="0"/>
    <x v="92"/>
    <n v="5"/>
  </r>
  <r>
    <x v="23"/>
    <x v="1"/>
    <b v="0"/>
    <x v="92"/>
    <n v="5"/>
  </r>
  <r>
    <x v="25"/>
    <x v="1"/>
    <b v="0"/>
    <x v="92"/>
    <n v="5"/>
  </r>
  <r>
    <x v="15"/>
    <x v="2"/>
    <b v="0"/>
    <x v="92"/>
    <n v="35.85"/>
  </r>
  <r>
    <x v="0"/>
    <x v="0"/>
    <b v="0"/>
    <x v="93"/>
    <n v="-125.08000000000001"/>
  </r>
  <r>
    <x v="13"/>
    <x v="0"/>
    <b v="0"/>
    <x v="93"/>
    <n v="-0.66"/>
  </r>
  <r>
    <x v="3"/>
    <x v="1"/>
    <b v="0"/>
    <x v="93"/>
    <n v="5"/>
  </r>
  <r>
    <x v="5"/>
    <x v="1"/>
    <b v="0"/>
    <x v="93"/>
    <n v="5"/>
  </r>
  <r>
    <x v="7"/>
    <x v="1"/>
    <b v="0"/>
    <x v="93"/>
    <n v="5"/>
  </r>
  <r>
    <x v="30"/>
    <x v="1"/>
    <b v="0"/>
    <x v="93"/>
    <n v="5"/>
  </r>
  <r>
    <x v="8"/>
    <x v="1"/>
    <b v="0"/>
    <x v="93"/>
    <n v="5"/>
  </r>
  <r>
    <x v="32"/>
    <x v="1"/>
    <b v="0"/>
    <x v="93"/>
    <n v="5"/>
  </r>
  <r>
    <x v="9"/>
    <x v="1"/>
    <b v="0"/>
    <x v="93"/>
    <n v="5"/>
  </r>
  <r>
    <x v="18"/>
    <x v="1"/>
    <b v="0"/>
    <x v="93"/>
    <n v="5"/>
  </r>
  <r>
    <x v="35"/>
    <x v="1"/>
    <b v="0"/>
    <x v="93"/>
    <n v="5"/>
  </r>
  <r>
    <x v="27"/>
    <x v="1"/>
    <b v="0"/>
    <x v="93"/>
    <n v="5"/>
  </r>
  <r>
    <x v="33"/>
    <x v="1"/>
    <b v="0"/>
    <x v="93"/>
    <n v="2.5"/>
  </r>
  <r>
    <x v="23"/>
    <x v="1"/>
    <b v="0"/>
    <x v="93"/>
    <n v="5"/>
  </r>
  <r>
    <x v="25"/>
    <x v="1"/>
    <b v="0"/>
    <x v="93"/>
    <n v="5"/>
  </r>
  <r>
    <x v="15"/>
    <x v="2"/>
    <b v="0"/>
    <x v="93"/>
    <n v="12.6"/>
  </r>
  <r>
    <x v="0"/>
    <x v="0"/>
    <b v="0"/>
    <x v="94"/>
    <n v="-120"/>
  </r>
  <r>
    <x v="3"/>
    <x v="1"/>
    <b v="0"/>
    <x v="94"/>
    <n v="5"/>
  </r>
  <r>
    <x v="5"/>
    <x v="1"/>
    <b v="0"/>
    <x v="94"/>
    <n v="5"/>
  </r>
  <r>
    <x v="7"/>
    <x v="1"/>
    <b v="0"/>
    <x v="94"/>
    <n v="5"/>
  </r>
  <r>
    <x v="30"/>
    <x v="1"/>
    <b v="0"/>
    <x v="94"/>
    <n v="5"/>
  </r>
  <r>
    <x v="8"/>
    <x v="1"/>
    <b v="0"/>
    <x v="94"/>
    <n v="5"/>
  </r>
  <r>
    <x v="32"/>
    <x v="1"/>
    <b v="0"/>
    <x v="94"/>
    <n v="5"/>
  </r>
  <r>
    <x v="9"/>
    <x v="1"/>
    <b v="0"/>
    <x v="94"/>
    <n v="5"/>
  </r>
  <r>
    <x v="36"/>
    <x v="1"/>
    <b v="0"/>
    <x v="94"/>
    <n v="5"/>
  </r>
  <r>
    <x v="18"/>
    <x v="1"/>
    <b v="0"/>
    <x v="94"/>
    <n v="5"/>
  </r>
  <r>
    <x v="35"/>
    <x v="1"/>
    <b v="0"/>
    <x v="94"/>
    <n v="5"/>
  </r>
  <r>
    <x v="27"/>
    <x v="1"/>
    <b v="0"/>
    <x v="94"/>
    <n v="5"/>
  </r>
  <r>
    <x v="33"/>
    <x v="1"/>
    <b v="0"/>
    <x v="94"/>
    <n v="5"/>
  </r>
  <r>
    <x v="23"/>
    <x v="1"/>
    <b v="0"/>
    <x v="94"/>
    <n v="5"/>
  </r>
  <r>
    <x v="25"/>
    <x v="1"/>
    <b v="0"/>
    <x v="94"/>
    <n v="5"/>
  </r>
  <r>
    <x v="15"/>
    <x v="2"/>
    <b v="0"/>
    <x v="94"/>
    <n v="26.25"/>
  </r>
  <r>
    <x v="0"/>
    <x v="0"/>
    <b v="0"/>
    <x v="95"/>
    <n v="-82.96"/>
  </r>
  <r>
    <x v="1"/>
    <x v="0"/>
    <b v="0"/>
    <x v="95"/>
    <n v="-20"/>
  </r>
  <r>
    <x v="20"/>
    <x v="0"/>
    <b v="0"/>
    <x v="95"/>
    <n v="-8.5"/>
  </r>
  <r>
    <x v="3"/>
    <x v="1"/>
    <b v="0"/>
    <x v="95"/>
    <n v="5"/>
  </r>
  <r>
    <x v="5"/>
    <x v="1"/>
    <b v="0"/>
    <x v="95"/>
    <n v="5"/>
  </r>
  <r>
    <x v="7"/>
    <x v="1"/>
    <b v="0"/>
    <x v="95"/>
    <n v="5"/>
  </r>
  <r>
    <x v="30"/>
    <x v="1"/>
    <b v="0"/>
    <x v="95"/>
    <n v="5"/>
  </r>
  <r>
    <x v="8"/>
    <x v="1"/>
    <b v="0"/>
    <x v="95"/>
    <n v="5"/>
  </r>
  <r>
    <x v="32"/>
    <x v="1"/>
    <b v="0"/>
    <x v="95"/>
    <n v="5"/>
  </r>
  <r>
    <x v="9"/>
    <x v="1"/>
    <b v="0"/>
    <x v="95"/>
    <n v="5"/>
  </r>
  <r>
    <x v="36"/>
    <x v="1"/>
    <b v="0"/>
    <x v="95"/>
    <n v="5"/>
  </r>
  <r>
    <x v="18"/>
    <x v="1"/>
    <b v="0"/>
    <x v="95"/>
    <n v="5"/>
  </r>
  <r>
    <x v="35"/>
    <x v="1"/>
    <b v="0"/>
    <x v="95"/>
    <n v="5"/>
  </r>
  <r>
    <x v="27"/>
    <x v="1"/>
    <b v="0"/>
    <x v="95"/>
    <n v="5"/>
  </r>
  <r>
    <x v="33"/>
    <x v="1"/>
    <b v="0"/>
    <x v="95"/>
    <n v="5"/>
  </r>
  <r>
    <x v="23"/>
    <x v="1"/>
    <b v="0"/>
    <x v="95"/>
    <n v="5"/>
  </r>
  <r>
    <x v="25"/>
    <x v="1"/>
    <b v="0"/>
    <x v="95"/>
    <n v="5"/>
  </r>
  <r>
    <x v="15"/>
    <x v="2"/>
    <b v="0"/>
    <x v="95"/>
    <n v="45.669999999999995"/>
  </r>
  <r>
    <x v="0"/>
    <x v="0"/>
    <b v="0"/>
    <x v="96"/>
    <n v="-82.96"/>
  </r>
  <r>
    <x v="1"/>
    <x v="0"/>
    <b v="0"/>
    <x v="96"/>
    <n v="-11.34"/>
  </r>
  <r>
    <x v="13"/>
    <x v="0"/>
    <b v="0"/>
    <x v="96"/>
    <n v="-6.66"/>
  </r>
  <r>
    <x v="3"/>
    <x v="1"/>
    <b v="0"/>
    <x v="96"/>
    <n v="5"/>
  </r>
  <r>
    <x v="7"/>
    <x v="1"/>
    <b v="0"/>
    <x v="96"/>
    <n v="5"/>
  </r>
  <r>
    <x v="30"/>
    <x v="1"/>
    <b v="0"/>
    <x v="96"/>
    <n v="5"/>
  </r>
  <r>
    <x v="8"/>
    <x v="1"/>
    <b v="0"/>
    <x v="96"/>
    <n v="5"/>
  </r>
  <r>
    <x v="32"/>
    <x v="1"/>
    <b v="0"/>
    <x v="96"/>
    <n v="5"/>
  </r>
  <r>
    <x v="9"/>
    <x v="1"/>
    <b v="0"/>
    <x v="96"/>
    <n v="5"/>
  </r>
  <r>
    <x v="36"/>
    <x v="1"/>
    <b v="0"/>
    <x v="96"/>
    <n v="5"/>
  </r>
  <r>
    <x v="18"/>
    <x v="1"/>
    <b v="0"/>
    <x v="96"/>
    <n v="5"/>
  </r>
  <r>
    <x v="35"/>
    <x v="1"/>
    <b v="0"/>
    <x v="96"/>
    <n v="5"/>
  </r>
  <r>
    <x v="27"/>
    <x v="1"/>
    <b v="0"/>
    <x v="96"/>
    <n v="5"/>
  </r>
  <r>
    <x v="33"/>
    <x v="1"/>
    <b v="0"/>
    <x v="96"/>
    <n v="5"/>
  </r>
  <r>
    <x v="23"/>
    <x v="1"/>
    <b v="0"/>
    <x v="96"/>
    <n v="5"/>
  </r>
  <r>
    <x v="25"/>
    <x v="1"/>
    <b v="0"/>
    <x v="96"/>
    <n v="5"/>
  </r>
  <r>
    <x v="15"/>
    <x v="2"/>
    <b v="0"/>
    <x v="96"/>
    <n v="43.25"/>
  </r>
  <r>
    <x v="0"/>
    <x v="0"/>
    <b v="0"/>
    <x v="97"/>
    <n v="-142.25"/>
  </r>
  <r>
    <x v="3"/>
    <x v="1"/>
    <b v="0"/>
    <x v="97"/>
    <n v="5"/>
  </r>
  <r>
    <x v="7"/>
    <x v="1"/>
    <b v="0"/>
    <x v="97"/>
    <n v="5"/>
  </r>
  <r>
    <x v="30"/>
    <x v="1"/>
    <b v="0"/>
    <x v="97"/>
    <n v="5"/>
  </r>
  <r>
    <x v="37"/>
    <x v="1"/>
    <b v="0"/>
    <x v="97"/>
    <n v="5"/>
  </r>
  <r>
    <x v="8"/>
    <x v="1"/>
    <b v="0"/>
    <x v="97"/>
    <n v="5"/>
  </r>
  <r>
    <x v="32"/>
    <x v="1"/>
    <b v="0"/>
    <x v="97"/>
    <n v="5"/>
  </r>
  <r>
    <x v="9"/>
    <x v="1"/>
    <b v="0"/>
    <x v="97"/>
    <n v="5"/>
  </r>
  <r>
    <x v="36"/>
    <x v="1"/>
    <b v="0"/>
    <x v="97"/>
    <n v="5"/>
  </r>
  <r>
    <x v="18"/>
    <x v="1"/>
    <b v="0"/>
    <x v="97"/>
    <n v="5"/>
  </r>
  <r>
    <x v="35"/>
    <x v="1"/>
    <b v="0"/>
    <x v="97"/>
    <n v="5"/>
  </r>
  <r>
    <x v="27"/>
    <x v="1"/>
    <b v="0"/>
    <x v="97"/>
    <n v="5"/>
  </r>
  <r>
    <x v="38"/>
    <x v="1"/>
    <b v="0"/>
    <x v="97"/>
    <n v="5"/>
  </r>
  <r>
    <x v="33"/>
    <x v="1"/>
    <b v="0"/>
    <x v="97"/>
    <n v="5"/>
  </r>
  <r>
    <x v="23"/>
    <x v="1"/>
    <b v="0"/>
    <x v="97"/>
    <n v="5"/>
  </r>
  <r>
    <x v="25"/>
    <x v="1"/>
    <b v="0"/>
    <x v="97"/>
    <n v="5"/>
  </r>
  <r>
    <x v="39"/>
    <x v="1"/>
    <b v="0"/>
    <x v="97"/>
    <n v="5"/>
  </r>
  <r>
    <x v="15"/>
    <x v="2"/>
    <b v="0"/>
    <x v="97"/>
    <n v="26.25"/>
  </r>
  <r>
    <x v="0"/>
    <x v="0"/>
    <b v="0"/>
    <x v="98"/>
    <n v="-108.31"/>
  </r>
  <r>
    <x v="20"/>
    <x v="0"/>
    <b v="0"/>
    <x v="98"/>
    <n v="-0.33"/>
  </r>
  <r>
    <x v="3"/>
    <x v="1"/>
    <b v="0"/>
    <x v="98"/>
    <n v="5"/>
  </r>
  <r>
    <x v="7"/>
    <x v="1"/>
    <b v="0"/>
    <x v="98"/>
    <n v="5"/>
  </r>
  <r>
    <x v="30"/>
    <x v="1"/>
    <b v="0"/>
    <x v="98"/>
    <n v="5"/>
  </r>
  <r>
    <x v="37"/>
    <x v="1"/>
    <b v="0"/>
    <x v="98"/>
    <n v="5"/>
  </r>
  <r>
    <x v="8"/>
    <x v="1"/>
    <b v="0"/>
    <x v="98"/>
    <n v="5"/>
  </r>
  <r>
    <x v="32"/>
    <x v="1"/>
    <b v="0"/>
    <x v="98"/>
    <n v="5"/>
  </r>
  <r>
    <x v="9"/>
    <x v="1"/>
    <b v="0"/>
    <x v="98"/>
    <n v="5"/>
  </r>
  <r>
    <x v="40"/>
    <x v="1"/>
    <b v="0"/>
    <x v="98"/>
    <n v="5"/>
  </r>
  <r>
    <x v="36"/>
    <x v="1"/>
    <b v="0"/>
    <x v="98"/>
    <n v="5"/>
  </r>
  <r>
    <x v="18"/>
    <x v="1"/>
    <b v="0"/>
    <x v="98"/>
    <n v="5"/>
  </r>
  <r>
    <x v="35"/>
    <x v="1"/>
    <b v="0"/>
    <x v="98"/>
    <n v="5"/>
  </r>
  <r>
    <x v="27"/>
    <x v="1"/>
    <b v="0"/>
    <x v="98"/>
    <n v="5"/>
  </r>
  <r>
    <x v="38"/>
    <x v="1"/>
    <b v="0"/>
    <x v="98"/>
    <n v="5"/>
  </r>
  <r>
    <x v="33"/>
    <x v="1"/>
    <b v="0"/>
    <x v="98"/>
    <n v="5"/>
  </r>
  <r>
    <x v="23"/>
    <x v="1"/>
    <b v="0"/>
    <x v="98"/>
    <n v="5"/>
  </r>
  <r>
    <x v="25"/>
    <x v="1"/>
    <b v="0"/>
    <x v="98"/>
    <n v="5"/>
  </r>
  <r>
    <x v="39"/>
    <x v="1"/>
    <b v="0"/>
    <x v="98"/>
    <n v="5"/>
  </r>
  <r>
    <x v="15"/>
    <x v="2"/>
    <b v="0"/>
    <x v="98"/>
    <n v="31.7"/>
  </r>
  <r>
    <x v="0"/>
    <x v="0"/>
    <b v="0"/>
    <x v="99"/>
    <n v="-108.31"/>
  </r>
  <r>
    <x v="1"/>
    <x v="0"/>
    <b v="0"/>
    <x v="99"/>
    <n v="-10.649999999999999"/>
  </r>
  <r>
    <x v="13"/>
    <x v="0"/>
    <b v="0"/>
    <x v="99"/>
    <n v="-18.55"/>
  </r>
  <r>
    <x v="20"/>
    <x v="0"/>
    <b v="0"/>
    <x v="99"/>
    <n v="-5.35"/>
  </r>
  <r>
    <x v="3"/>
    <x v="1"/>
    <b v="0"/>
    <x v="99"/>
    <n v="5"/>
  </r>
  <r>
    <x v="7"/>
    <x v="1"/>
    <b v="0"/>
    <x v="99"/>
    <n v="5"/>
  </r>
  <r>
    <x v="30"/>
    <x v="1"/>
    <b v="0"/>
    <x v="99"/>
    <n v="5"/>
  </r>
  <r>
    <x v="37"/>
    <x v="1"/>
    <b v="0"/>
    <x v="99"/>
    <n v="5"/>
  </r>
  <r>
    <x v="8"/>
    <x v="1"/>
    <b v="0"/>
    <x v="99"/>
    <n v="5"/>
  </r>
  <r>
    <x v="32"/>
    <x v="1"/>
    <b v="0"/>
    <x v="99"/>
    <n v="5"/>
  </r>
  <r>
    <x v="9"/>
    <x v="1"/>
    <b v="0"/>
    <x v="99"/>
    <n v="5"/>
  </r>
  <r>
    <x v="36"/>
    <x v="1"/>
    <b v="0"/>
    <x v="99"/>
    <n v="5"/>
  </r>
  <r>
    <x v="35"/>
    <x v="1"/>
    <b v="0"/>
    <x v="99"/>
    <n v="5"/>
  </r>
  <r>
    <x v="27"/>
    <x v="1"/>
    <b v="0"/>
    <x v="99"/>
    <n v="5"/>
  </r>
  <r>
    <x v="38"/>
    <x v="1"/>
    <b v="0"/>
    <x v="99"/>
    <n v="5"/>
  </r>
  <r>
    <x v="23"/>
    <x v="1"/>
    <b v="0"/>
    <x v="99"/>
    <n v="5"/>
  </r>
  <r>
    <x v="25"/>
    <x v="1"/>
    <b v="0"/>
    <x v="99"/>
    <n v="5"/>
  </r>
  <r>
    <x v="39"/>
    <x v="1"/>
    <b v="0"/>
    <x v="99"/>
    <n v="5"/>
  </r>
  <r>
    <x v="15"/>
    <x v="2"/>
    <b v="0"/>
    <x v="99"/>
    <n v="27.15"/>
  </r>
  <r>
    <x v="0"/>
    <x v="0"/>
    <b v="0"/>
    <x v="100"/>
    <n v="-62.32"/>
  </r>
  <r>
    <x v="3"/>
    <x v="1"/>
    <b v="0"/>
    <x v="100"/>
    <n v="5"/>
  </r>
  <r>
    <x v="7"/>
    <x v="1"/>
    <b v="0"/>
    <x v="100"/>
    <n v="5"/>
  </r>
  <r>
    <x v="30"/>
    <x v="1"/>
    <b v="0"/>
    <x v="100"/>
    <n v="5"/>
  </r>
  <r>
    <x v="37"/>
    <x v="1"/>
    <b v="0"/>
    <x v="100"/>
    <n v="5"/>
  </r>
  <r>
    <x v="8"/>
    <x v="1"/>
    <b v="0"/>
    <x v="100"/>
    <n v="5"/>
  </r>
  <r>
    <x v="32"/>
    <x v="1"/>
    <b v="0"/>
    <x v="100"/>
    <n v="5"/>
  </r>
  <r>
    <x v="9"/>
    <x v="1"/>
    <b v="0"/>
    <x v="100"/>
    <n v="5"/>
  </r>
  <r>
    <x v="40"/>
    <x v="1"/>
    <b v="0"/>
    <x v="100"/>
    <n v="5"/>
  </r>
  <r>
    <x v="36"/>
    <x v="1"/>
    <b v="0"/>
    <x v="100"/>
    <n v="5"/>
  </r>
  <r>
    <x v="18"/>
    <x v="1"/>
    <b v="0"/>
    <x v="100"/>
    <n v="5"/>
  </r>
  <r>
    <x v="35"/>
    <x v="1"/>
    <b v="0"/>
    <x v="100"/>
    <n v="5"/>
  </r>
  <r>
    <x v="27"/>
    <x v="1"/>
    <b v="0"/>
    <x v="100"/>
    <n v="5"/>
  </r>
  <r>
    <x v="38"/>
    <x v="1"/>
    <b v="0"/>
    <x v="100"/>
    <n v="5"/>
  </r>
  <r>
    <x v="33"/>
    <x v="1"/>
    <b v="0"/>
    <x v="100"/>
    <n v="5"/>
  </r>
  <r>
    <x v="23"/>
    <x v="1"/>
    <b v="0"/>
    <x v="100"/>
    <n v="5"/>
  </r>
  <r>
    <x v="25"/>
    <x v="1"/>
    <b v="0"/>
    <x v="100"/>
    <n v="5"/>
  </r>
  <r>
    <x v="39"/>
    <x v="1"/>
    <b v="0"/>
    <x v="100"/>
    <n v="5"/>
  </r>
  <r>
    <x v="0"/>
    <x v="0"/>
    <b v="0"/>
    <x v="101"/>
    <n v="-73.099999999999994"/>
  </r>
  <r>
    <x v="1"/>
    <x v="0"/>
    <b v="0"/>
    <x v="101"/>
    <n v="-0.66"/>
  </r>
  <r>
    <x v="3"/>
    <x v="1"/>
    <b v="0"/>
    <x v="101"/>
    <n v="5"/>
  </r>
  <r>
    <x v="7"/>
    <x v="1"/>
    <b v="0"/>
    <x v="101"/>
    <n v="5"/>
  </r>
  <r>
    <x v="30"/>
    <x v="1"/>
    <b v="0"/>
    <x v="101"/>
    <n v="5"/>
  </r>
  <r>
    <x v="37"/>
    <x v="1"/>
    <b v="0"/>
    <x v="101"/>
    <n v="5"/>
  </r>
  <r>
    <x v="8"/>
    <x v="1"/>
    <b v="0"/>
    <x v="101"/>
    <n v="5"/>
  </r>
  <r>
    <x v="32"/>
    <x v="1"/>
    <b v="0"/>
    <x v="101"/>
    <n v="5"/>
  </r>
  <r>
    <x v="9"/>
    <x v="1"/>
    <b v="0"/>
    <x v="101"/>
    <n v="5"/>
  </r>
  <r>
    <x v="40"/>
    <x v="1"/>
    <b v="0"/>
    <x v="101"/>
    <n v="5"/>
  </r>
  <r>
    <x v="18"/>
    <x v="1"/>
    <b v="0"/>
    <x v="101"/>
    <n v="5"/>
  </r>
  <r>
    <x v="35"/>
    <x v="1"/>
    <b v="0"/>
    <x v="101"/>
    <n v="5"/>
  </r>
  <r>
    <x v="27"/>
    <x v="1"/>
    <b v="0"/>
    <x v="101"/>
    <n v="5"/>
  </r>
  <r>
    <x v="38"/>
    <x v="1"/>
    <b v="0"/>
    <x v="101"/>
    <n v="5"/>
  </r>
  <r>
    <x v="41"/>
    <x v="1"/>
    <b v="0"/>
    <x v="101"/>
    <n v="1E-3"/>
  </r>
  <r>
    <x v="33"/>
    <x v="1"/>
    <b v="0"/>
    <x v="101"/>
    <n v="5"/>
  </r>
  <r>
    <x v="23"/>
    <x v="1"/>
    <b v="0"/>
    <x v="101"/>
    <n v="5"/>
  </r>
  <r>
    <x v="25"/>
    <x v="1"/>
    <b v="0"/>
    <x v="101"/>
    <n v="5"/>
  </r>
  <r>
    <x v="39"/>
    <x v="1"/>
    <b v="0"/>
    <x v="101"/>
    <n v="5"/>
  </r>
  <r>
    <x v="15"/>
    <x v="2"/>
    <b v="0"/>
    <x v="101"/>
    <n v="24.52"/>
  </r>
  <r>
    <x v="0"/>
    <x v="0"/>
    <b v="0"/>
    <x v="102"/>
    <n v="-112.04"/>
  </r>
  <r>
    <x v="3"/>
    <x v="1"/>
    <b v="0"/>
    <x v="102"/>
    <n v="5"/>
  </r>
  <r>
    <x v="7"/>
    <x v="1"/>
    <b v="0"/>
    <x v="102"/>
    <n v="5"/>
  </r>
  <r>
    <x v="42"/>
    <x v="1"/>
    <b v="0"/>
    <x v="102"/>
    <n v="2"/>
  </r>
  <r>
    <x v="43"/>
    <x v="1"/>
    <b v="0"/>
    <x v="102"/>
    <n v="5"/>
  </r>
  <r>
    <x v="30"/>
    <x v="1"/>
    <b v="0"/>
    <x v="102"/>
    <n v="5"/>
  </r>
  <r>
    <x v="8"/>
    <x v="1"/>
    <b v="0"/>
    <x v="102"/>
    <n v="5"/>
  </r>
  <r>
    <x v="32"/>
    <x v="1"/>
    <b v="0"/>
    <x v="102"/>
    <n v="5"/>
  </r>
  <r>
    <x v="9"/>
    <x v="1"/>
    <b v="0"/>
    <x v="102"/>
    <n v="5"/>
  </r>
  <r>
    <x v="40"/>
    <x v="1"/>
    <b v="0"/>
    <x v="102"/>
    <n v="5"/>
  </r>
  <r>
    <x v="18"/>
    <x v="1"/>
    <b v="0"/>
    <x v="102"/>
    <n v="5"/>
  </r>
  <r>
    <x v="35"/>
    <x v="1"/>
    <b v="0"/>
    <x v="102"/>
    <n v="5"/>
  </r>
  <r>
    <x v="27"/>
    <x v="1"/>
    <b v="0"/>
    <x v="102"/>
    <n v="5"/>
  </r>
  <r>
    <x v="38"/>
    <x v="1"/>
    <b v="0"/>
    <x v="102"/>
    <n v="5"/>
  </r>
  <r>
    <x v="41"/>
    <x v="1"/>
    <b v="0"/>
    <x v="102"/>
    <n v="1E-3"/>
  </r>
  <r>
    <x v="33"/>
    <x v="1"/>
    <b v="0"/>
    <x v="102"/>
    <n v="5"/>
  </r>
  <r>
    <x v="23"/>
    <x v="1"/>
    <b v="0"/>
    <x v="102"/>
    <n v="5"/>
  </r>
  <r>
    <x v="25"/>
    <x v="1"/>
    <b v="0"/>
    <x v="102"/>
    <n v="5"/>
  </r>
  <r>
    <x v="15"/>
    <x v="2"/>
    <b v="0"/>
    <x v="102"/>
    <n v="8.4499999999999993"/>
  </r>
  <r>
    <x v="0"/>
    <x v="0"/>
    <b v="0"/>
    <x v="103"/>
    <n v="-86.85"/>
  </r>
  <r>
    <x v="16"/>
    <x v="0"/>
    <b v="0"/>
    <x v="103"/>
    <n v="-0.47"/>
  </r>
  <r>
    <x v="20"/>
    <x v="0"/>
    <b v="0"/>
    <x v="103"/>
    <n v="-3.99"/>
  </r>
  <r>
    <x v="3"/>
    <x v="1"/>
    <b v="0"/>
    <x v="103"/>
    <n v="5"/>
  </r>
  <r>
    <x v="7"/>
    <x v="1"/>
    <b v="0"/>
    <x v="103"/>
    <n v="5"/>
  </r>
  <r>
    <x v="42"/>
    <x v="1"/>
    <b v="0"/>
    <x v="103"/>
    <n v="5"/>
  </r>
  <r>
    <x v="43"/>
    <x v="1"/>
    <b v="0"/>
    <x v="103"/>
    <n v="5"/>
  </r>
  <r>
    <x v="30"/>
    <x v="1"/>
    <b v="0"/>
    <x v="103"/>
    <n v="5"/>
  </r>
  <r>
    <x v="8"/>
    <x v="1"/>
    <b v="0"/>
    <x v="103"/>
    <n v="5"/>
  </r>
  <r>
    <x v="32"/>
    <x v="1"/>
    <b v="0"/>
    <x v="103"/>
    <n v="5"/>
  </r>
  <r>
    <x v="9"/>
    <x v="1"/>
    <b v="0"/>
    <x v="103"/>
    <n v="5"/>
  </r>
  <r>
    <x v="40"/>
    <x v="1"/>
    <b v="0"/>
    <x v="103"/>
    <n v="5"/>
  </r>
  <r>
    <x v="18"/>
    <x v="1"/>
    <b v="0"/>
    <x v="103"/>
    <n v="5"/>
  </r>
  <r>
    <x v="35"/>
    <x v="1"/>
    <b v="0"/>
    <x v="103"/>
    <n v="5"/>
  </r>
  <r>
    <x v="27"/>
    <x v="1"/>
    <b v="0"/>
    <x v="103"/>
    <n v="5"/>
  </r>
  <r>
    <x v="38"/>
    <x v="1"/>
    <b v="0"/>
    <x v="103"/>
    <n v="5"/>
  </r>
  <r>
    <x v="41"/>
    <x v="1"/>
    <b v="0"/>
    <x v="103"/>
    <n v="1E-3"/>
  </r>
  <r>
    <x v="33"/>
    <x v="1"/>
    <b v="0"/>
    <x v="103"/>
    <n v="5"/>
  </r>
  <r>
    <x v="23"/>
    <x v="1"/>
    <b v="0"/>
    <x v="103"/>
    <n v="5"/>
  </r>
  <r>
    <x v="25"/>
    <x v="1"/>
    <b v="0"/>
    <x v="103"/>
    <n v="5"/>
  </r>
  <r>
    <x v="15"/>
    <x v="2"/>
    <b v="0"/>
    <x v="103"/>
    <n v="5.65"/>
  </r>
  <r>
    <x v="0"/>
    <x v="0"/>
    <b v="0"/>
    <x v="104"/>
    <n v="-105.48"/>
  </r>
  <r>
    <x v="20"/>
    <x v="0"/>
    <b v="0"/>
    <x v="104"/>
    <n v="-0.38"/>
  </r>
  <r>
    <x v="3"/>
    <x v="1"/>
    <b v="0"/>
    <x v="104"/>
    <n v="5"/>
  </r>
  <r>
    <x v="7"/>
    <x v="1"/>
    <b v="0"/>
    <x v="104"/>
    <n v="5"/>
  </r>
  <r>
    <x v="42"/>
    <x v="1"/>
    <b v="0"/>
    <x v="104"/>
    <n v="5"/>
  </r>
  <r>
    <x v="43"/>
    <x v="1"/>
    <b v="0"/>
    <x v="104"/>
    <n v="5"/>
  </r>
  <r>
    <x v="30"/>
    <x v="1"/>
    <b v="0"/>
    <x v="104"/>
    <n v="5"/>
  </r>
  <r>
    <x v="8"/>
    <x v="1"/>
    <b v="0"/>
    <x v="104"/>
    <n v="5"/>
  </r>
  <r>
    <x v="32"/>
    <x v="1"/>
    <b v="0"/>
    <x v="104"/>
    <n v="5"/>
  </r>
  <r>
    <x v="9"/>
    <x v="1"/>
    <b v="0"/>
    <x v="104"/>
    <n v="5"/>
  </r>
  <r>
    <x v="40"/>
    <x v="1"/>
    <b v="0"/>
    <x v="104"/>
    <n v="5"/>
  </r>
  <r>
    <x v="35"/>
    <x v="1"/>
    <b v="0"/>
    <x v="104"/>
    <n v="5"/>
  </r>
  <r>
    <x v="27"/>
    <x v="1"/>
    <b v="0"/>
    <x v="104"/>
    <n v="5"/>
  </r>
  <r>
    <x v="38"/>
    <x v="1"/>
    <b v="0"/>
    <x v="104"/>
    <n v="5"/>
  </r>
  <r>
    <x v="41"/>
    <x v="1"/>
    <b v="0"/>
    <x v="104"/>
    <n v="1E-3"/>
  </r>
  <r>
    <x v="33"/>
    <x v="1"/>
    <b v="0"/>
    <x v="104"/>
    <n v="5"/>
  </r>
  <r>
    <x v="23"/>
    <x v="1"/>
    <b v="0"/>
    <x v="104"/>
    <n v="5"/>
  </r>
  <r>
    <x v="25"/>
    <x v="1"/>
    <b v="0"/>
    <x v="104"/>
    <n v="5"/>
  </r>
  <r>
    <x v="39"/>
    <x v="1"/>
    <b v="0"/>
    <x v="104"/>
    <n v="5"/>
  </r>
  <r>
    <x v="15"/>
    <x v="2"/>
    <b v="0"/>
    <x v="104"/>
    <n v="10.82"/>
  </r>
  <r>
    <x v="0"/>
    <x v="0"/>
    <b v="0"/>
    <x v="105"/>
    <n v="-81.900000000000006"/>
  </r>
  <r>
    <x v="20"/>
    <x v="0"/>
    <b v="0"/>
    <x v="105"/>
    <n v="-6"/>
  </r>
  <r>
    <x v="7"/>
    <x v="1"/>
    <b v="0"/>
    <x v="105"/>
    <n v="5"/>
  </r>
  <r>
    <x v="43"/>
    <x v="1"/>
    <b v="0"/>
    <x v="105"/>
    <n v="5"/>
  </r>
  <r>
    <x v="30"/>
    <x v="1"/>
    <b v="0"/>
    <x v="105"/>
    <n v="5"/>
  </r>
  <r>
    <x v="37"/>
    <x v="1"/>
    <b v="0"/>
    <x v="105"/>
    <n v="5"/>
  </r>
  <r>
    <x v="8"/>
    <x v="1"/>
    <b v="0"/>
    <x v="105"/>
    <n v="5"/>
  </r>
  <r>
    <x v="32"/>
    <x v="1"/>
    <b v="0"/>
    <x v="105"/>
    <n v="5"/>
  </r>
  <r>
    <x v="9"/>
    <x v="1"/>
    <b v="0"/>
    <x v="105"/>
    <n v="5"/>
  </r>
  <r>
    <x v="40"/>
    <x v="1"/>
    <b v="0"/>
    <x v="105"/>
    <n v="5"/>
  </r>
  <r>
    <x v="36"/>
    <x v="1"/>
    <b v="0"/>
    <x v="105"/>
    <n v="5"/>
  </r>
  <r>
    <x v="18"/>
    <x v="1"/>
    <b v="0"/>
    <x v="105"/>
    <n v="5"/>
  </r>
  <r>
    <x v="35"/>
    <x v="1"/>
    <b v="0"/>
    <x v="105"/>
    <n v="5"/>
  </r>
  <r>
    <x v="27"/>
    <x v="1"/>
    <b v="0"/>
    <x v="105"/>
    <n v="5"/>
  </r>
  <r>
    <x v="38"/>
    <x v="1"/>
    <b v="0"/>
    <x v="105"/>
    <n v="5"/>
  </r>
  <r>
    <x v="41"/>
    <x v="1"/>
    <b v="0"/>
    <x v="105"/>
    <n v="1E-3"/>
  </r>
  <r>
    <x v="33"/>
    <x v="1"/>
    <b v="0"/>
    <x v="105"/>
    <n v="5"/>
  </r>
  <r>
    <x v="23"/>
    <x v="1"/>
    <b v="0"/>
    <x v="105"/>
    <n v="5"/>
  </r>
  <r>
    <x v="44"/>
    <x v="1"/>
    <b v="0"/>
    <x v="105"/>
    <n v="5"/>
  </r>
  <r>
    <x v="25"/>
    <x v="1"/>
    <b v="0"/>
    <x v="105"/>
    <n v="5"/>
  </r>
  <r>
    <x v="45"/>
    <x v="1"/>
    <b v="0"/>
    <x v="105"/>
    <n v="5"/>
  </r>
  <r>
    <x v="39"/>
    <x v="1"/>
    <b v="0"/>
    <x v="105"/>
    <n v="5"/>
  </r>
  <r>
    <x v="15"/>
    <x v="2"/>
    <b v="0"/>
    <x v="105"/>
    <n v="8"/>
  </r>
  <r>
    <x v="0"/>
    <x v="0"/>
    <b v="0"/>
    <x v="106"/>
    <n v="-26.85"/>
  </r>
  <r>
    <x v="20"/>
    <x v="0"/>
    <b v="0"/>
    <x v="106"/>
    <n v="-89.62"/>
  </r>
  <r>
    <x v="7"/>
    <x v="1"/>
    <b v="0"/>
    <x v="106"/>
    <n v="5"/>
  </r>
  <r>
    <x v="46"/>
    <x v="1"/>
    <b v="0"/>
    <x v="106"/>
    <n v="5"/>
  </r>
  <r>
    <x v="42"/>
    <x v="1"/>
    <b v="0"/>
    <x v="106"/>
    <n v="5"/>
  </r>
  <r>
    <x v="43"/>
    <x v="1"/>
    <b v="0"/>
    <x v="106"/>
    <n v="5"/>
  </r>
  <r>
    <x v="30"/>
    <x v="1"/>
    <b v="0"/>
    <x v="106"/>
    <n v="5"/>
  </r>
  <r>
    <x v="8"/>
    <x v="1"/>
    <b v="0"/>
    <x v="106"/>
    <n v="5"/>
  </r>
  <r>
    <x v="32"/>
    <x v="1"/>
    <b v="0"/>
    <x v="106"/>
    <n v="5"/>
  </r>
  <r>
    <x v="9"/>
    <x v="1"/>
    <b v="0"/>
    <x v="106"/>
    <n v="5"/>
  </r>
  <r>
    <x v="40"/>
    <x v="1"/>
    <b v="0"/>
    <x v="106"/>
    <n v="5"/>
  </r>
  <r>
    <x v="36"/>
    <x v="1"/>
    <b v="0"/>
    <x v="106"/>
    <n v="5"/>
  </r>
  <r>
    <x v="18"/>
    <x v="1"/>
    <b v="0"/>
    <x v="106"/>
    <n v="5"/>
  </r>
  <r>
    <x v="35"/>
    <x v="1"/>
    <b v="0"/>
    <x v="106"/>
    <n v="5"/>
  </r>
  <r>
    <x v="27"/>
    <x v="1"/>
    <b v="0"/>
    <x v="106"/>
    <n v="5"/>
  </r>
  <r>
    <x v="38"/>
    <x v="1"/>
    <b v="0"/>
    <x v="106"/>
    <n v="5"/>
  </r>
  <r>
    <x v="41"/>
    <x v="1"/>
    <b v="0"/>
    <x v="106"/>
    <n v="1E-3"/>
  </r>
  <r>
    <x v="33"/>
    <x v="1"/>
    <b v="0"/>
    <x v="106"/>
    <n v="5"/>
  </r>
  <r>
    <x v="23"/>
    <x v="1"/>
    <b v="0"/>
    <x v="106"/>
    <n v="5"/>
  </r>
  <r>
    <x v="44"/>
    <x v="1"/>
    <b v="0"/>
    <x v="106"/>
    <n v="5"/>
  </r>
  <r>
    <x v="25"/>
    <x v="1"/>
    <b v="0"/>
    <x v="106"/>
    <n v="5"/>
  </r>
  <r>
    <x v="15"/>
    <x v="2"/>
    <b v="0"/>
    <x v="106"/>
    <n v="6.85"/>
  </r>
  <r>
    <x v="0"/>
    <x v="0"/>
    <b v="0"/>
    <x v="107"/>
    <n v="-123.47000000000001"/>
  </r>
  <r>
    <x v="20"/>
    <x v="0"/>
    <b v="0"/>
    <x v="107"/>
    <n v="-2.36"/>
  </r>
  <r>
    <x v="7"/>
    <x v="1"/>
    <b v="0"/>
    <x v="107"/>
    <n v="5"/>
  </r>
  <r>
    <x v="46"/>
    <x v="1"/>
    <b v="0"/>
    <x v="107"/>
    <n v="5"/>
  </r>
  <r>
    <x v="42"/>
    <x v="1"/>
    <b v="0"/>
    <x v="107"/>
    <n v="5"/>
  </r>
  <r>
    <x v="43"/>
    <x v="1"/>
    <b v="0"/>
    <x v="107"/>
    <n v="5"/>
  </r>
  <r>
    <x v="30"/>
    <x v="1"/>
    <b v="0"/>
    <x v="107"/>
    <n v="5"/>
  </r>
  <r>
    <x v="8"/>
    <x v="1"/>
    <b v="0"/>
    <x v="107"/>
    <n v="5"/>
  </r>
  <r>
    <x v="32"/>
    <x v="1"/>
    <b v="0"/>
    <x v="107"/>
    <n v="5"/>
  </r>
  <r>
    <x v="9"/>
    <x v="1"/>
    <b v="0"/>
    <x v="107"/>
    <n v="5"/>
  </r>
  <r>
    <x v="40"/>
    <x v="1"/>
    <b v="0"/>
    <x v="107"/>
    <n v="5"/>
  </r>
  <r>
    <x v="18"/>
    <x v="1"/>
    <b v="0"/>
    <x v="107"/>
    <n v="5"/>
  </r>
  <r>
    <x v="35"/>
    <x v="1"/>
    <b v="0"/>
    <x v="107"/>
    <n v="5"/>
  </r>
  <r>
    <x v="27"/>
    <x v="1"/>
    <b v="0"/>
    <x v="107"/>
    <n v="5"/>
  </r>
  <r>
    <x v="38"/>
    <x v="1"/>
    <b v="0"/>
    <x v="107"/>
    <n v="5"/>
  </r>
  <r>
    <x v="41"/>
    <x v="1"/>
    <b v="0"/>
    <x v="107"/>
    <n v="1E-3"/>
  </r>
  <r>
    <x v="33"/>
    <x v="1"/>
    <b v="0"/>
    <x v="107"/>
    <n v="5"/>
  </r>
  <r>
    <x v="23"/>
    <x v="1"/>
    <b v="0"/>
    <x v="107"/>
    <n v="5"/>
  </r>
  <r>
    <x v="44"/>
    <x v="1"/>
    <b v="0"/>
    <x v="107"/>
    <n v="5"/>
  </r>
  <r>
    <x v="25"/>
    <x v="1"/>
    <b v="0"/>
    <x v="107"/>
    <n v="5"/>
  </r>
  <r>
    <x v="39"/>
    <x v="1"/>
    <b v="0"/>
    <x v="107"/>
    <n v="5"/>
  </r>
  <r>
    <x v="15"/>
    <x v="2"/>
    <b v="0"/>
    <x v="107"/>
    <n v="10.8"/>
  </r>
  <r>
    <x v="0"/>
    <x v="0"/>
    <b v="0"/>
    <x v="108"/>
    <n v="-132.09"/>
  </r>
  <r>
    <x v="47"/>
    <x v="1"/>
    <b v="0"/>
    <x v="108"/>
    <n v="5"/>
  </r>
  <r>
    <x v="48"/>
    <x v="1"/>
    <b v="0"/>
    <x v="108"/>
    <n v="5"/>
  </r>
  <r>
    <x v="7"/>
    <x v="1"/>
    <b v="0"/>
    <x v="108"/>
    <n v="5"/>
  </r>
  <r>
    <x v="46"/>
    <x v="1"/>
    <b v="0"/>
    <x v="108"/>
    <n v="5"/>
  </r>
  <r>
    <x v="42"/>
    <x v="1"/>
    <b v="0"/>
    <x v="108"/>
    <n v="5"/>
  </r>
  <r>
    <x v="43"/>
    <x v="1"/>
    <b v="0"/>
    <x v="108"/>
    <n v="5"/>
  </r>
  <r>
    <x v="30"/>
    <x v="1"/>
    <b v="0"/>
    <x v="108"/>
    <n v="5"/>
  </r>
  <r>
    <x v="8"/>
    <x v="1"/>
    <b v="0"/>
    <x v="108"/>
    <n v="5"/>
  </r>
  <r>
    <x v="32"/>
    <x v="1"/>
    <b v="0"/>
    <x v="108"/>
    <n v="5"/>
  </r>
  <r>
    <x v="9"/>
    <x v="1"/>
    <b v="0"/>
    <x v="108"/>
    <n v="5"/>
  </r>
  <r>
    <x v="40"/>
    <x v="1"/>
    <b v="0"/>
    <x v="108"/>
    <n v="5"/>
  </r>
  <r>
    <x v="36"/>
    <x v="1"/>
    <b v="0"/>
    <x v="108"/>
    <n v="5"/>
  </r>
  <r>
    <x v="18"/>
    <x v="1"/>
    <b v="0"/>
    <x v="108"/>
    <n v="5"/>
  </r>
  <r>
    <x v="35"/>
    <x v="1"/>
    <b v="0"/>
    <x v="108"/>
    <n v="5"/>
  </r>
  <r>
    <x v="27"/>
    <x v="1"/>
    <b v="0"/>
    <x v="108"/>
    <n v="5"/>
  </r>
  <r>
    <x v="38"/>
    <x v="1"/>
    <b v="0"/>
    <x v="108"/>
    <n v="5"/>
  </r>
  <r>
    <x v="41"/>
    <x v="1"/>
    <b v="0"/>
    <x v="108"/>
    <n v="1E-3"/>
  </r>
  <r>
    <x v="33"/>
    <x v="1"/>
    <b v="0"/>
    <x v="108"/>
    <n v="5"/>
  </r>
  <r>
    <x v="23"/>
    <x v="1"/>
    <b v="0"/>
    <x v="108"/>
    <n v="5"/>
  </r>
  <r>
    <x v="44"/>
    <x v="1"/>
    <b v="0"/>
    <x v="108"/>
    <n v="5"/>
  </r>
  <r>
    <x v="25"/>
    <x v="1"/>
    <b v="0"/>
    <x v="108"/>
    <n v="5"/>
  </r>
  <r>
    <x v="39"/>
    <x v="1"/>
    <b v="0"/>
    <x v="108"/>
    <n v="5"/>
  </r>
  <r>
    <x v="15"/>
    <x v="2"/>
    <b v="0"/>
    <x v="108"/>
    <n v="9.6"/>
  </r>
  <r>
    <x v="0"/>
    <x v="0"/>
    <b v="0"/>
    <x v="109"/>
    <n v="-135.1"/>
  </r>
  <r>
    <x v="13"/>
    <x v="0"/>
    <b v="0"/>
    <x v="109"/>
    <n v="-8.73"/>
  </r>
  <r>
    <x v="20"/>
    <x v="0"/>
    <b v="0"/>
    <x v="109"/>
    <n v="-14.680000000000001"/>
  </r>
  <r>
    <x v="47"/>
    <x v="1"/>
    <b v="0"/>
    <x v="109"/>
    <n v="5"/>
  </r>
  <r>
    <x v="48"/>
    <x v="1"/>
    <b v="0"/>
    <x v="109"/>
    <n v="5"/>
  </r>
  <r>
    <x v="7"/>
    <x v="1"/>
    <b v="0"/>
    <x v="109"/>
    <n v="5"/>
  </r>
  <r>
    <x v="46"/>
    <x v="1"/>
    <b v="0"/>
    <x v="109"/>
    <n v="5"/>
  </r>
  <r>
    <x v="42"/>
    <x v="1"/>
    <b v="0"/>
    <x v="109"/>
    <n v="5"/>
  </r>
  <r>
    <x v="43"/>
    <x v="1"/>
    <b v="0"/>
    <x v="109"/>
    <n v="5"/>
  </r>
  <r>
    <x v="30"/>
    <x v="1"/>
    <b v="0"/>
    <x v="109"/>
    <n v="5"/>
  </r>
  <r>
    <x v="8"/>
    <x v="1"/>
    <b v="0"/>
    <x v="109"/>
    <n v="5"/>
  </r>
  <r>
    <x v="32"/>
    <x v="1"/>
    <b v="0"/>
    <x v="109"/>
    <n v="5"/>
  </r>
  <r>
    <x v="9"/>
    <x v="1"/>
    <b v="0"/>
    <x v="109"/>
    <n v="5"/>
  </r>
  <r>
    <x v="36"/>
    <x v="1"/>
    <b v="0"/>
    <x v="109"/>
    <n v="5"/>
  </r>
  <r>
    <x v="18"/>
    <x v="1"/>
    <b v="0"/>
    <x v="109"/>
    <n v="5"/>
  </r>
  <r>
    <x v="35"/>
    <x v="1"/>
    <b v="0"/>
    <x v="109"/>
    <n v="5"/>
  </r>
  <r>
    <x v="27"/>
    <x v="1"/>
    <b v="0"/>
    <x v="109"/>
    <n v="5"/>
  </r>
  <r>
    <x v="38"/>
    <x v="1"/>
    <b v="0"/>
    <x v="109"/>
    <n v="5"/>
  </r>
  <r>
    <x v="41"/>
    <x v="1"/>
    <b v="0"/>
    <x v="109"/>
    <n v="1E-3"/>
  </r>
  <r>
    <x v="33"/>
    <x v="1"/>
    <b v="0"/>
    <x v="109"/>
    <n v="5"/>
  </r>
  <r>
    <x v="23"/>
    <x v="1"/>
    <b v="0"/>
    <x v="109"/>
    <n v="5"/>
  </r>
  <r>
    <x v="44"/>
    <x v="1"/>
    <b v="0"/>
    <x v="109"/>
    <n v="5"/>
  </r>
  <r>
    <x v="25"/>
    <x v="1"/>
    <b v="0"/>
    <x v="109"/>
    <n v="5"/>
  </r>
  <r>
    <x v="39"/>
    <x v="1"/>
    <b v="0"/>
    <x v="109"/>
    <n v="5"/>
  </r>
  <r>
    <x v="15"/>
    <x v="2"/>
    <b v="0"/>
    <x v="109"/>
    <n v="26.8"/>
  </r>
  <r>
    <x v="47"/>
    <x v="1"/>
    <b v="0"/>
    <x v="110"/>
    <n v="5"/>
  </r>
  <r>
    <x v="7"/>
    <x v="1"/>
    <b v="0"/>
    <x v="110"/>
    <n v="5"/>
  </r>
  <r>
    <x v="46"/>
    <x v="1"/>
    <b v="0"/>
    <x v="110"/>
    <n v="5"/>
  </r>
  <r>
    <x v="42"/>
    <x v="1"/>
    <b v="0"/>
    <x v="110"/>
    <n v="5"/>
  </r>
  <r>
    <x v="43"/>
    <x v="1"/>
    <b v="0"/>
    <x v="110"/>
    <n v="5"/>
  </r>
  <r>
    <x v="30"/>
    <x v="1"/>
    <b v="0"/>
    <x v="110"/>
    <n v="5"/>
  </r>
  <r>
    <x v="8"/>
    <x v="1"/>
    <b v="0"/>
    <x v="110"/>
    <n v="5"/>
  </r>
  <r>
    <x v="32"/>
    <x v="1"/>
    <b v="0"/>
    <x v="110"/>
    <n v="5"/>
  </r>
  <r>
    <x v="9"/>
    <x v="1"/>
    <b v="0"/>
    <x v="110"/>
    <n v="5"/>
  </r>
  <r>
    <x v="36"/>
    <x v="1"/>
    <b v="0"/>
    <x v="110"/>
    <n v="5"/>
  </r>
  <r>
    <x v="18"/>
    <x v="1"/>
    <b v="0"/>
    <x v="110"/>
    <n v="5"/>
  </r>
  <r>
    <x v="35"/>
    <x v="1"/>
    <b v="0"/>
    <x v="110"/>
    <n v="5"/>
  </r>
  <r>
    <x v="27"/>
    <x v="1"/>
    <b v="0"/>
    <x v="110"/>
    <n v="5"/>
  </r>
  <r>
    <x v="38"/>
    <x v="1"/>
    <b v="0"/>
    <x v="110"/>
    <n v="5"/>
  </r>
  <r>
    <x v="41"/>
    <x v="1"/>
    <b v="0"/>
    <x v="110"/>
    <n v="1E-3"/>
  </r>
  <r>
    <x v="33"/>
    <x v="1"/>
    <b v="0"/>
    <x v="110"/>
    <n v="5"/>
  </r>
  <r>
    <x v="23"/>
    <x v="1"/>
    <b v="0"/>
    <x v="110"/>
    <n v="5"/>
  </r>
  <r>
    <x v="44"/>
    <x v="1"/>
    <b v="0"/>
    <x v="110"/>
    <n v="5"/>
  </r>
  <r>
    <x v="25"/>
    <x v="1"/>
    <b v="0"/>
    <x v="110"/>
    <n v="5"/>
  </r>
  <r>
    <x v="39"/>
    <x v="1"/>
    <b v="0"/>
    <x v="110"/>
    <n v="5"/>
  </r>
  <r>
    <x v="15"/>
    <x v="2"/>
    <b v="0"/>
    <x v="110"/>
    <n v="12.4"/>
  </r>
  <r>
    <x v="0"/>
    <x v="0"/>
    <b v="0"/>
    <x v="111"/>
    <n v="-130.38"/>
  </r>
  <r>
    <x v="1"/>
    <x v="0"/>
    <b v="0"/>
    <x v="111"/>
    <n v="-0.1"/>
  </r>
  <r>
    <x v="20"/>
    <x v="0"/>
    <b v="0"/>
    <x v="111"/>
    <n v="-6.4"/>
  </r>
  <r>
    <x v="47"/>
    <x v="1"/>
    <b v="0"/>
    <x v="111"/>
    <n v="5"/>
  </r>
  <r>
    <x v="7"/>
    <x v="1"/>
    <b v="0"/>
    <x v="111"/>
    <n v="5"/>
  </r>
  <r>
    <x v="46"/>
    <x v="1"/>
    <b v="0"/>
    <x v="111"/>
    <n v="5"/>
  </r>
  <r>
    <x v="43"/>
    <x v="1"/>
    <b v="0"/>
    <x v="111"/>
    <n v="5"/>
  </r>
  <r>
    <x v="49"/>
    <x v="1"/>
    <b v="0"/>
    <x v="111"/>
    <n v="5"/>
  </r>
  <r>
    <x v="30"/>
    <x v="1"/>
    <b v="0"/>
    <x v="111"/>
    <n v="5"/>
  </r>
  <r>
    <x v="8"/>
    <x v="1"/>
    <b v="0"/>
    <x v="111"/>
    <n v="5"/>
  </r>
  <r>
    <x v="32"/>
    <x v="1"/>
    <b v="0"/>
    <x v="111"/>
    <n v="5"/>
  </r>
  <r>
    <x v="9"/>
    <x v="1"/>
    <b v="0"/>
    <x v="111"/>
    <n v="5"/>
  </r>
  <r>
    <x v="50"/>
    <x v="1"/>
    <b v="0"/>
    <x v="111"/>
    <n v="2"/>
  </r>
  <r>
    <x v="35"/>
    <x v="1"/>
    <b v="0"/>
    <x v="111"/>
    <n v="5"/>
  </r>
  <r>
    <x v="27"/>
    <x v="1"/>
    <b v="0"/>
    <x v="111"/>
    <n v="5"/>
  </r>
  <r>
    <x v="38"/>
    <x v="1"/>
    <b v="0"/>
    <x v="111"/>
    <n v="5"/>
  </r>
  <r>
    <x v="41"/>
    <x v="1"/>
    <b v="0"/>
    <x v="111"/>
    <n v="1E-3"/>
  </r>
  <r>
    <x v="33"/>
    <x v="1"/>
    <b v="0"/>
    <x v="111"/>
    <n v="5"/>
  </r>
  <r>
    <x v="23"/>
    <x v="1"/>
    <b v="0"/>
    <x v="111"/>
    <n v="5"/>
  </r>
  <r>
    <x v="25"/>
    <x v="1"/>
    <b v="0"/>
    <x v="111"/>
    <n v="5"/>
  </r>
  <r>
    <x v="39"/>
    <x v="1"/>
    <b v="0"/>
    <x v="111"/>
    <n v="5"/>
  </r>
  <r>
    <x v="15"/>
    <x v="2"/>
    <b v="0"/>
    <x v="111"/>
    <n v="18.600000000000001"/>
  </r>
  <r>
    <x v="0"/>
    <x v="0"/>
    <b v="0"/>
    <x v="112"/>
    <n v="-126.33"/>
  </r>
  <r>
    <x v="20"/>
    <x v="0"/>
    <b v="0"/>
    <x v="112"/>
    <n v="-0.67"/>
  </r>
  <r>
    <x v="47"/>
    <x v="1"/>
    <b v="0"/>
    <x v="112"/>
    <n v="5"/>
  </r>
  <r>
    <x v="48"/>
    <x v="1"/>
    <b v="0"/>
    <x v="112"/>
    <n v="5"/>
  </r>
  <r>
    <x v="7"/>
    <x v="1"/>
    <b v="0"/>
    <x v="112"/>
    <n v="5"/>
  </r>
  <r>
    <x v="43"/>
    <x v="1"/>
    <b v="0"/>
    <x v="112"/>
    <n v="5"/>
  </r>
  <r>
    <x v="30"/>
    <x v="1"/>
    <b v="0"/>
    <x v="112"/>
    <n v="5"/>
  </r>
  <r>
    <x v="8"/>
    <x v="1"/>
    <b v="0"/>
    <x v="112"/>
    <n v="5"/>
  </r>
  <r>
    <x v="32"/>
    <x v="1"/>
    <b v="0"/>
    <x v="112"/>
    <n v="5"/>
  </r>
  <r>
    <x v="50"/>
    <x v="1"/>
    <b v="0"/>
    <x v="112"/>
    <n v="5"/>
  </r>
  <r>
    <x v="36"/>
    <x v="1"/>
    <b v="0"/>
    <x v="112"/>
    <n v="5"/>
  </r>
  <r>
    <x v="18"/>
    <x v="1"/>
    <b v="0"/>
    <x v="112"/>
    <n v="5"/>
  </r>
  <r>
    <x v="35"/>
    <x v="1"/>
    <b v="0"/>
    <x v="112"/>
    <n v="5"/>
  </r>
  <r>
    <x v="27"/>
    <x v="1"/>
    <b v="0"/>
    <x v="112"/>
    <n v="5"/>
  </r>
  <r>
    <x v="38"/>
    <x v="1"/>
    <b v="0"/>
    <x v="112"/>
    <n v="5"/>
  </r>
  <r>
    <x v="41"/>
    <x v="1"/>
    <b v="0"/>
    <x v="112"/>
    <n v="1E-3"/>
  </r>
  <r>
    <x v="33"/>
    <x v="1"/>
    <b v="0"/>
    <x v="112"/>
    <n v="5"/>
  </r>
  <r>
    <x v="23"/>
    <x v="1"/>
    <b v="0"/>
    <x v="112"/>
    <n v="5"/>
  </r>
  <r>
    <x v="25"/>
    <x v="1"/>
    <b v="0"/>
    <x v="112"/>
    <n v="5"/>
  </r>
  <r>
    <x v="39"/>
    <x v="1"/>
    <b v="0"/>
    <x v="112"/>
    <n v="5"/>
  </r>
  <r>
    <x v="15"/>
    <x v="2"/>
    <b v="0"/>
    <x v="112"/>
    <n v="2"/>
  </r>
  <r>
    <x v="0"/>
    <x v="0"/>
    <b v="0"/>
    <x v="113"/>
    <n v="-125.46"/>
  </r>
  <r>
    <x v="20"/>
    <x v="0"/>
    <b v="0"/>
    <x v="113"/>
    <n v="-8"/>
  </r>
  <r>
    <x v="47"/>
    <x v="1"/>
    <b v="0"/>
    <x v="113"/>
    <n v="5"/>
  </r>
  <r>
    <x v="51"/>
    <x v="1"/>
    <b v="0"/>
    <x v="113"/>
    <n v="5"/>
  </r>
  <r>
    <x v="7"/>
    <x v="1"/>
    <b v="0"/>
    <x v="113"/>
    <n v="5"/>
  </r>
  <r>
    <x v="43"/>
    <x v="1"/>
    <b v="0"/>
    <x v="113"/>
    <n v="5"/>
  </r>
  <r>
    <x v="30"/>
    <x v="1"/>
    <b v="0"/>
    <x v="113"/>
    <n v="5"/>
  </r>
  <r>
    <x v="8"/>
    <x v="1"/>
    <b v="0"/>
    <x v="113"/>
    <n v="5"/>
  </r>
  <r>
    <x v="32"/>
    <x v="1"/>
    <b v="0"/>
    <x v="113"/>
    <n v="5"/>
  </r>
  <r>
    <x v="50"/>
    <x v="1"/>
    <b v="0"/>
    <x v="113"/>
    <n v="5"/>
  </r>
  <r>
    <x v="18"/>
    <x v="1"/>
    <b v="0"/>
    <x v="113"/>
    <n v="5"/>
  </r>
  <r>
    <x v="27"/>
    <x v="1"/>
    <b v="0"/>
    <x v="113"/>
    <n v="5"/>
  </r>
  <r>
    <x v="38"/>
    <x v="1"/>
    <b v="0"/>
    <x v="113"/>
    <n v="5"/>
  </r>
  <r>
    <x v="41"/>
    <x v="1"/>
    <b v="0"/>
    <x v="113"/>
    <n v="1E-3"/>
  </r>
  <r>
    <x v="33"/>
    <x v="1"/>
    <b v="0"/>
    <x v="113"/>
    <n v="5"/>
  </r>
  <r>
    <x v="23"/>
    <x v="1"/>
    <b v="0"/>
    <x v="113"/>
    <n v="5"/>
  </r>
  <r>
    <x v="25"/>
    <x v="1"/>
    <b v="0"/>
    <x v="113"/>
    <n v="5"/>
  </r>
  <r>
    <x v="39"/>
    <x v="1"/>
    <b v="0"/>
    <x v="113"/>
    <n v="5"/>
  </r>
  <r>
    <x v="15"/>
    <x v="2"/>
    <b v="0"/>
    <x v="113"/>
    <n v="16.46"/>
  </r>
  <r>
    <x v="52"/>
    <x v="1"/>
    <b v="0"/>
    <x v="114"/>
    <n v="2.5"/>
  </r>
  <r>
    <x v="47"/>
    <x v="1"/>
    <b v="0"/>
    <x v="114"/>
    <n v="5"/>
  </r>
  <r>
    <x v="53"/>
    <x v="1"/>
    <b v="0"/>
    <x v="114"/>
    <n v="5"/>
  </r>
  <r>
    <x v="51"/>
    <x v="1"/>
    <b v="0"/>
    <x v="114"/>
    <n v="5"/>
  </r>
  <r>
    <x v="7"/>
    <x v="1"/>
    <b v="0"/>
    <x v="114"/>
    <n v="5"/>
  </r>
  <r>
    <x v="43"/>
    <x v="1"/>
    <b v="0"/>
    <x v="114"/>
    <n v="5"/>
  </r>
  <r>
    <x v="30"/>
    <x v="1"/>
    <b v="0"/>
    <x v="114"/>
    <n v="5"/>
  </r>
  <r>
    <x v="8"/>
    <x v="1"/>
    <b v="0"/>
    <x v="114"/>
    <n v="5"/>
  </r>
  <r>
    <x v="32"/>
    <x v="1"/>
    <b v="0"/>
    <x v="114"/>
    <n v="5"/>
  </r>
  <r>
    <x v="54"/>
    <x v="1"/>
    <b v="0"/>
    <x v="114"/>
    <n v="5"/>
  </r>
  <r>
    <x v="50"/>
    <x v="1"/>
    <b v="0"/>
    <x v="114"/>
    <n v="5"/>
  </r>
  <r>
    <x v="18"/>
    <x v="1"/>
    <b v="0"/>
    <x v="114"/>
    <n v="5"/>
  </r>
  <r>
    <x v="27"/>
    <x v="1"/>
    <b v="0"/>
    <x v="114"/>
    <n v="5"/>
  </r>
  <r>
    <x v="55"/>
    <x v="1"/>
    <b v="0"/>
    <x v="114"/>
    <n v="2.5"/>
  </r>
  <r>
    <x v="38"/>
    <x v="1"/>
    <b v="0"/>
    <x v="114"/>
    <n v="5"/>
  </r>
  <r>
    <x v="41"/>
    <x v="1"/>
    <b v="0"/>
    <x v="114"/>
    <n v="1E-3"/>
  </r>
  <r>
    <x v="33"/>
    <x v="1"/>
    <b v="0"/>
    <x v="114"/>
    <n v="5"/>
  </r>
  <r>
    <x v="23"/>
    <x v="1"/>
    <b v="0"/>
    <x v="114"/>
    <n v="5"/>
  </r>
  <r>
    <x v="25"/>
    <x v="1"/>
    <b v="0"/>
    <x v="114"/>
    <n v="5"/>
  </r>
  <r>
    <x v="39"/>
    <x v="1"/>
    <b v="0"/>
    <x v="114"/>
    <n v="5"/>
  </r>
  <r>
    <x v="0"/>
    <x v="0"/>
    <b v="0"/>
    <x v="115"/>
    <n v="-122"/>
  </r>
  <r>
    <x v="20"/>
    <x v="0"/>
    <b v="0"/>
    <x v="115"/>
    <n v="-9"/>
  </r>
  <r>
    <x v="52"/>
    <x v="1"/>
    <b v="0"/>
    <x v="115"/>
    <n v="5"/>
  </r>
  <r>
    <x v="47"/>
    <x v="1"/>
    <b v="0"/>
    <x v="115"/>
    <n v="5"/>
  </r>
  <r>
    <x v="53"/>
    <x v="1"/>
    <b v="0"/>
    <x v="115"/>
    <n v="5"/>
  </r>
  <r>
    <x v="51"/>
    <x v="1"/>
    <b v="0"/>
    <x v="115"/>
    <n v="5"/>
  </r>
  <r>
    <x v="7"/>
    <x v="1"/>
    <b v="0"/>
    <x v="115"/>
    <n v="5"/>
  </r>
  <r>
    <x v="43"/>
    <x v="1"/>
    <b v="0"/>
    <x v="115"/>
    <n v="5"/>
  </r>
  <r>
    <x v="30"/>
    <x v="1"/>
    <b v="0"/>
    <x v="115"/>
    <n v="5"/>
  </r>
  <r>
    <x v="8"/>
    <x v="1"/>
    <b v="0"/>
    <x v="115"/>
    <n v="5"/>
  </r>
  <r>
    <x v="32"/>
    <x v="1"/>
    <b v="0"/>
    <x v="115"/>
    <n v="5"/>
  </r>
  <r>
    <x v="56"/>
    <x v="1"/>
    <b v="0"/>
    <x v="115"/>
    <n v="2"/>
  </r>
  <r>
    <x v="54"/>
    <x v="1"/>
    <b v="0"/>
    <x v="115"/>
    <n v="5"/>
  </r>
  <r>
    <x v="50"/>
    <x v="1"/>
    <b v="0"/>
    <x v="115"/>
    <n v="5"/>
  </r>
  <r>
    <x v="18"/>
    <x v="1"/>
    <b v="0"/>
    <x v="115"/>
    <n v="5"/>
  </r>
  <r>
    <x v="27"/>
    <x v="1"/>
    <b v="0"/>
    <x v="115"/>
    <n v="5"/>
  </r>
  <r>
    <x v="55"/>
    <x v="1"/>
    <b v="0"/>
    <x v="115"/>
    <n v="5"/>
  </r>
  <r>
    <x v="38"/>
    <x v="1"/>
    <b v="0"/>
    <x v="115"/>
    <n v="5"/>
  </r>
  <r>
    <x v="41"/>
    <x v="1"/>
    <b v="0"/>
    <x v="115"/>
    <n v="1E-3"/>
  </r>
  <r>
    <x v="33"/>
    <x v="1"/>
    <b v="0"/>
    <x v="115"/>
    <n v="5"/>
  </r>
  <r>
    <x v="23"/>
    <x v="1"/>
    <b v="0"/>
    <x v="115"/>
    <n v="5"/>
  </r>
  <r>
    <x v="25"/>
    <x v="1"/>
    <b v="0"/>
    <x v="115"/>
    <n v="5"/>
  </r>
  <r>
    <x v="39"/>
    <x v="1"/>
    <b v="0"/>
    <x v="115"/>
    <n v="5"/>
  </r>
  <r>
    <x v="15"/>
    <x v="2"/>
    <b v="0"/>
    <x v="115"/>
    <n v="6"/>
  </r>
  <r>
    <x v="0"/>
    <x v="0"/>
    <b v="0"/>
    <x v="116"/>
    <n v="-151"/>
  </r>
  <r>
    <x v="52"/>
    <x v="1"/>
    <b v="0"/>
    <x v="116"/>
    <n v="5"/>
  </r>
  <r>
    <x v="47"/>
    <x v="1"/>
    <b v="0"/>
    <x v="116"/>
    <n v="5"/>
  </r>
  <r>
    <x v="51"/>
    <x v="1"/>
    <b v="0"/>
    <x v="116"/>
    <n v="5"/>
  </r>
  <r>
    <x v="7"/>
    <x v="1"/>
    <b v="0"/>
    <x v="116"/>
    <n v="5"/>
  </r>
  <r>
    <x v="43"/>
    <x v="1"/>
    <b v="0"/>
    <x v="116"/>
    <n v="5"/>
  </r>
  <r>
    <x v="30"/>
    <x v="1"/>
    <b v="0"/>
    <x v="116"/>
    <n v="5"/>
  </r>
  <r>
    <x v="8"/>
    <x v="1"/>
    <b v="0"/>
    <x v="116"/>
    <n v="5"/>
  </r>
  <r>
    <x v="56"/>
    <x v="1"/>
    <b v="0"/>
    <x v="116"/>
    <n v="5"/>
  </r>
  <r>
    <x v="57"/>
    <x v="1"/>
    <b v="0"/>
    <x v="116"/>
    <n v="5"/>
  </r>
  <r>
    <x v="54"/>
    <x v="1"/>
    <b v="0"/>
    <x v="116"/>
    <n v="5"/>
  </r>
  <r>
    <x v="50"/>
    <x v="1"/>
    <b v="0"/>
    <x v="116"/>
    <n v="5"/>
  </r>
  <r>
    <x v="27"/>
    <x v="1"/>
    <b v="0"/>
    <x v="116"/>
    <n v="5"/>
  </r>
  <r>
    <x v="38"/>
    <x v="1"/>
    <b v="0"/>
    <x v="116"/>
    <n v="5"/>
  </r>
  <r>
    <x v="33"/>
    <x v="1"/>
    <b v="0"/>
    <x v="116"/>
    <n v="5"/>
  </r>
  <r>
    <x v="23"/>
    <x v="1"/>
    <b v="0"/>
    <x v="116"/>
    <n v="5"/>
  </r>
  <r>
    <x v="25"/>
    <x v="1"/>
    <b v="0"/>
    <x v="116"/>
    <n v="5"/>
  </r>
  <r>
    <x v="39"/>
    <x v="1"/>
    <b v="0"/>
    <x v="116"/>
    <n v="5"/>
  </r>
  <r>
    <x v="15"/>
    <x v="2"/>
    <b v="0"/>
    <x v="116"/>
    <n v="9"/>
  </r>
  <r>
    <x v="0"/>
    <x v="0"/>
    <b v="0"/>
    <x v="117"/>
    <n v="-106"/>
  </r>
  <r>
    <x v="1"/>
    <x v="0"/>
    <b v="0"/>
    <x v="117"/>
    <n v="-17"/>
  </r>
  <r>
    <x v="20"/>
    <x v="0"/>
    <b v="0"/>
    <x v="117"/>
    <n v="-4"/>
  </r>
  <r>
    <x v="52"/>
    <x v="1"/>
    <b v="0"/>
    <x v="117"/>
    <n v="5"/>
  </r>
  <r>
    <x v="47"/>
    <x v="1"/>
    <b v="0"/>
    <x v="117"/>
    <n v="5"/>
  </r>
  <r>
    <x v="51"/>
    <x v="1"/>
    <b v="0"/>
    <x v="117"/>
    <n v="5"/>
  </r>
  <r>
    <x v="7"/>
    <x v="1"/>
    <b v="0"/>
    <x v="117"/>
    <n v="5"/>
  </r>
  <r>
    <x v="43"/>
    <x v="1"/>
    <b v="0"/>
    <x v="117"/>
    <n v="5"/>
  </r>
  <r>
    <x v="30"/>
    <x v="1"/>
    <b v="0"/>
    <x v="117"/>
    <n v="5"/>
  </r>
  <r>
    <x v="8"/>
    <x v="1"/>
    <b v="0"/>
    <x v="117"/>
    <n v="5"/>
  </r>
  <r>
    <x v="56"/>
    <x v="1"/>
    <b v="0"/>
    <x v="117"/>
    <n v="5"/>
  </r>
  <r>
    <x v="57"/>
    <x v="1"/>
    <b v="0"/>
    <x v="117"/>
    <n v="5"/>
  </r>
  <r>
    <x v="54"/>
    <x v="1"/>
    <b v="0"/>
    <x v="117"/>
    <n v="5"/>
  </r>
  <r>
    <x v="50"/>
    <x v="1"/>
    <b v="0"/>
    <x v="117"/>
    <n v="5"/>
  </r>
  <r>
    <x v="27"/>
    <x v="1"/>
    <b v="0"/>
    <x v="117"/>
    <n v="5"/>
  </r>
  <r>
    <x v="41"/>
    <x v="1"/>
    <b v="0"/>
    <x v="117"/>
    <n v="1E-3"/>
  </r>
  <r>
    <x v="33"/>
    <x v="1"/>
    <b v="0"/>
    <x v="117"/>
    <n v="5"/>
  </r>
  <r>
    <x v="23"/>
    <x v="1"/>
    <b v="0"/>
    <x v="117"/>
    <n v="5"/>
  </r>
  <r>
    <x v="25"/>
    <x v="1"/>
    <b v="0"/>
    <x v="117"/>
    <n v="5"/>
  </r>
  <r>
    <x v="39"/>
    <x v="1"/>
    <b v="0"/>
    <x v="117"/>
    <n v="5"/>
  </r>
  <r>
    <x v="15"/>
    <x v="2"/>
    <b v="0"/>
    <x v="117"/>
    <n v="15"/>
  </r>
  <r>
    <x v="0"/>
    <x v="0"/>
    <b v="0"/>
    <x v="118"/>
    <n v="-102.3"/>
  </r>
  <r>
    <x v="20"/>
    <x v="0"/>
    <b v="0"/>
    <x v="118"/>
    <n v="-7"/>
  </r>
  <r>
    <x v="52"/>
    <x v="1"/>
    <b v="0"/>
    <x v="118"/>
    <n v="5"/>
  </r>
  <r>
    <x v="47"/>
    <x v="1"/>
    <b v="0"/>
    <x v="118"/>
    <n v="5"/>
  </r>
  <r>
    <x v="51"/>
    <x v="1"/>
    <b v="0"/>
    <x v="118"/>
    <n v="5"/>
  </r>
  <r>
    <x v="43"/>
    <x v="1"/>
    <b v="0"/>
    <x v="118"/>
    <n v="5"/>
  </r>
  <r>
    <x v="30"/>
    <x v="1"/>
    <b v="0"/>
    <x v="118"/>
    <n v="5"/>
  </r>
  <r>
    <x v="8"/>
    <x v="1"/>
    <b v="0"/>
    <x v="118"/>
    <n v="5"/>
  </r>
  <r>
    <x v="56"/>
    <x v="1"/>
    <b v="0"/>
    <x v="118"/>
    <n v="5"/>
  </r>
  <r>
    <x v="57"/>
    <x v="1"/>
    <b v="0"/>
    <x v="118"/>
    <n v="5"/>
  </r>
  <r>
    <x v="54"/>
    <x v="1"/>
    <b v="0"/>
    <x v="118"/>
    <n v="0"/>
  </r>
  <r>
    <x v="50"/>
    <x v="1"/>
    <b v="0"/>
    <x v="118"/>
    <n v="5"/>
  </r>
  <r>
    <x v="58"/>
    <x v="1"/>
    <b v="0"/>
    <x v="118"/>
    <n v="5"/>
  </r>
  <r>
    <x v="18"/>
    <x v="1"/>
    <b v="0"/>
    <x v="118"/>
    <n v="5"/>
  </r>
  <r>
    <x v="27"/>
    <x v="1"/>
    <b v="0"/>
    <x v="118"/>
    <n v="5"/>
  </r>
  <r>
    <x v="38"/>
    <x v="1"/>
    <b v="0"/>
    <x v="118"/>
    <n v="5"/>
  </r>
  <r>
    <x v="41"/>
    <x v="1"/>
    <b v="0"/>
    <x v="118"/>
    <n v="1E-3"/>
  </r>
  <r>
    <x v="33"/>
    <x v="1"/>
    <b v="0"/>
    <x v="118"/>
    <n v="5"/>
  </r>
  <r>
    <x v="23"/>
    <x v="1"/>
    <b v="0"/>
    <x v="118"/>
    <n v="5"/>
  </r>
  <r>
    <x v="44"/>
    <x v="1"/>
    <b v="0"/>
    <x v="118"/>
    <n v="0"/>
  </r>
  <r>
    <x v="25"/>
    <x v="1"/>
    <b v="0"/>
    <x v="118"/>
    <n v="5"/>
  </r>
  <r>
    <x v="39"/>
    <x v="1"/>
    <b v="0"/>
    <x v="118"/>
    <n v="5"/>
  </r>
  <r>
    <x v="15"/>
    <x v="2"/>
    <b v="0"/>
    <x v="118"/>
    <n v="0"/>
  </r>
  <r>
    <x v="0"/>
    <x v="0"/>
    <b v="0"/>
    <x v="119"/>
    <n v="-78"/>
  </r>
  <r>
    <x v="52"/>
    <x v="1"/>
    <b v="0"/>
    <x v="119"/>
    <n v="5"/>
  </r>
  <r>
    <x v="47"/>
    <x v="1"/>
    <b v="0"/>
    <x v="119"/>
    <n v="5"/>
  </r>
  <r>
    <x v="51"/>
    <x v="1"/>
    <b v="0"/>
    <x v="119"/>
    <n v="5"/>
  </r>
  <r>
    <x v="43"/>
    <x v="1"/>
    <b v="0"/>
    <x v="119"/>
    <n v="5"/>
  </r>
  <r>
    <x v="30"/>
    <x v="1"/>
    <b v="0"/>
    <x v="119"/>
    <n v="5"/>
  </r>
  <r>
    <x v="57"/>
    <x v="1"/>
    <b v="0"/>
    <x v="119"/>
    <n v="5"/>
  </r>
  <r>
    <x v="54"/>
    <x v="1"/>
    <b v="0"/>
    <x v="119"/>
    <n v="5"/>
  </r>
  <r>
    <x v="58"/>
    <x v="1"/>
    <b v="0"/>
    <x v="119"/>
    <n v="5"/>
  </r>
  <r>
    <x v="18"/>
    <x v="1"/>
    <b v="0"/>
    <x v="119"/>
    <n v="5"/>
  </r>
  <r>
    <x v="27"/>
    <x v="1"/>
    <b v="0"/>
    <x v="119"/>
    <n v="5"/>
  </r>
  <r>
    <x v="38"/>
    <x v="1"/>
    <b v="0"/>
    <x v="119"/>
    <n v="5"/>
  </r>
  <r>
    <x v="41"/>
    <x v="1"/>
    <b v="0"/>
    <x v="119"/>
    <n v="1E-3"/>
  </r>
  <r>
    <x v="33"/>
    <x v="1"/>
    <b v="0"/>
    <x v="119"/>
    <n v="5"/>
  </r>
  <r>
    <x v="23"/>
    <x v="1"/>
    <b v="0"/>
    <x v="119"/>
    <n v="5"/>
  </r>
  <r>
    <x v="44"/>
    <x v="1"/>
    <b v="0"/>
    <x v="119"/>
    <n v="0"/>
  </r>
  <r>
    <x v="39"/>
    <x v="1"/>
    <b v="0"/>
    <x v="119"/>
    <n v="5"/>
  </r>
  <r>
    <x v="15"/>
    <x v="2"/>
    <b v="0"/>
    <x v="119"/>
    <n v="15.879999999999999"/>
  </r>
  <r>
    <x v="0"/>
    <x v="0"/>
    <b v="0"/>
    <x v="120"/>
    <n v="-94"/>
  </r>
  <r>
    <x v="20"/>
    <x v="0"/>
    <b v="0"/>
    <x v="120"/>
    <n v="-21"/>
  </r>
  <r>
    <x v="52"/>
    <x v="1"/>
    <b v="0"/>
    <x v="120"/>
    <n v="5"/>
  </r>
  <r>
    <x v="47"/>
    <x v="1"/>
    <b v="0"/>
    <x v="120"/>
    <n v="5"/>
  </r>
  <r>
    <x v="51"/>
    <x v="1"/>
    <b v="0"/>
    <x v="120"/>
    <n v="5"/>
  </r>
  <r>
    <x v="59"/>
    <x v="1"/>
    <b v="0"/>
    <x v="120"/>
    <n v="5"/>
  </r>
  <r>
    <x v="43"/>
    <x v="1"/>
    <b v="0"/>
    <x v="120"/>
    <n v="5"/>
  </r>
  <r>
    <x v="30"/>
    <x v="1"/>
    <b v="0"/>
    <x v="120"/>
    <n v="5"/>
  </r>
  <r>
    <x v="8"/>
    <x v="1"/>
    <b v="0"/>
    <x v="120"/>
    <n v="5"/>
  </r>
  <r>
    <x v="57"/>
    <x v="1"/>
    <b v="0"/>
    <x v="120"/>
    <n v="5"/>
  </r>
  <r>
    <x v="54"/>
    <x v="1"/>
    <b v="0"/>
    <x v="120"/>
    <n v="5"/>
  </r>
  <r>
    <x v="58"/>
    <x v="1"/>
    <b v="0"/>
    <x v="120"/>
    <n v="5"/>
  </r>
  <r>
    <x v="18"/>
    <x v="1"/>
    <b v="0"/>
    <x v="120"/>
    <n v="5"/>
  </r>
  <r>
    <x v="27"/>
    <x v="1"/>
    <b v="0"/>
    <x v="120"/>
    <n v="5"/>
  </r>
  <r>
    <x v="38"/>
    <x v="1"/>
    <b v="0"/>
    <x v="120"/>
    <n v="5"/>
  </r>
  <r>
    <x v="41"/>
    <x v="1"/>
    <b v="0"/>
    <x v="120"/>
    <n v="1E-3"/>
  </r>
  <r>
    <x v="33"/>
    <x v="1"/>
    <b v="0"/>
    <x v="120"/>
    <n v="5"/>
  </r>
  <r>
    <x v="23"/>
    <x v="1"/>
    <b v="0"/>
    <x v="120"/>
    <n v="5"/>
  </r>
  <r>
    <x v="44"/>
    <x v="1"/>
    <b v="0"/>
    <x v="120"/>
    <n v="5"/>
  </r>
  <r>
    <x v="25"/>
    <x v="1"/>
    <b v="0"/>
    <x v="120"/>
    <n v="5"/>
  </r>
  <r>
    <x v="39"/>
    <x v="1"/>
    <b v="0"/>
    <x v="120"/>
    <n v="5"/>
  </r>
  <r>
    <x v="15"/>
    <x v="2"/>
    <b v="0"/>
    <x v="120"/>
    <n v="6"/>
  </r>
  <r>
    <x v="0"/>
    <x v="0"/>
    <b v="0"/>
    <x v="121"/>
    <n v="-95"/>
  </r>
  <r>
    <x v="20"/>
    <x v="0"/>
    <b v="0"/>
    <x v="121"/>
    <n v="-4"/>
  </r>
  <r>
    <x v="52"/>
    <x v="1"/>
    <b v="0"/>
    <x v="121"/>
    <n v="5"/>
  </r>
  <r>
    <x v="47"/>
    <x v="1"/>
    <b v="0"/>
    <x v="121"/>
    <n v="5"/>
  </r>
  <r>
    <x v="53"/>
    <x v="1"/>
    <b v="0"/>
    <x v="121"/>
    <n v="5"/>
  </r>
  <r>
    <x v="51"/>
    <x v="1"/>
    <b v="0"/>
    <x v="121"/>
    <n v="5"/>
  </r>
  <r>
    <x v="59"/>
    <x v="1"/>
    <b v="0"/>
    <x v="121"/>
    <n v="5"/>
  </r>
  <r>
    <x v="60"/>
    <x v="1"/>
    <b v="0"/>
    <x v="121"/>
    <n v="5"/>
  </r>
  <r>
    <x v="43"/>
    <x v="1"/>
    <b v="0"/>
    <x v="121"/>
    <n v="5"/>
  </r>
  <r>
    <x v="30"/>
    <x v="1"/>
    <b v="0"/>
    <x v="121"/>
    <n v="5"/>
  </r>
  <r>
    <x v="8"/>
    <x v="1"/>
    <b v="0"/>
    <x v="121"/>
    <n v="5"/>
  </r>
  <r>
    <x v="56"/>
    <x v="1"/>
    <b v="0"/>
    <x v="121"/>
    <n v="5"/>
  </r>
  <r>
    <x v="57"/>
    <x v="1"/>
    <b v="0"/>
    <x v="121"/>
    <n v="5"/>
  </r>
  <r>
    <x v="54"/>
    <x v="1"/>
    <b v="0"/>
    <x v="121"/>
    <n v="5"/>
  </r>
  <r>
    <x v="58"/>
    <x v="1"/>
    <b v="0"/>
    <x v="121"/>
    <n v="5"/>
  </r>
  <r>
    <x v="18"/>
    <x v="1"/>
    <b v="0"/>
    <x v="121"/>
    <n v="5"/>
  </r>
  <r>
    <x v="27"/>
    <x v="1"/>
    <b v="0"/>
    <x v="121"/>
    <n v="5"/>
  </r>
  <r>
    <x v="61"/>
    <x v="1"/>
    <b v="0"/>
    <x v="121"/>
    <n v="5"/>
  </r>
  <r>
    <x v="38"/>
    <x v="1"/>
    <b v="0"/>
    <x v="121"/>
    <n v="5"/>
  </r>
  <r>
    <x v="41"/>
    <x v="1"/>
    <b v="0"/>
    <x v="121"/>
    <n v="1E-3"/>
  </r>
  <r>
    <x v="23"/>
    <x v="1"/>
    <b v="0"/>
    <x v="121"/>
    <n v="5"/>
  </r>
  <r>
    <x v="44"/>
    <x v="1"/>
    <b v="0"/>
    <x v="121"/>
    <n v="5"/>
  </r>
  <r>
    <x v="25"/>
    <x v="1"/>
    <b v="0"/>
    <x v="121"/>
    <n v="5"/>
  </r>
  <r>
    <x v="39"/>
    <x v="1"/>
    <b v="0"/>
    <x v="121"/>
    <n v="5"/>
  </r>
  <r>
    <x v="15"/>
    <x v="2"/>
    <b v="0"/>
    <x v="121"/>
    <n v="13"/>
  </r>
  <r>
    <x v="0"/>
    <x v="0"/>
    <b v="0"/>
    <x v="122"/>
    <n v="-62"/>
  </r>
  <r>
    <x v="1"/>
    <x v="0"/>
    <b v="0"/>
    <x v="122"/>
    <n v="-0.5"/>
  </r>
  <r>
    <x v="20"/>
    <x v="0"/>
    <b v="0"/>
    <x v="122"/>
    <n v="-8.75"/>
  </r>
  <r>
    <x v="52"/>
    <x v="1"/>
    <b v="0"/>
    <x v="122"/>
    <n v="5"/>
  </r>
  <r>
    <x v="47"/>
    <x v="1"/>
    <b v="0"/>
    <x v="122"/>
    <n v="5"/>
  </r>
  <r>
    <x v="53"/>
    <x v="1"/>
    <b v="0"/>
    <x v="122"/>
    <n v="5"/>
  </r>
  <r>
    <x v="60"/>
    <x v="1"/>
    <b v="0"/>
    <x v="122"/>
    <n v="5"/>
  </r>
  <r>
    <x v="43"/>
    <x v="1"/>
    <b v="0"/>
    <x v="122"/>
    <n v="5"/>
  </r>
  <r>
    <x v="30"/>
    <x v="1"/>
    <b v="0"/>
    <x v="122"/>
    <n v="5"/>
  </r>
  <r>
    <x v="8"/>
    <x v="1"/>
    <b v="0"/>
    <x v="122"/>
    <n v="5"/>
  </r>
  <r>
    <x v="56"/>
    <x v="1"/>
    <b v="0"/>
    <x v="122"/>
    <n v="5"/>
  </r>
  <r>
    <x v="57"/>
    <x v="1"/>
    <b v="0"/>
    <x v="122"/>
    <n v="5"/>
  </r>
  <r>
    <x v="54"/>
    <x v="1"/>
    <b v="0"/>
    <x v="122"/>
    <n v="5"/>
  </r>
  <r>
    <x v="27"/>
    <x v="1"/>
    <b v="0"/>
    <x v="122"/>
    <n v="5"/>
  </r>
  <r>
    <x v="61"/>
    <x v="1"/>
    <b v="0"/>
    <x v="122"/>
    <n v="5"/>
  </r>
  <r>
    <x v="38"/>
    <x v="1"/>
    <b v="0"/>
    <x v="122"/>
    <n v="5"/>
  </r>
  <r>
    <x v="41"/>
    <x v="1"/>
    <b v="0"/>
    <x v="122"/>
    <n v="1E-3"/>
  </r>
  <r>
    <x v="23"/>
    <x v="1"/>
    <b v="0"/>
    <x v="122"/>
    <n v="5"/>
  </r>
  <r>
    <x v="62"/>
    <x v="1"/>
    <b v="0"/>
    <x v="122"/>
    <n v="5"/>
  </r>
  <r>
    <x v="25"/>
    <x v="1"/>
    <b v="0"/>
    <x v="122"/>
    <n v="5"/>
  </r>
  <r>
    <x v="39"/>
    <x v="1"/>
    <b v="0"/>
    <x v="122"/>
    <n v="5"/>
  </r>
  <r>
    <x v="15"/>
    <x v="2"/>
    <b v="0"/>
    <x v="122"/>
    <n v="11"/>
  </r>
  <r>
    <x v="0"/>
    <x v="0"/>
    <b v="0"/>
    <x v="123"/>
    <n v="-117"/>
  </r>
  <r>
    <x v="1"/>
    <x v="0"/>
    <b v="0"/>
    <x v="123"/>
    <n v="-17"/>
  </r>
  <r>
    <x v="20"/>
    <x v="0"/>
    <b v="0"/>
    <x v="123"/>
    <n v="-4"/>
  </r>
  <r>
    <x v="52"/>
    <x v="1"/>
    <b v="0"/>
    <x v="123"/>
    <n v="5"/>
  </r>
  <r>
    <x v="47"/>
    <x v="1"/>
    <b v="0"/>
    <x v="123"/>
    <n v="5"/>
  </r>
  <r>
    <x v="53"/>
    <x v="1"/>
    <b v="0"/>
    <x v="123"/>
    <n v="5"/>
  </r>
  <r>
    <x v="51"/>
    <x v="1"/>
    <b v="0"/>
    <x v="123"/>
    <n v="5"/>
  </r>
  <r>
    <x v="59"/>
    <x v="1"/>
    <b v="0"/>
    <x v="123"/>
    <n v="5"/>
  </r>
  <r>
    <x v="60"/>
    <x v="1"/>
    <b v="0"/>
    <x v="123"/>
    <n v="5"/>
  </r>
  <r>
    <x v="43"/>
    <x v="1"/>
    <b v="0"/>
    <x v="123"/>
    <n v="5"/>
  </r>
  <r>
    <x v="30"/>
    <x v="1"/>
    <b v="0"/>
    <x v="123"/>
    <n v="5"/>
  </r>
  <r>
    <x v="8"/>
    <x v="1"/>
    <b v="0"/>
    <x v="123"/>
    <n v="5"/>
  </r>
  <r>
    <x v="63"/>
    <x v="1"/>
    <b v="0"/>
    <x v="123"/>
    <n v="2"/>
  </r>
  <r>
    <x v="56"/>
    <x v="1"/>
    <b v="0"/>
    <x v="123"/>
    <n v="5"/>
  </r>
  <r>
    <x v="57"/>
    <x v="1"/>
    <b v="0"/>
    <x v="123"/>
    <n v="5"/>
  </r>
  <r>
    <x v="54"/>
    <x v="1"/>
    <b v="0"/>
    <x v="123"/>
    <n v="5"/>
  </r>
  <r>
    <x v="58"/>
    <x v="1"/>
    <b v="0"/>
    <x v="123"/>
    <n v="5"/>
  </r>
  <r>
    <x v="27"/>
    <x v="1"/>
    <b v="0"/>
    <x v="123"/>
    <n v="5"/>
  </r>
  <r>
    <x v="61"/>
    <x v="1"/>
    <b v="0"/>
    <x v="123"/>
    <n v="5"/>
  </r>
  <r>
    <x v="38"/>
    <x v="1"/>
    <b v="0"/>
    <x v="123"/>
    <n v="5"/>
  </r>
  <r>
    <x v="41"/>
    <x v="1"/>
    <b v="0"/>
    <x v="123"/>
    <n v="1E-3"/>
  </r>
  <r>
    <x v="64"/>
    <x v="1"/>
    <b v="0"/>
    <x v="123"/>
    <n v="5"/>
  </r>
  <r>
    <x v="23"/>
    <x v="1"/>
    <b v="0"/>
    <x v="123"/>
    <n v="5"/>
  </r>
  <r>
    <x v="44"/>
    <x v="1"/>
    <b v="0"/>
    <x v="123"/>
    <n v="5"/>
  </r>
  <r>
    <x v="62"/>
    <x v="1"/>
    <b v="0"/>
    <x v="123"/>
    <n v="5"/>
  </r>
  <r>
    <x v="25"/>
    <x v="1"/>
    <b v="0"/>
    <x v="123"/>
    <n v="5"/>
  </r>
  <r>
    <x v="39"/>
    <x v="1"/>
    <b v="0"/>
    <x v="123"/>
    <n v="5"/>
  </r>
  <r>
    <x v="15"/>
    <x v="2"/>
    <b v="0"/>
    <x v="123"/>
    <n v="18.440000000000001"/>
  </r>
  <r>
    <x v="0"/>
    <x v="0"/>
    <b v="0"/>
    <x v="124"/>
    <n v="-107"/>
  </r>
  <r>
    <x v="1"/>
    <x v="0"/>
    <b v="0"/>
    <x v="124"/>
    <n v="-18"/>
  </r>
  <r>
    <x v="13"/>
    <x v="0"/>
    <b v="0"/>
    <x v="124"/>
    <n v="-0.44"/>
  </r>
  <r>
    <x v="52"/>
    <x v="1"/>
    <b v="0"/>
    <x v="124"/>
    <n v="5"/>
  </r>
  <r>
    <x v="47"/>
    <x v="1"/>
    <b v="0"/>
    <x v="124"/>
    <n v="5"/>
  </r>
  <r>
    <x v="53"/>
    <x v="1"/>
    <b v="0"/>
    <x v="124"/>
    <n v="5"/>
  </r>
  <r>
    <x v="59"/>
    <x v="1"/>
    <b v="0"/>
    <x v="124"/>
    <n v="5"/>
  </r>
  <r>
    <x v="43"/>
    <x v="1"/>
    <b v="0"/>
    <x v="124"/>
    <n v="5"/>
  </r>
  <r>
    <x v="30"/>
    <x v="1"/>
    <b v="0"/>
    <x v="124"/>
    <n v="5"/>
  </r>
  <r>
    <x v="8"/>
    <x v="1"/>
    <b v="0"/>
    <x v="124"/>
    <n v="5"/>
  </r>
  <r>
    <x v="63"/>
    <x v="1"/>
    <b v="0"/>
    <x v="124"/>
    <n v="3"/>
  </r>
  <r>
    <x v="56"/>
    <x v="1"/>
    <b v="0"/>
    <x v="124"/>
    <n v="5"/>
  </r>
  <r>
    <x v="57"/>
    <x v="1"/>
    <b v="0"/>
    <x v="124"/>
    <n v="5"/>
  </r>
  <r>
    <x v="54"/>
    <x v="1"/>
    <b v="0"/>
    <x v="124"/>
    <n v="5"/>
  </r>
  <r>
    <x v="65"/>
    <x v="1"/>
    <b v="0"/>
    <x v="124"/>
    <n v="5"/>
  </r>
  <r>
    <x v="61"/>
    <x v="1"/>
    <b v="0"/>
    <x v="124"/>
    <n v="5"/>
  </r>
  <r>
    <x v="38"/>
    <x v="1"/>
    <b v="0"/>
    <x v="124"/>
    <n v="5"/>
  </r>
  <r>
    <x v="41"/>
    <x v="1"/>
    <b v="0"/>
    <x v="124"/>
    <n v="1E-3"/>
  </r>
  <r>
    <x v="64"/>
    <x v="1"/>
    <b v="0"/>
    <x v="124"/>
    <n v="5"/>
  </r>
  <r>
    <x v="23"/>
    <x v="1"/>
    <b v="0"/>
    <x v="124"/>
    <n v="5"/>
  </r>
  <r>
    <x v="25"/>
    <x v="1"/>
    <b v="0"/>
    <x v="124"/>
    <n v="5"/>
  </r>
  <r>
    <x v="39"/>
    <x v="1"/>
    <b v="0"/>
    <x v="124"/>
    <n v="5"/>
  </r>
  <r>
    <x v="15"/>
    <x v="2"/>
    <b v="0"/>
    <x v="124"/>
    <n v="32"/>
  </r>
  <r>
    <x v="0"/>
    <x v="0"/>
    <b v="0"/>
    <x v="125"/>
    <n v="-113.54"/>
  </r>
  <r>
    <x v="1"/>
    <x v="0"/>
    <b v="0"/>
    <x v="125"/>
    <n v="-8.98"/>
  </r>
  <r>
    <x v="52"/>
    <x v="1"/>
    <b v="0"/>
    <x v="125"/>
    <n v="5"/>
  </r>
  <r>
    <x v="47"/>
    <x v="1"/>
    <b v="0"/>
    <x v="125"/>
    <n v="5"/>
  </r>
  <r>
    <x v="51"/>
    <x v="1"/>
    <b v="0"/>
    <x v="125"/>
    <n v="5"/>
  </r>
  <r>
    <x v="59"/>
    <x v="1"/>
    <b v="0"/>
    <x v="125"/>
    <n v="5"/>
  </r>
  <r>
    <x v="43"/>
    <x v="1"/>
    <b v="0"/>
    <x v="125"/>
    <n v="0"/>
  </r>
  <r>
    <x v="30"/>
    <x v="1"/>
    <b v="0"/>
    <x v="125"/>
    <n v="5"/>
  </r>
  <r>
    <x v="56"/>
    <x v="1"/>
    <b v="0"/>
    <x v="125"/>
    <n v="5"/>
  </r>
  <r>
    <x v="57"/>
    <x v="1"/>
    <b v="0"/>
    <x v="125"/>
    <n v="5"/>
  </r>
  <r>
    <x v="54"/>
    <x v="1"/>
    <b v="0"/>
    <x v="125"/>
    <n v="5"/>
  </r>
  <r>
    <x v="61"/>
    <x v="1"/>
    <b v="0"/>
    <x v="125"/>
    <n v="5"/>
  </r>
  <r>
    <x v="38"/>
    <x v="1"/>
    <b v="0"/>
    <x v="125"/>
    <n v="5"/>
  </r>
  <r>
    <x v="41"/>
    <x v="1"/>
    <b v="0"/>
    <x v="125"/>
    <n v="1E-3"/>
  </r>
  <r>
    <x v="62"/>
    <x v="1"/>
    <b v="0"/>
    <x v="125"/>
    <n v="5"/>
  </r>
  <r>
    <x v="25"/>
    <x v="1"/>
    <b v="0"/>
    <x v="125"/>
    <n v="5"/>
  </r>
  <r>
    <x v="39"/>
    <x v="1"/>
    <b v="0"/>
    <x v="125"/>
    <n v="5"/>
  </r>
  <r>
    <x v="15"/>
    <x v="2"/>
    <b v="0"/>
    <x v="125"/>
    <n v="12.8"/>
  </r>
  <r>
    <x v="0"/>
    <x v="0"/>
    <b v="0"/>
    <x v="126"/>
    <n v="-71.88"/>
  </r>
  <r>
    <x v="1"/>
    <x v="0"/>
    <b v="0"/>
    <x v="126"/>
    <n v="-7.03"/>
  </r>
  <r>
    <x v="52"/>
    <x v="1"/>
    <b v="0"/>
    <x v="126"/>
    <n v="5"/>
  </r>
  <r>
    <x v="47"/>
    <x v="1"/>
    <b v="0"/>
    <x v="126"/>
    <n v="5"/>
  </r>
  <r>
    <x v="53"/>
    <x v="1"/>
    <b v="0"/>
    <x v="126"/>
    <n v="5"/>
  </r>
  <r>
    <x v="51"/>
    <x v="1"/>
    <b v="0"/>
    <x v="126"/>
    <n v="5"/>
  </r>
  <r>
    <x v="59"/>
    <x v="1"/>
    <b v="0"/>
    <x v="126"/>
    <n v="5"/>
  </r>
  <r>
    <x v="43"/>
    <x v="1"/>
    <b v="0"/>
    <x v="126"/>
    <n v="5"/>
  </r>
  <r>
    <x v="66"/>
    <x v="1"/>
    <b v="0"/>
    <x v="126"/>
    <n v="5"/>
  </r>
  <r>
    <x v="57"/>
    <x v="1"/>
    <b v="0"/>
    <x v="126"/>
    <n v="5"/>
  </r>
  <r>
    <x v="54"/>
    <x v="1"/>
    <b v="0"/>
    <x v="126"/>
    <n v="5"/>
  </r>
  <r>
    <x v="18"/>
    <x v="1"/>
    <b v="0"/>
    <x v="126"/>
    <n v="0"/>
  </r>
  <r>
    <x v="61"/>
    <x v="1"/>
    <b v="0"/>
    <x v="126"/>
    <n v="5"/>
  </r>
  <r>
    <x v="38"/>
    <x v="1"/>
    <b v="0"/>
    <x v="126"/>
    <n v="5"/>
  </r>
  <r>
    <x v="41"/>
    <x v="1"/>
    <b v="0"/>
    <x v="126"/>
    <n v="1E-3"/>
  </r>
  <r>
    <x v="33"/>
    <x v="1"/>
    <b v="0"/>
    <x v="126"/>
    <n v="5"/>
  </r>
  <r>
    <x v="23"/>
    <x v="1"/>
    <b v="0"/>
    <x v="126"/>
    <n v="5"/>
  </r>
  <r>
    <x v="44"/>
    <x v="1"/>
    <b v="0"/>
    <x v="126"/>
    <n v="5"/>
  </r>
  <r>
    <x v="62"/>
    <x v="1"/>
    <b v="0"/>
    <x v="126"/>
    <n v="5"/>
  </r>
  <r>
    <x v="39"/>
    <x v="1"/>
    <b v="0"/>
    <x v="126"/>
    <n v="5"/>
  </r>
  <r>
    <x v="15"/>
    <x v="2"/>
    <b v="0"/>
    <x v="126"/>
    <n v="12.8"/>
  </r>
  <r>
    <x v="0"/>
    <x v="0"/>
    <b v="0"/>
    <x v="127"/>
    <n v="-83.88"/>
  </r>
  <r>
    <x v="1"/>
    <x v="0"/>
    <b v="0"/>
    <x v="127"/>
    <n v="-24.13"/>
  </r>
  <r>
    <x v="20"/>
    <x v="0"/>
    <b v="0"/>
    <x v="127"/>
    <n v="-6.87"/>
  </r>
  <r>
    <x v="52"/>
    <x v="1"/>
    <b v="0"/>
    <x v="127"/>
    <n v="5"/>
  </r>
  <r>
    <x v="47"/>
    <x v="1"/>
    <b v="0"/>
    <x v="127"/>
    <n v="5"/>
  </r>
  <r>
    <x v="53"/>
    <x v="1"/>
    <b v="0"/>
    <x v="127"/>
    <n v="5"/>
  </r>
  <r>
    <x v="51"/>
    <x v="1"/>
    <b v="0"/>
    <x v="127"/>
    <n v="5"/>
  </r>
  <r>
    <x v="59"/>
    <x v="1"/>
    <b v="0"/>
    <x v="127"/>
    <n v="5"/>
  </r>
  <r>
    <x v="43"/>
    <x v="1"/>
    <b v="0"/>
    <x v="127"/>
    <n v="5"/>
  </r>
  <r>
    <x v="57"/>
    <x v="1"/>
    <b v="0"/>
    <x v="127"/>
    <n v="5"/>
  </r>
  <r>
    <x v="54"/>
    <x v="1"/>
    <b v="0"/>
    <x v="127"/>
    <n v="5"/>
  </r>
  <r>
    <x v="18"/>
    <x v="1"/>
    <b v="0"/>
    <x v="127"/>
    <n v="5"/>
  </r>
  <r>
    <x v="61"/>
    <x v="1"/>
    <b v="0"/>
    <x v="127"/>
    <n v="5"/>
  </r>
  <r>
    <x v="38"/>
    <x v="1"/>
    <b v="0"/>
    <x v="127"/>
    <n v="5"/>
  </r>
  <r>
    <x v="41"/>
    <x v="1"/>
    <b v="0"/>
    <x v="127"/>
    <n v="1E-3"/>
  </r>
  <r>
    <x v="33"/>
    <x v="1"/>
    <b v="0"/>
    <x v="127"/>
    <n v="5"/>
  </r>
  <r>
    <x v="67"/>
    <x v="1"/>
    <b v="0"/>
    <x v="127"/>
    <n v="5"/>
  </r>
  <r>
    <x v="23"/>
    <x v="1"/>
    <b v="0"/>
    <x v="127"/>
    <n v="5"/>
  </r>
  <r>
    <x v="44"/>
    <x v="1"/>
    <b v="0"/>
    <x v="127"/>
    <n v="5"/>
  </r>
  <r>
    <x v="62"/>
    <x v="1"/>
    <b v="0"/>
    <x v="127"/>
    <n v="5"/>
  </r>
  <r>
    <x v="39"/>
    <x v="1"/>
    <b v="0"/>
    <x v="127"/>
    <n v="5"/>
  </r>
  <r>
    <x v="15"/>
    <x v="2"/>
    <b v="0"/>
    <x v="127"/>
    <n v="20.130000000000003"/>
  </r>
  <r>
    <x v="0"/>
    <x v="0"/>
    <b v="0"/>
    <x v="128"/>
    <n v="-47.09"/>
  </r>
  <r>
    <x v="1"/>
    <x v="0"/>
    <b v="0"/>
    <x v="128"/>
    <n v="-37.97"/>
  </r>
  <r>
    <x v="52"/>
    <x v="1"/>
    <b v="0"/>
    <x v="128"/>
    <n v="5"/>
  </r>
  <r>
    <x v="47"/>
    <x v="1"/>
    <b v="0"/>
    <x v="128"/>
    <n v="5"/>
  </r>
  <r>
    <x v="53"/>
    <x v="1"/>
    <b v="0"/>
    <x v="128"/>
    <n v="5"/>
  </r>
  <r>
    <x v="59"/>
    <x v="1"/>
    <b v="0"/>
    <x v="128"/>
    <n v="5"/>
  </r>
  <r>
    <x v="43"/>
    <x v="1"/>
    <b v="0"/>
    <x v="128"/>
    <n v="0"/>
  </r>
  <r>
    <x v="57"/>
    <x v="1"/>
    <b v="0"/>
    <x v="128"/>
    <n v="5"/>
  </r>
  <r>
    <x v="54"/>
    <x v="1"/>
    <b v="0"/>
    <x v="128"/>
    <n v="5"/>
  </r>
  <r>
    <x v="18"/>
    <x v="1"/>
    <b v="0"/>
    <x v="128"/>
    <n v="5"/>
  </r>
  <r>
    <x v="61"/>
    <x v="1"/>
    <b v="0"/>
    <x v="128"/>
    <n v="5"/>
  </r>
  <r>
    <x v="38"/>
    <x v="1"/>
    <b v="0"/>
    <x v="128"/>
    <n v="5"/>
  </r>
  <r>
    <x v="41"/>
    <x v="1"/>
    <b v="0"/>
    <x v="128"/>
    <n v="1E-3"/>
  </r>
  <r>
    <x v="67"/>
    <x v="1"/>
    <b v="0"/>
    <x v="128"/>
    <n v="5"/>
  </r>
  <r>
    <x v="23"/>
    <x v="1"/>
    <b v="0"/>
    <x v="128"/>
    <n v="5"/>
  </r>
  <r>
    <x v="44"/>
    <x v="1"/>
    <b v="0"/>
    <x v="128"/>
    <n v="5"/>
  </r>
  <r>
    <x v="62"/>
    <x v="1"/>
    <b v="0"/>
    <x v="128"/>
    <n v="5"/>
  </r>
  <r>
    <x v="39"/>
    <x v="1"/>
    <b v="0"/>
    <x v="128"/>
    <n v="5"/>
  </r>
  <r>
    <x v="15"/>
    <x v="2"/>
    <b v="0"/>
    <x v="128"/>
    <n v="19.14"/>
  </r>
  <r>
    <x v="0"/>
    <x v="0"/>
    <b v="0"/>
    <x v="129"/>
    <n v="-45"/>
  </r>
  <r>
    <x v="16"/>
    <x v="0"/>
    <b v="0"/>
    <x v="129"/>
    <n v="-11.458600000000001"/>
  </r>
  <r>
    <x v="1"/>
    <x v="0"/>
    <b v="0"/>
    <x v="129"/>
    <n v="-28.096000000000004"/>
  </r>
  <r>
    <x v="13"/>
    <x v="0"/>
    <b v="0"/>
    <x v="129"/>
    <n v="-1.27"/>
  </r>
  <r>
    <x v="52"/>
    <x v="1"/>
    <b v="0"/>
    <x v="129"/>
    <n v="5"/>
  </r>
  <r>
    <x v="47"/>
    <x v="1"/>
    <b v="0"/>
    <x v="129"/>
    <n v="5"/>
  </r>
  <r>
    <x v="53"/>
    <x v="1"/>
    <b v="0"/>
    <x v="129"/>
    <n v="5"/>
  </r>
  <r>
    <x v="9"/>
    <x v="1"/>
    <b v="0"/>
    <x v="129"/>
    <n v="2.5"/>
  </r>
  <r>
    <x v="57"/>
    <x v="1"/>
    <b v="0"/>
    <x v="129"/>
    <n v="5"/>
  </r>
  <r>
    <x v="54"/>
    <x v="1"/>
    <b v="0"/>
    <x v="129"/>
    <n v="5"/>
  </r>
  <r>
    <x v="18"/>
    <x v="1"/>
    <b v="0"/>
    <x v="129"/>
    <n v="5"/>
  </r>
  <r>
    <x v="61"/>
    <x v="1"/>
    <b v="0"/>
    <x v="129"/>
    <n v="5"/>
  </r>
  <r>
    <x v="38"/>
    <x v="1"/>
    <b v="0"/>
    <x v="129"/>
    <n v="5"/>
  </r>
  <r>
    <x v="41"/>
    <x v="1"/>
    <b v="0"/>
    <x v="129"/>
    <n v="1E-3"/>
  </r>
  <r>
    <x v="67"/>
    <x v="1"/>
    <b v="0"/>
    <x v="129"/>
    <n v="5"/>
  </r>
  <r>
    <x v="23"/>
    <x v="1"/>
    <b v="0"/>
    <x v="129"/>
    <n v="5"/>
  </r>
  <r>
    <x v="44"/>
    <x v="1"/>
    <b v="0"/>
    <x v="129"/>
    <n v="5"/>
  </r>
  <r>
    <x v="62"/>
    <x v="1"/>
    <b v="0"/>
    <x v="129"/>
    <n v="5"/>
  </r>
  <r>
    <x v="39"/>
    <x v="1"/>
    <b v="0"/>
    <x v="129"/>
    <n v="5"/>
  </r>
  <r>
    <x v="15"/>
    <x v="2"/>
    <b v="0"/>
    <x v="129"/>
    <n v="16.8"/>
  </r>
  <r>
    <x v="0"/>
    <x v="0"/>
    <b v="0"/>
    <x v="130"/>
    <n v="-53.96"/>
  </r>
  <r>
    <x v="1"/>
    <x v="0"/>
    <b v="0"/>
    <x v="130"/>
    <n v="-15.58"/>
  </r>
  <r>
    <x v="20"/>
    <x v="0"/>
    <b v="0"/>
    <x v="130"/>
    <n v="-4.29"/>
  </r>
  <r>
    <x v="52"/>
    <x v="1"/>
    <b v="0"/>
    <x v="130"/>
    <n v="5"/>
  </r>
  <r>
    <x v="47"/>
    <x v="1"/>
    <b v="0"/>
    <x v="130"/>
    <n v="5"/>
  </r>
  <r>
    <x v="9"/>
    <x v="1"/>
    <b v="0"/>
    <x v="130"/>
    <n v="5"/>
  </r>
  <r>
    <x v="40"/>
    <x v="1"/>
    <b v="0"/>
    <x v="130"/>
    <n v="5"/>
  </r>
  <r>
    <x v="18"/>
    <x v="1"/>
    <b v="0"/>
    <x v="130"/>
    <n v="5"/>
  </r>
  <r>
    <x v="61"/>
    <x v="1"/>
    <b v="0"/>
    <x v="130"/>
    <n v="5"/>
  </r>
  <r>
    <x v="41"/>
    <x v="1"/>
    <b v="0"/>
    <x v="130"/>
    <n v="1E-3"/>
  </r>
  <r>
    <x v="67"/>
    <x v="1"/>
    <b v="0"/>
    <x v="130"/>
    <n v="5"/>
  </r>
  <r>
    <x v="23"/>
    <x v="1"/>
    <b v="0"/>
    <x v="130"/>
    <n v="5"/>
  </r>
  <r>
    <x v="44"/>
    <x v="1"/>
    <b v="0"/>
    <x v="130"/>
    <n v="5"/>
  </r>
  <r>
    <x v="62"/>
    <x v="1"/>
    <b v="0"/>
    <x v="130"/>
    <n v="5"/>
  </r>
  <r>
    <x v="39"/>
    <x v="1"/>
    <b v="0"/>
    <x v="130"/>
    <n v="5"/>
  </r>
  <r>
    <x v="15"/>
    <x v="2"/>
    <b v="0"/>
    <x v="130"/>
    <n v="11.8"/>
  </r>
  <r>
    <x v="52"/>
    <x v="1"/>
    <b v="0"/>
    <x v="131"/>
    <n v="5"/>
  </r>
  <r>
    <x v="68"/>
    <x v="1"/>
    <b v="0"/>
    <x v="131"/>
    <n v="5"/>
  </r>
  <r>
    <x v="9"/>
    <x v="1"/>
    <b v="0"/>
    <x v="131"/>
    <n v="5"/>
  </r>
  <r>
    <x v="40"/>
    <x v="1"/>
    <b v="0"/>
    <x v="131"/>
    <n v="5"/>
  </r>
  <r>
    <x v="18"/>
    <x v="1"/>
    <b v="0"/>
    <x v="131"/>
    <n v="5"/>
  </r>
  <r>
    <x v="41"/>
    <x v="1"/>
    <b v="0"/>
    <x v="131"/>
    <n v="1E-3"/>
  </r>
  <r>
    <x v="23"/>
    <x v="1"/>
    <b v="0"/>
    <x v="131"/>
    <n v="5"/>
  </r>
  <r>
    <x v="44"/>
    <x v="1"/>
    <b v="0"/>
    <x v="131"/>
    <n v="5"/>
  </r>
  <r>
    <x v="62"/>
    <x v="1"/>
    <b v="0"/>
    <x v="131"/>
    <n v="5"/>
  </r>
  <r>
    <x v="39"/>
    <x v="1"/>
    <b v="0"/>
    <x v="131"/>
    <n v="5"/>
  </r>
  <r>
    <x v="15"/>
    <x v="2"/>
    <b v="0"/>
    <x v="131"/>
    <n v="11.93"/>
  </r>
  <r>
    <x v="0"/>
    <x v="0"/>
    <b v="0"/>
    <x v="132"/>
    <n v="-47.96"/>
  </r>
  <r>
    <x v="1"/>
    <x v="0"/>
    <b v="0"/>
    <x v="132"/>
    <n v="-7.99"/>
  </r>
  <r>
    <x v="13"/>
    <x v="0"/>
    <b v="0"/>
    <x v="132"/>
    <n v="-20.39"/>
  </r>
  <r>
    <x v="20"/>
    <x v="0"/>
    <b v="0"/>
    <x v="132"/>
    <n v="-7.79"/>
  </r>
  <r>
    <x v="52"/>
    <x v="1"/>
    <b v="0"/>
    <x v="132"/>
    <n v="5"/>
  </r>
  <r>
    <x v="68"/>
    <x v="1"/>
    <b v="0"/>
    <x v="132"/>
    <n v="5"/>
  </r>
  <r>
    <x v="9"/>
    <x v="1"/>
    <b v="0"/>
    <x v="132"/>
    <n v="5"/>
  </r>
  <r>
    <x v="40"/>
    <x v="1"/>
    <b v="0"/>
    <x v="132"/>
    <n v="5"/>
  </r>
  <r>
    <x v="18"/>
    <x v="1"/>
    <b v="0"/>
    <x v="132"/>
    <n v="5"/>
  </r>
  <r>
    <x v="41"/>
    <x v="1"/>
    <b v="0"/>
    <x v="132"/>
    <n v="1E-3"/>
  </r>
  <r>
    <x v="23"/>
    <x v="1"/>
    <b v="0"/>
    <x v="132"/>
    <n v="5"/>
  </r>
  <r>
    <x v="44"/>
    <x v="1"/>
    <b v="0"/>
    <x v="132"/>
    <n v="5"/>
  </r>
  <r>
    <x v="62"/>
    <x v="1"/>
    <b v="0"/>
    <x v="132"/>
    <n v="5"/>
  </r>
  <r>
    <x v="39"/>
    <x v="1"/>
    <b v="0"/>
    <x v="132"/>
    <n v="5"/>
  </r>
  <r>
    <x v="15"/>
    <x v="2"/>
    <b v="0"/>
    <x v="132"/>
    <n v="4.1900000000000004"/>
  </r>
  <r>
    <x v="0"/>
    <x v="0"/>
    <b v="0"/>
    <x v="133"/>
    <n v="-51.96"/>
  </r>
  <r>
    <x v="16"/>
    <x v="0"/>
    <b v="0"/>
    <x v="133"/>
    <n v="-16.27"/>
  </r>
  <r>
    <x v="1"/>
    <x v="0"/>
    <b v="0"/>
    <x v="133"/>
    <n v="-31.07"/>
  </r>
  <r>
    <x v="13"/>
    <x v="0"/>
    <b v="0"/>
    <x v="133"/>
    <n v="-3.49"/>
  </r>
  <r>
    <x v="52"/>
    <x v="1"/>
    <b v="0"/>
    <x v="133"/>
    <n v="5"/>
  </r>
  <r>
    <x v="12"/>
    <x v="1"/>
    <b v="0"/>
    <x v="133"/>
    <n v="5"/>
  </r>
  <r>
    <x v="69"/>
    <x v="1"/>
    <b v="0"/>
    <x v="133"/>
    <n v="5"/>
  </r>
  <r>
    <x v="70"/>
    <x v="1"/>
    <b v="0"/>
    <x v="133"/>
    <n v="5"/>
  </r>
  <r>
    <x v="71"/>
    <x v="1"/>
    <b v="0"/>
    <x v="133"/>
    <n v="5"/>
  </r>
  <r>
    <x v="72"/>
    <x v="1"/>
    <b v="0"/>
    <x v="133"/>
    <n v="5"/>
  </r>
  <r>
    <x v="68"/>
    <x v="1"/>
    <b v="0"/>
    <x v="133"/>
    <n v="5"/>
  </r>
  <r>
    <x v="9"/>
    <x v="1"/>
    <b v="0"/>
    <x v="133"/>
    <n v="5"/>
  </r>
  <r>
    <x v="40"/>
    <x v="1"/>
    <b v="0"/>
    <x v="133"/>
    <n v="5"/>
  </r>
  <r>
    <x v="18"/>
    <x v="1"/>
    <b v="0"/>
    <x v="133"/>
    <n v="1.0000000000000001E-5"/>
  </r>
  <r>
    <x v="41"/>
    <x v="1"/>
    <b v="0"/>
    <x v="133"/>
    <n v="1E-3"/>
  </r>
  <r>
    <x v="73"/>
    <x v="1"/>
    <b v="0"/>
    <x v="133"/>
    <n v="5"/>
  </r>
  <r>
    <x v="23"/>
    <x v="1"/>
    <b v="0"/>
    <x v="133"/>
    <n v="5"/>
  </r>
  <r>
    <x v="44"/>
    <x v="1"/>
    <b v="0"/>
    <x v="133"/>
    <n v="5"/>
  </r>
  <r>
    <x v="62"/>
    <x v="1"/>
    <b v="0"/>
    <x v="133"/>
    <n v="5"/>
  </r>
  <r>
    <x v="74"/>
    <x v="1"/>
    <b v="0"/>
    <x v="133"/>
    <n v="5"/>
  </r>
  <r>
    <x v="39"/>
    <x v="1"/>
    <b v="0"/>
    <x v="133"/>
    <n v="5"/>
  </r>
  <r>
    <x v="75"/>
    <x v="1"/>
    <b v="0"/>
    <x v="133"/>
    <n v="5"/>
  </r>
  <r>
    <x v="15"/>
    <x v="2"/>
    <b v="0"/>
    <x v="133"/>
    <n v="12.78"/>
  </r>
  <r>
    <x v="0"/>
    <x v="0"/>
    <b v="0"/>
    <x v="134"/>
    <n v="-51.96"/>
  </r>
  <r>
    <x v="1"/>
    <x v="0"/>
    <b v="0"/>
    <x v="134"/>
    <n v="-29.680000000000003"/>
  </r>
  <r>
    <x v="13"/>
    <x v="0"/>
    <b v="0"/>
    <x v="134"/>
    <n v="-19.240000000000002"/>
  </r>
  <r>
    <x v="20"/>
    <x v="0"/>
    <b v="0"/>
    <x v="134"/>
    <n v="-16.79"/>
  </r>
  <r>
    <x v="52"/>
    <x v="1"/>
    <b v="0"/>
    <x v="134"/>
    <n v="5"/>
  </r>
  <r>
    <x v="12"/>
    <x v="1"/>
    <b v="0"/>
    <x v="134"/>
    <n v="5"/>
  </r>
  <r>
    <x v="69"/>
    <x v="1"/>
    <b v="0"/>
    <x v="134"/>
    <n v="5"/>
  </r>
  <r>
    <x v="76"/>
    <x v="1"/>
    <b v="0"/>
    <x v="134"/>
    <n v="5"/>
  </r>
  <r>
    <x v="70"/>
    <x v="1"/>
    <b v="0"/>
    <x v="134"/>
    <n v="5"/>
  </r>
  <r>
    <x v="71"/>
    <x v="1"/>
    <b v="0"/>
    <x v="134"/>
    <n v="5"/>
  </r>
  <r>
    <x v="72"/>
    <x v="1"/>
    <b v="0"/>
    <x v="134"/>
    <n v="5"/>
  </r>
  <r>
    <x v="68"/>
    <x v="1"/>
    <b v="0"/>
    <x v="134"/>
    <n v="5"/>
  </r>
  <r>
    <x v="9"/>
    <x v="1"/>
    <b v="0"/>
    <x v="134"/>
    <n v="5"/>
  </r>
  <r>
    <x v="40"/>
    <x v="1"/>
    <b v="0"/>
    <x v="134"/>
    <n v="5"/>
  </r>
  <r>
    <x v="18"/>
    <x v="1"/>
    <b v="0"/>
    <x v="134"/>
    <n v="5"/>
  </r>
  <r>
    <x v="41"/>
    <x v="1"/>
    <b v="0"/>
    <x v="134"/>
    <n v="1E-3"/>
  </r>
  <r>
    <x v="73"/>
    <x v="1"/>
    <b v="0"/>
    <x v="134"/>
    <n v="5"/>
  </r>
  <r>
    <x v="23"/>
    <x v="1"/>
    <b v="0"/>
    <x v="134"/>
    <n v="5"/>
  </r>
  <r>
    <x v="44"/>
    <x v="1"/>
    <b v="0"/>
    <x v="134"/>
    <n v="5"/>
  </r>
  <r>
    <x v="62"/>
    <x v="1"/>
    <b v="0"/>
    <x v="134"/>
    <n v="5"/>
  </r>
  <r>
    <x v="74"/>
    <x v="1"/>
    <b v="0"/>
    <x v="134"/>
    <n v="5"/>
  </r>
  <r>
    <x v="39"/>
    <x v="1"/>
    <b v="0"/>
    <x v="134"/>
    <n v="5"/>
  </r>
  <r>
    <x v="75"/>
    <x v="1"/>
    <b v="0"/>
    <x v="134"/>
    <n v="5"/>
  </r>
  <r>
    <x v="15"/>
    <x v="2"/>
    <b v="0"/>
    <x v="134"/>
    <n v="8.76"/>
  </r>
  <r>
    <x v="0"/>
    <x v="0"/>
    <b v="0"/>
    <x v="135"/>
    <n v="-51.96"/>
  </r>
  <r>
    <x v="1"/>
    <x v="0"/>
    <b v="0"/>
    <x v="135"/>
    <n v="-34.36"/>
  </r>
  <r>
    <x v="13"/>
    <x v="0"/>
    <b v="0"/>
    <x v="135"/>
    <n v="-5"/>
  </r>
  <r>
    <x v="52"/>
    <x v="1"/>
    <b v="0"/>
    <x v="135"/>
    <n v="5"/>
  </r>
  <r>
    <x v="12"/>
    <x v="1"/>
    <b v="0"/>
    <x v="135"/>
    <n v="5"/>
  </r>
  <r>
    <x v="69"/>
    <x v="1"/>
    <b v="0"/>
    <x v="135"/>
    <n v="5"/>
  </r>
  <r>
    <x v="76"/>
    <x v="1"/>
    <b v="0"/>
    <x v="135"/>
    <n v="5"/>
  </r>
  <r>
    <x v="70"/>
    <x v="1"/>
    <b v="0"/>
    <x v="135"/>
    <n v="5"/>
  </r>
  <r>
    <x v="71"/>
    <x v="1"/>
    <b v="0"/>
    <x v="135"/>
    <n v="5"/>
  </r>
  <r>
    <x v="72"/>
    <x v="1"/>
    <b v="0"/>
    <x v="135"/>
    <n v="5"/>
  </r>
  <r>
    <x v="68"/>
    <x v="1"/>
    <b v="0"/>
    <x v="135"/>
    <n v="5"/>
  </r>
  <r>
    <x v="9"/>
    <x v="1"/>
    <b v="0"/>
    <x v="135"/>
    <n v="5"/>
  </r>
  <r>
    <x v="40"/>
    <x v="1"/>
    <b v="0"/>
    <x v="135"/>
    <n v="5"/>
  </r>
  <r>
    <x v="18"/>
    <x v="1"/>
    <b v="0"/>
    <x v="135"/>
    <n v="5"/>
  </r>
  <r>
    <x v="41"/>
    <x v="1"/>
    <b v="0"/>
    <x v="135"/>
    <n v="1E-3"/>
  </r>
  <r>
    <x v="73"/>
    <x v="1"/>
    <b v="0"/>
    <x v="135"/>
    <n v="5"/>
  </r>
  <r>
    <x v="23"/>
    <x v="1"/>
    <b v="0"/>
    <x v="135"/>
    <n v="5"/>
  </r>
  <r>
    <x v="44"/>
    <x v="1"/>
    <b v="0"/>
    <x v="135"/>
    <n v="5"/>
  </r>
  <r>
    <x v="62"/>
    <x v="1"/>
    <b v="0"/>
    <x v="135"/>
    <n v="5"/>
  </r>
  <r>
    <x v="74"/>
    <x v="1"/>
    <b v="0"/>
    <x v="135"/>
    <n v="5"/>
  </r>
  <r>
    <x v="39"/>
    <x v="1"/>
    <b v="0"/>
    <x v="135"/>
    <n v="5"/>
  </r>
  <r>
    <x v="75"/>
    <x v="1"/>
    <b v="0"/>
    <x v="135"/>
    <n v="5"/>
  </r>
  <r>
    <x v="15"/>
    <x v="2"/>
    <b v="0"/>
    <x v="135"/>
    <n v="18.850000000000001"/>
  </r>
  <r>
    <x v="0"/>
    <x v="0"/>
    <b v="0"/>
    <x v="136"/>
    <n v="-51.96"/>
  </r>
  <r>
    <x v="1"/>
    <x v="0"/>
    <b v="0"/>
    <x v="136"/>
    <n v="-38.42"/>
  </r>
  <r>
    <x v="13"/>
    <x v="0"/>
    <b v="0"/>
    <x v="136"/>
    <n v="-3.25"/>
  </r>
  <r>
    <x v="20"/>
    <x v="0"/>
    <b v="0"/>
    <x v="136"/>
    <n v="-7.79"/>
  </r>
  <r>
    <x v="52"/>
    <x v="1"/>
    <b v="0"/>
    <x v="136"/>
    <n v="5"/>
  </r>
  <r>
    <x v="77"/>
    <x v="1"/>
    <b v="0"/>
    <x v="136"/>
    <n v="5"/>
  </r>
  <r>
    <x v="12"/>
    <x v="1"/>
    <b v="0"/>
    <x v="136"/>
    <n v="5"/>
  </r>
  <r>
    <x v="69"/>
    <x v="1"/>
    <b v="0"/>
    <x v="136"/>
    <n v="5"/>
  </r>
  <r>
    <x v="76"/>
    <x v="1"/>
    <b v="0"/>
    <x v="136"/>
    <n v="5"/>
  </r>
  <r>
    <x v="70"/>
    <x v="1"/>
    <b v="0"/>
    <x v="136"/>
    <n v="5"/>
  </r>
  <r>
    <x v="71"/>
    <x v="1"/>
    <b v="0"/>
    <x v="136"/>
    <n v="5"/>
  </r>
  <r>
    <x v="72"/>
    <x v="1"/>
    <b v="0"/>
    <x v="136"/>
    <n v="5"/>
  </r>
  <r>
    <x v="68"/>
    <x v="1"/>
    <b v="0"/>
    <x v="136"/>
    <n v="5"/>
  </r>
  <r>
    <x v="9"/>
    <x v="1"/>
    <b v="0"/>
    <x v="136"/>
    <n v="5"/>
  </r>
  <r>
    <x v="40"/>
    <x v="1"/>
    <b v="0"/>
    <x v="136"/>
    <n v="5"/>
  </r>
  <r>
    <x v="18"/>
    <x v="1"/>
    <b v="0"/>
    <x v="136"/>
    <n v="5"/>
  </r>
  <r>
    <x v="41"/>
    <x v="1"/>
    <b v="0"/>
    <x v="136"/>
    <n v="1E-3"/>
  </r>
  <r>
    <x v="73"/>
    <x v="1"/>
    <b v="0"/>
    <x v="136"/>
    <n v="5"/>
  </r>
  <r>
    <x v="23"/>
    <x v="1"/>
    <b v="0"/>
    <x v="136"/>
    <n v="5"/>
  </r>
  <r>
    <x v="44"/>
    <x v="1"/>
    <b v="0"/>
    <x v="136"/>
    <n v="5"/>
  </r>
  <r>
    <x v="62"/>
    <x v="1"/>
    <b v="0"/>
    <x v="136"/>
    <n v="5"/>
  </r>
  <r>
    <x v="74"/>
    <x v="1"/>
    <b v="0"/>
    <x v="136"/>
    <n v="5"/>
  </r>
  <r>
    <x v="39"/>
    <x v="1"/>
    <b v="0"/>
    <x v="136"/>
    <n v="5"/>
  </r>
  <r>
    <x v="75"/>
    <x v="1"/>
    <b v="0"/>
    <x v="136"/>
    <n v="5"/>
  </r>
  <r>
    <x v="15"/>
    <x v="2"/>
    <b v="0"/>
    <x v="136"/>
    <n v="12.49"/>
  </r>
  <r>
    <x v="0"/>
    <x v="0"/>
    <b v="0"/>
    <x v="137"/>
    <n v="-51.96"/>
  </r>
  <r>
    <x v="1"/>
    <x v="0"/>
    <b v="0"/>
    <x v="137"/>
    <n v="-16.78"/>
  </r>
  <r>
    <x v="13"/>
    <x v="0"/>
    <b v="0"/>
    <x v="137"/>
    <n v="-25.96"/>
  </r>
  <r>
    <x v="52"/>
    <x v="1"/>
    <b v="0"/>
    <x v="137"/>
    <n v="5"/>
  </r>
  <r>
    <x v="12"/>
    <x v="1"/>
    <b v="0"/>
    <x v="137"/>
    <n v="5"/>
  </r>
  <r>
    <x v="69"/>
    <x v="1"/>
    <b v="0"/>
    <x v="137"/>
    <n v="5"/>
  </r>
  <r>
    <x v="76"/>
    <x v="1"/>
    <b v="0"/>
    <x v="137"/>
    <n v="5"/>
  </r>
  <r>
    <x v="70"/>
    <x v="1"/>
    <b v="0"/>
    <x v="137"/>
    <n v="5"/>
  </r>
  <r>
    <x v="71"/>
    <x v="1"/>
    <b v="0"/>
    <x v="137"/>
    <n v="5"/>
  </r>
  <r>
    <x v="72"/>
    <x v="1"/>
    <b v="0"/>
    <x v="137"/>
    <n v="5"/>
  </r>
  <r>
    <x v="68"/>
    <x v="1"/>
    <b v="0"/>
    <x v="137"/>
    <n v="5"/>
  </r>
  <r>
    <x v="9"/>
    <x v="1"/>
    <b v="0"/>
    <x v="137"/>
    <n v="5"/>
  </r>
  <r>
    <x v="40"/>
    <x v="1"/>
    <b v="0"/>
    <x v="137"/>
    <n v="5"/>
  </r>
  <r>
    <x v="18"/>
    <x v="1"/>
    <b v="0"/>
    <x v="137"/>
    <n v="5"/>
  </r>
  <r>
    <x v="41"/>
    <x v="1"/>
    <b v="0"/>
    <x v="137"/>
    <n v="1E-3"/>
  </r>
  <r>
    <x v="73"/>
    <x v="1"/>
    <b v="0"/>
    <x v="137"/>
    <n v="5"/>
  </r>
  <r>
    <x v="23"/>
    <x v="1"/>
    <b v="0"/>
    <x v="137"/>
    <n v="5"/>
  </r>
  <r>
    <x v="44"/>
    <x v="1"/>
    <b v="0"/>
    <x v="137"/>
    <n v="5"/>
  </r>
  <r>
    <x v="62"/>
    <x v="1"/>
    <b v="0"/>
    <x v="137"/>
    <n v="0"/>
  </r>
  <r>
    <x v="74"/>
    <x v="1"/>
    <b v="0"/>
    <x v="137"/>
    <n v="5"/>
  </r>
  <r>
    <x v="39"/>
    <x v="1"/>
    <b v="0"/>
    <x v="137"/>
    <n v="5"/>
  </r>
  <r>
    <x v="75"/>
    <x v="1"/>
    <b v="0"/>
    <x v="137"/>
    <n v="5"/>
  </r>
  <r>
    <x v="15"/>
    <x v="2"/>
    <b v="0"/>
    <x v="137"/>
    <n v="13.5"/>
  </r>
  <r>
    <x v="0"/>
    <x v="0"/>
    <b v="0"/>
    <x v="138"/>
    <n v="-51.96"/>
  </r>
  <r>
    <x v="16"/>
    <x v="0"/>
    <b v="0"/>
    <x v="138"/>
    <n v="-1.5"/>
  </r>
  <r>
    <x v="1"/>
    <x v="0"/>
    <b v="0"/>
    <x v="138"/>
    <n v="-35.650000000000006"/>
  </r>
  <r>
    <x v="13"/>
    <x v="0"/>
    <b v="0"/>
    <x v="138"/>
    <n v="-3.5"/>
  </r>
  <r>
    <x v="52"/>
    <x v="1"/>
    <b v="0"/>
    <x v="138"/>
    <n v="5"/>
  </r>
  <r>
    <x v="77"/>
    <x v="1"/>
    <b v="0"/>
    <x v="138"/>
    <n v="5"/>
  </r>
  <r>
    <x v="12"/>
    <x v="1"/>
    <b v="0"/>
    <x v="138"/>
    <n v="5"/>
  </r>
  <r>
    <x v="69"/>
    <x v="1"/>
    <b v="0"/>
    <x v="138"/>
    <n v="5"/>
  </r>
  <r>
    <x v="76"/>
    <x v="1"/>
    <b v="0"/>
    <x v="138"/>
    <n v="5"/>
  </r>
  <r>
    <x v="70"/>
    <x v="1"/>
    <b v="0"/>
    <x v="138"/>
    <n v="5"/>
  </r>
  <r>
    <x v="71"/>
    <x v="1"/>
    <b v="0"/>
    <x v="138"/>
    <n v="5"/>
  </r>
  <r>
    <x v="72"/>
    <x v="1"/>
    <b v="0"/>
    <x v="138"/>
    <n v="5"/>
  </r>
  <r>
    <x v="68"/>
    <x v="1"/>
    <b v="0"/>
    <x v="138"/>
    <n v="5"/>
  </r>
  <r>
    <x v="9"/>
    <x v="1"/>
    <b v="0"/>
    <x v="138"/>
    <n v="5"/>
  </r>
  <r>
    <x v="40"/>
    <x v="1"/>
    <b v="0"/>
    <x v="138"/>
    <n v="5"/>
  </r>
  <r>
    <x v="18"/>
    <x v="1"/>
    <b v="0"/>
    <x v="138"/>
    <n v="5"/>
  </r>
  <r>
    <x v="41"/>
    <x v="1"/>
    <b v="0"/>
    <x v="138"/>
    <n v="1E-3"/>
  </r>
  <r>
    <x v="73"/>
    <x v="1"/>
    <b v="0"/>
    <x v="138"/>
    <n v="5"/>
  </r>
  <r>
    <x v="23"/>
    <x v="1"/>
    <b v="0"/>
    <x v="138"/>
    <n v="5"/>
  </r>
  <r>
    <x v="44"/>
    <x v="1"/>
    <b v="0"/>
    <x v="138"/>
    <n v="5"/>
  </r>
  <r>
    <x v="74"/>
    <x v="1"/>
    <b v="0"/>
    <x v="138"/>
    <n v="5"/>
  </r>
  <r>
    <x v="39"/>
    <x v="1"/>
    <b v="0"/>
    <x v="138"/>
    <n v="5"/>
  </r>
  <r>
    <x v="75"/>
    <x v="1"/>
    <b v="0"/>
    <x v="138"/>
    <n v="5"/>
  </r>
  <r>
    <x v="15"/>
    <x v="2"/>
    <b v="0"/>
    <x v="138"/>
    <n v="7.63"/>
  </r>
  <r>
    <x v="0"/>
    <x v="0"/>
    <b v="0"/>
    <x v="139"/>
    <n v="-51.96"/>
  </r>
  <r>
    <x v="16"/>
    <x v="0"/>
    <b v="0"/>
    <x v="139"/>
    <n v="-11.094999999999999"/>
  </r>
  <r>
    <x v="1"/>
    <x v="0"/>
    <b v="0"/>
    <x v="139"/>
    <n v="-35.650000000000006"/>
  </r>
  <r>
    <x v="13"/>
    <x v="0"/>
    <b v="0"/>
    <x v="139"/>
    <n v="-3.5"/>
  </r>
  <r>
    <x v="20"/>
    <x v="0"/>
    <b v="0"/>
    <x v="139"/>
    <n v="-7.79"/>
  </r>
  <r>
    <x v="52"/>
    <x v="1"/>
    <b v="0"/>
    <x v="139"/>
    <n v="5"/>
  </r>
  <r>
    <x v="77"/>
    <x v="1"/>
    <b v="0"/>
    <x v="139"/>
    <n v="5"/>
  </r>
  <r>
    <x v="12"/>
    <x v="1"/>
    <b v="0"/>
    <x v="139"/>
    <n v="5"/>
  </r>
  <r>
    <x v="69"/>
    <x v="1"/>
    <b v="0"/>
    <x v="139"/>
    <n v="5"/>
  </r>
  <r>
    <x v="76"/>
    <x v="1"/>
    <b v="0"/>
    <x v="139"/>
    <n v="5"/>
  </r>
  <r>
    <x v="70"/>
    <x v="1"/>
    <b v="0"/>
    <x v="139"/>
    <n v="5"/>
  </r>
  <r>
    <x v="71"/>
    <x v="1"/>
    <b v="0"/>
    <x v="139"/>
    <n v="5"/>
  </r>
  <r>
    <x v="72"/>
    <x v="1"/>
    <b v="0"/>
    <x v="139"/>
    <n v="5"/>
  </r>
  <r>
    <x v="68"/>
    <x v="1"/>
    <b v="0"/>
    <x v="139"/>
    <n v="5"/>
  </r>
  <r>
    <x v="9"/>
    <x v="1"/>
    <b v="0"/>
    <x v="139"/>
    <n v="5"/>
  </r>
  <r>
    <x v="40"/>
    <x v="1"/>
    <b v="0"/>
    <x v="139"/>
    <n v="5"/>
  </r>
  <r>
    <x v="18"/>
    <x v="1"/>
    <b v="0"/>
    <x v="139"/>
    <n v="5"/>
  </r>
  <r>
    <x v="41"/>
    <x v="1"/>
    <b v="0"/>
    <x v="139"/>
    <n v="1E-3"/>
  </r>
  <r>
    <x v="73"/>
    <x v="1"/>
    <b v="0"/>
    <x v="139"/>
    <n v="5"/>
  </r>
  <r>
    <x v="23"/>
    <x v="1"/>
    <b v="0"/>
    <x v="139"/>
    <n v="5"/>
  </r>
  <r>
    <x v="44"/>
    <x v="1"/>
    <b v="0"/>
    <x v="139"/>
    <n v="5"/>
  </r>
  <r>
    <x v="74"/>
    <x v="1"/>
    <b v="0"/>
    <x v="139"/>
    <n v="5"/>
  </r>
  <r>
    <x v="39"/>
    <x v="1"/>
    <b v="0"/>
    <x v="139"/>
    <n v="5"/>
  </r>
  <r>
    <x v="75"/>
    <x v="1"/>
    <b v="0"/>
    <x v="139"/>
    <n v="5"/>
  </r>
  <r>
    <x v="15"/>
    <x v="2"/>
    <b v="0"/>
    <x v="139"/>
    <n v="11.49"/>
  </r>
  <r>
    <x v="0"/>
    <x v="0"/>
    <b v="0"/>
    <x v="140"/>
    <n v="-77.94"/>
  </r>
  <r>
    <x v="1"/>
    <x v="0"/>
    <b v="0"/>
    <x v="140"/>
    <n v="-42.84"/>
  </r>
  <r>
    <x v="13"/>
    <x v="0"/>
    <b v="0"/>
    <x v="140"/>
    <n v="-3.5"/>
  </r>
  <r>
    <x v="12"/>
    <x v="1"/>
    <b v="0"/>
    <x v="140"/>
    <n v="5"/>
  </r>
  <r>
    <x v="69"/>
    <x v="1"/>
    <b v="0"/>
    <x v="140"/>
    <n v="5"/>
  </r>
  <r>
    <x v="78"/>
    <x v="1"/>
    <b v="0"/>
    <x v="140"/>
    <n v="5"/>
  </r>
  <r>
    <x v="76"/>
    <x v="1"/>
    <b v="0"/>
    <x v="140"/>
    <n v="5"/>
  </r>
  <r>
    <x v="70"/>
    <x v="1"/>
    <b v="0"/>
    <x v="140"/>
    <n v="5"/>
  </r>
  <r>
    <x v="71"/>
    <x v="1"/>
    <b v="0"/>
    <x v="140"/>
    <n v="5"/>
  </r>
  <r>
    <x v="72"/>
    <x v="1"/>
    <b v="0"/>
    <x v="140"/>
    <n v="5"/>
  </r>
  <r>
    <x v="9"/>
    <x v="1"/>
    <b v="0"/>
    <x v="140"/>
    <n v="5"/>
  </r>
  <r>
    <x v="40"/>
    <x v="1"/>
    <b v="0"/>
    <x v="140"/>
    <n v="5"/>
  </r>
  <r>
    <x v="18"/>
    <x v="1"/>
    <b v="0"/>
    <x v="140"/>
    <n v="5"/>
  </r>
  <r>
    <x v="41"/>
    <x v="1"/>
    <b v="0"/>
    <x v="140"/>
    <n v="1E-3"/>
  </r>
  <r>
    <x v="73"/>
    <x v="1"/>
    <b v="0"/>
    <x v="140"/>
    <n v="5"/>
  </r>
  <r>
    <x v="23"/>
    <x v="1"/>
    <b v="0"/>
    <x v="140"/>
    <n v="5"/>
  </r>
  <r>
    <x v="44"/>
    <x v="1"/>
    <b v="0"/>
    <x v="140"/>
    <n v="5"/>
  </r>
  <r>
    <x v="74"/>
    <x v="1"/>
    <b v="0"/>
    <x v="140"/>
    <n v="5"/>
  </r>
  <r>
    <x v="39"/>
    <x v="1"/>
    <b v="0"/>
    <x v="140"/>
    <n v="5"/>
  </r>
  <r>
    <x v="75"/>
    <x v="1"/>
    <b v="0"/>
    <x v="140"/>
    <n v="5"/>
  </r>
  <r>
    <x v="15"/>
    <x v="2"/>
    <b v="0"/>
    <x v="140"/>
    <n v="24.08"/>
  </r>
  <r>
    <x v="0"/>
    <x v="0"/>
    <b v="0"/>
    <x v="141"/>
    <n v="-64.95"/>
  </r>
  <r>
    <x v="1"/>
    <x v="0"/>
    <b v="0"/>
    <x v="141"/>
    <n v="-28.560000000000002"/>
  </r>
  <r>
    <x v="13"/>
    <x v="0"/>
    <b v="0"/>
    <x v="141"/>
    <n v="-13"/>
  </r>
  <r>
    <x v="20"/>
    <x v="0"/>
    <b v="0"/>
    <x v="141"/>
    <n v="-14.49"/>
  </r>
  <r>
    <x v="12"/>
    <x v="1"/>
    <b v="0"/>
    <x v="141"/>
    <n v="5"/>
  </r>
  <r>
    <x v="78"/>
    <x v="1"/>
    <b v="0"/>
    <x v="141"/>
    <n v="5"/>
  </r>
  <r>
    <x v="76"/>
    <x v="1"/>
    <b v="0"/>
    <x v="141"/>
    <n v="5"/>
  </r>
  <r>
    <x v="70"/>
    <x v="1"/>
    <b v="0"/>
    <x v="141"/>
    <n v="5"/>
  </r>
  <r>
    <x v="71"/>
    <x v="1"/>
    <b v="0"/>
    <x v="141"/>
    <n v="5"/>
  </r>
  <r>
    <x v="72"/>
    <x v="1"/>
    <b v="0"/>
    <x v="141"/>
    <n v="5"/>
  </r>
  <r>
    <x v="9"/>
    <x v="1"/>
    <b v="0"/>
    <x v="141"/>
    <n v="5"/>
  </r>
  <r>
    <x v="40"/>
    <x v="1"/>
    <b v="0"/>
    <x v="141"/>
    <n v="5"/>
  </r>
  <r>
    <x v="18"/>
    <x v="1"/>
    <b v="0"/>
    <x v="141"/>
    <n v="5"/>
  </r>
  <r>
    <x v="41"/>
    <x v="1"/>
    <b v="0"/>
    <x v="141"/>
    <n v="1E-3"/>
  </r>
  <r>
    <x v="73"/>
    <x v="1"/>
    <b v="0"/>
    <x v="141"/>
    <n v="5"/>
  </r>
  <r>
    <x v="23"/>
    <x v="1"/>
    <b v="0"/>
    <x v="141"/>
    <n v="5"/>
  </r>
  <r>
    <x v="44"/>
    <x v="1"/>
    <b v="0"/>
    <x v="141"/>
    <n v="5"/>
  </r>
  <r>
    <x v="74"/>
    <x v="1"/>
    <b v="0"/>
    <x v="141"/>
    <n v="5"/>
  </r>
  <r>
    <x v="39"/>
    <x v="1"/>
    <b v="0"/>
    <x v="141"/>
    <n v="5"/>
  </r>
  <r>
    <x v="75"/>
    <x v="1"/>
    <b v="0"/>
    <x v="141"/>
    <n v="5"/>
  </r>
  <r>
    <x v="15"/>
    <x v="2"/>
    <b v="0"/>
    <x v="141"/>
    <n v="28.95"/>
  </r>
  <r>
    <x v="0"/>
    <x v="0"/>
    <b v="0"/>
    <x v="142"/>
    <n v="-65.94"/>
  </r>
  <r>
    <x v="16"/>
    <x v="0"/>
    <b v="0"/>
    <x v="142"/>
    <n v="-11.145"/>
  </r>
  <r>
    <x v="1"/>
    <x v="0"/>
    <b v="0"/>
    <x v="142"/>
    <n v="-28.560000000000002"/>
  </r>
  <r>
    <x v="13"/>
    <x v="0"/>
    <b v="0"/>
    <x v="142"/>
    <n v="-11.75"/>
  </r>
  <r>
    <x v="20"/>
    <x v="0"/>
    <b v="0"/>
    <x v="142"/>
    <n v="-2.76"/>
  </r>
  <r>
    <x v="12"/>
    <x v="1"/>
    <b v="0"/>
    <x v="142"/>
    <n v="5"/>
  </r>
  <r>
    <x v="69"/>
    <x v="1"/>
    <b v="0"/>
    <x v="142"/>
    <n v="5"/>
  </r>
  <r>
    <x v="78"/>
    <x v="1"/>
    <b v="0"/>
    <x v="142"/>
    <n v="5"/>
  </r>
  <r>
    <x v="76"/>
    <x v="1"/>
    <b v="0"/>
    <x v="142"/>
    <n v="5"/>
  </r>
  <r>
    <x v="70"/>
    <x v="1"/>
    <b v="0"/>
    <x v="142"/>
    <n v="5"/>
  </r>
  <r>
    <x v="71"/>
    <x v="1"/>
    <b v="0"/>
    <x v="142"/>
    <n v="5"/>
  </r>
  <r>
    <x v="72"/>
    <x v="1"/>
    <b v="0"/>
    <x v="142"/>
    <n v="5"/>
  </r>
  <r>
    <x v="9"/>
    <x v="1"/>
    <b v="0"/>
    <x v="142"/>
    <n v="5"/>
  </r>
  <r>
    <x v="40"/>
    <x v="1"/>
    <b v="0"/>
    <x v="142"/>
    <n v="5"/>
  </r>
  <r>
    <x v="18"/>
    <x v="1"/>
    <b v="0"/>
    <x v="142"/>
    <n v="5"/>
  </r>
  <r>
    <x v="41"/>
    <x v="1"/>
    <b v="0"/>
    <x v="142"/>
    <n v="1E-3"/>
  </r>
  <r>
    <x v="73"/>
    <x v="1"/>
    <b v="0"/>
    <x v="142"/>
    <n v="5"/>
  </r>
  <r>
    <x v="23"/>
    <x v="1"/>
    <b v="0"/>
    <x v="142"/>
    <n v="5"/>
  </r>
  <r>
    <x v="44"/>
    <x v="1"/>
    <b v="0"/>
    <x v="142"/>
    <n v="5"/>
  </r>
  <r>
    <x v="74"/>
    <x v="1"/>
    <b v="0"/>
    <x v="142"/>
    <n v="5"/>
  </r>
  <r>
    <x v="39"/>
    <x v="1"/>
    <b v="0"/>
    <x v="142"/>
    <n v="5"/>
  </r>
  <r>
    <x v="75"/>
    <x v="1"/>
    <b v="0"/>
    <x v="142"/>
    <n v="5"/>
  </r>
  <r>
    <x v="15"/>
    <x v="2"/>
    <b v="0"/>
    <x v="142"/>
    <n v="28.99"/>
  </r>
  <r>
    <x v="0"/>
    <x v="0"/>
    <b v="0"/>
    <x v="143"/>
    <n v="-43.96"/>
  </r>
  <r>
    <x v="16"/>
    <x v="0"/>
    <b v="0"/>
    <x v="143"/>
    <n v="-4.9800000000000004"/>
  </r>
  <r>
    <x v="1"/>
    <x v="0"/>
    <b v="0"/>
    <x v="143"/>
    <n v="-22.78"/>
  </r>
  <r>
    <x v="13"/>
    <x v="0"/>
    <b v="0"/>
    <x v="143"/>
    <n v="-2.25"/>
  </r>
  <r>
    <x v="20"/>
    <x v="0"/>
    <b v="0"/>
    <x v="143"/>
    <n v="-5.58"/>
  </r>
  <r>
    <x v="12"/>
    <x v="1"/>
    <b v="0"/>
    <x v="143"/>
    <n v="5"/>
  </r>
  <r>
    <x v="69"/>
    <x v="1"/>
    <b v="0"/>
    <x v="143"/>
    <n v="5"/>
  </r>
  <r>
    <x v="78"/>
    <x v="1"/>
    <b v="0"/>
    <x v="143"/>
    <n v="5"/>
  </r>
  <r>
    <x v="76"/>
    <x v="1"/>
    <b v="0"/>
    <x v="143"/>
    <n v="5"/>
  </r>
  <r>
    <x v="70"/>
    <x v="1"/>
    <b v="0"/>
    <x v="143"/>
    <n v="5"/>
  </r>
  <r>
    <x v="71"/>
    <x v="1"/>
    <b v="0"/>
    <x v="143"/>
    <n v="5"/>
  </r>
  <r>
    <x v="72"/>
    <x v="1"/>
    <b v="0"/>
    <x v="143"/>
    <n v="5"/>
  </r>
  <r>
    <x v="9"/>
    <x v="1"/>
    <b v="0"/>
    <x v="143"/>
    <n v="5"/>
  </r>
  <r>
    <x v="40"/>
    <x v="1"/>
    <b v="0"/>
    <x v="143"/>
    <n v="5"/>
  </r>
  <r>
    <x v="18"/>
    <x v="1"/>
    <b v="0"/>
    <x v="143"/>
    <n v="5"/>
  </r>
  <r>
    <x v="41"/>
    <x v="1"/>
    <b v="0"/>
    <x v="143"/>
    <n v="1E-3"/>
  </r>
  <r>
    <x v="73"/>
    <x v="1"/>
    <b v="0"/>
    <x v="143"/>
    <n v="5"/>
  </r>
  <r>
    <x v="23"/>
    <x v="1"/>
    <b v="0"/>
    <x v="143"/>
    <n v="5"/>
  </r>
  <r>
    <x v="44"/>
    <x v="1"/>
    <b v="0"/>
    <x v="143"/>
    <n v="5"/>
  </r>
  <r>
    <x v="74"/>
    <x v="1"/>
    <b v="0"/>
    <x v="143"/>
    <n v="5"/>
  </r>
  <r>
    <x v="39"/>
    <x v="1"/>
    <b v="0"/>
    <x v="143"/>
    <n v="5"/>
  </r>
  <r>
    <x v="75"/>
    <x v="1"/>
    <b v="0"/>
    <x v="143"/>
    <n v="5"/>
  </r>
  <r>
    <x v="15"/>
    <x v="2"/>
    <b v="0"/>
    <x v="143"/>
    <n v="36.180000000000007"/>
  </r>
  <r>
    <x v="0"/>
    <x v="0"/>
    <b v="0"/>
    <x v="144"/>
    <n v="-43.96"/>
  </r>
  <r>
    <x v="16"/>
    <x v="0"/>
    <b v="0"/>
    <x v="144"/>
    <n v="-5.89"/>
  </r>
  <r>
    <x v="1"/>
    <x v="0"/>
    <b v="0"/>
    <x v="144"/>
    <n v="-19.23"/>
  </r>
  <r>
    <x v="13"/>
    <x v="0"/>
    <b v="0"/>
    <x v="144"/>
    <n v="-21.5"/>
  </r>
  <r>
    <x v="12"/>
    <x v="1"/>
    <b v="0"/>
    <x v="144"/>
    <n v="5"/>
  </r>
  <r>
    <x v="69"/>
    <x v="1"/>
    <b v="0"/>
    <x v="144"/>
    <n v="5"/>
  </r>
  <r>
    <x v="78"/>
    <x v="1"/>
    <b v="0"/>
    <x v="144"/>
    <n v="5"/>
  </r>
  <r>
    <x v="76"/>
    <x v="1"/>
    <b v="0"/>
    <x v="144"/>
    <n v="5"/>
  </r>
  <r>
    <x v="70"/>
    <x v="1"/>
    <b v="0"/>
    <x v="144"/>
    <n v="5"/>
  </r>
  <r>
    <x v="71"/>
    <x v="1"/>
    <b v="0"/>
    <x v="144"/>
    <n v="5"/>
  </r>
  <r>
    <x v="72"/>
    <x v="1"/>
    <b v="0"/>
    <x v="144"/>
    <n v="5"/>
  </r>
  <r>
    <x v="40"/>
    <x v="1"/>
    <b v="0"/>
    <x v="144"/>
    <n v="5"/>
  </r>
  <r>
    <x v="18"/>
    <x v="1"/>
    <b v="0"/>
    <x v="144"/>
    <n v="5"/>
  </r>
  <r>
    <x v="41"/>
    <x v="1"/>
    <b v="0"/>
    <x v="144"/>
    <n v="1E-3"/>
  </r>
  <r>
    <x v="73"/>
    <x v="1"/>
    <b v="0"/>
    <x v="144"/>
    <n v="5"/>
  </r>
  <r>
    <x v="23"/>
    <x v="1"/>
    <b v="0"/>
    <x v="144"/>
    <n v="5"/>
  </r>
  <r>
    <x v="44"/>
    <x v="1"/>
    <b v="0"/>
    <x v="144"/>
    <n v="5"/>
  </r>
  <r>
    <x v="39"/>
    <x v="1"/>
    <b v="0"/>
    <x v="144"/>
    <n v="5"/>
  </r>
  <r>
    <x v="75"/>
    <x v="1"/>
    <b v="0"/>
    <x v="144"/>
    <n v="5"/>
  </r>
  <r>
    <x v="15"/>
    <x v="2"/>
    <b v="0"/>
    <x v="144"/>
    <n v="21.42"/>
  </r>
  <r>
    <x v="0"/>
    <x v="0"/>
    <b v="0"/>
    <x v="145"/>
    <n v="-59.95"/>
  </r>
  <r>
    <x v="16"/>
    <x v="0"/>
    <b v="0"/>
    <x v="145"/>
    <n v="-11.14"/>
  </r>
  <r>
    <x v="1"/>
    <x v="0"/>
    <b v="0"/>
    <x v="145"/>
    <n v="-20.97"/>
  </r>
  <r>
    <x v="13"/>
    <x v="0"/>
    <b v="0"/>
    <x v="145"/>
    <n v="-6"/>
  </r>
  <r>
    <x v="20"/>
    <x v="0"/>
    <b v="0"/>
    <x v="145"/>
    <n v="-5"/>
  </r>
  <r>
    <x v="12"/>
    <x v="1"/>
    <b v="0"/>
    <x v="145"/>
    <n v="5"/>
  </r>
  <r>
    <x v="69"/>
    <x v="1"/>
    <b v="0"/>
    <x v="145"/>
    <n v="5"/>
  </r>
  <r>
    <x v="78"/>
    <x v="1"/>
    <b v="0"/>
    <x v="145"/>
    <n v="5"/>
  </r>
  <r>
    <x v="76"/>
    <x v="1"/>
    <b v="0"/>
    <x v="145"/>
    <n v="5"/>
  </r>
  <r>
    <x v="70"/>
    <x v="1"/>
    <b v="0"/>
    <x v="145"/>
    <n v="5"/>
  </r>
  <r>
    <x v="72"/>
    <x v="1"/>
    <b v="0"/>
    <x v="145"/>
    <n v="5"/>
  </r>
  <r>
    <x v="40"/>
    <x v="1"/>
    <b v="0"/>
    <x v="145"/>
    <n v="5"/>
  </r>
  <r>
    <x v="18"/>
    <x v="1"/>
    <b v="0"/>
    <x v="145"/>
    <n v="5"/>
  </r>
  <r>
    <x v="41"/>
    <x v="1"/>
    <b v="0"/>
    <x v="145"/>
    <n v="1E-3"/>
  </r>
  <r>
    <x v="79"/>
    <x v="1"/>
    <b v="0"/>
    <x v="145"/>
    <n v="5"/>
  </r>
  <r>
    <x v="73"/>
    <x v="1"/>
    <b v="0"/>
    <x v="145"/>
    <n v="5"/>
  </r>
  <r>
    <x v="23"/>
    <x v="1"/>
    <b v="0"/>
    <x v="145"/>
    <n v="5"/>
  </r>
  <r>
    <x v="44"/>
    <x v="1"/>
    <b v="0"/>
    <x v="145"/>
    <n v="5"/>
  </r>
  <r>
    <x v="39"/>
    <x v="1"/>
    <b v="0"/>
    <x v="145"/>
    <n v="5"/>
  </r>
  <r>
    <x v="75"/>
    <x v="1"/>
    <b v="0"/>
    <x v="145"/>
    <n v="5"/>
  </r>
  <r>
    <x v="80"/>
    <x v="1"/>
    <b v="0"/>
    <x v="145"/>
    <n v="5"/>
  </r>
  <r>
    <x v="15"/>
    <x v="2"/>
    <b v="0"/>
    <x v="145"/>
    <n v="31.909999999999997"/>
  </r>
  <r>
    <x v="0"/>
    <x v="0"/>
    <b v="0"/>
    <x v="146"/>
    <n v="-45.96"/>
  </r>
  <r>
    <x v="1"/>
    <x v="0"/>
    <b v="0"/>
    <x v="146"/>
    <n v="-20.170000000000002"/>
  </r>
  <r>
    <x v="13"/>
    <x v="0"/>
    <b v="0"/>
    <x v="146"/>
    <n v="-2.4900000000000002"/>
  </r>
  <r>
    <x v="20"/>
    <x v="0"/>
    <b v="0"/>
    <x v="146"/>
    <n v="-5"/>
  </r>
  <r>
    <x v="12"/>
    <x v="1"/>
    <b v="0"/>
    <x v="146"/>
    <n v="5"/>
  </r>
  <r>
    <x v="69"/>
    <x v="1"/>
    <b v="0"/>
    <x v="146"/>
    <n v="5"/>
  </r>
  <r>
    <x v="76"/>
    <x v="1"/>
    <b v="0"/>
    <x v="146"/>
    <n v="5"/>
  </r>
  <r>
    <x v="70"/>
    <x v="1"/>
    <b v="0"/>
    <x v="146"/>
    <n v="5"/>
  </r>
  <r>
    <x v="72"/>
    <x v="1"/>
    <b v="0"/>
    <x v="146"/>
    <n v="5"/>
  </r>
  <r>
    <x v="57"/>
    <x v="1"/>
    <b v="0"/>
    <x v="146"/>
    <n v="5"/>
  </r>
  <r>
    <x v="40"/>
    <x v="1"/>
    <b v="0"/>
    <x v="146"/>
    <n v="5"/>
  </r>
  <r>
    <x v="18"/>
    <x v="1"/>
    <b v="0"/>
    <x v="146"/>
    <n v="5"/>
  </r>
  <r>
    <x v="41"/>
    <x v="1"/>
    <b v="0"/>
    <x v="146"/>
    <n v="1E-3"/>
  </r>
  <r>
    <x v="79"/>
    <x v="1"/>
    <b v="0"/>
    <x v="146"/>
    <n v="5"/>
  </r>
  <r>
    <x v="73"/>
    <x v="1"/>
    <b v="0"/>
    <x v="146"/>
    <n v="5"/>
  </r>
  <r>
    <x v="23"/>
    <x v="1"/>
    <b v="0"/>
    <x v="146"/>
    <n v="5"/>
  </r>
  <r>
    <x v="44"/>
    <x v="1"/>
    <b v="0"/>
    <x v="146"/>
    <n v="5"/>
  </r>
  <r>
    <x v="39"/>
    <x v="1"/>
    <b v="0"/>
    <x v="146"/>
    <n v="5"/>
  </r>
  <r>
    <x v="75"/>
    <x v="1"/>
    <b v="0"/>
    <x v="146"/>
    <n v="5"/>
  </r>
  <r>
    <x v="80"/>
    <x v="1"/>
    <b v="0"/>
    <x v="146"/>
    <n v="5"/>
  </r>
  <r>
    <x v="15"/>
    <x v="2"/>
    <b v="0"/>
    <x v="146"/>
    <n v="19.309999999999999"/>
  </r>
  <r>
    <x v="0"/>
    <x v="0"/>
    <b v="0"/>
    <x v="147"/>
    <n v="-57.45"/>
  </r>
  <r>
    <x v="16"/>
    <x v="0"/>
    <b v="0"/>
    <x v="147"/>
    <n v="-2.5"/>
  </r>
  <r>
    <x v="1"/>
    <x v="0"/>
    <b v="0"/>
    <x v="147"/>
    <n v="-18.87"/>
  </r>
  <r>
    <x v="13"/>
    <x v="0"/>
    <b v="0"/>
    <x v="147"/>
    <n v="-25"/>
  </r>
  <r>
    <x v="12"/>
    <x v="1"/>
    <b v="0"/>
    <x v="147"/>
    <n v="5"/>
  </r>
  <r>
    <x v="69"/>
    <x v="1"/>
    <b v="0"/>
    <x v="147"/>
    <n v="5"/>
  </r>
  <r>
    <x v="78"/>
    <x v="1"/>
    <b v="0"/>
    <x v="147"/>
    <n v="5"/>
  </r>
  <r>
    <x v="76"/>
    <x v="1"/>
    <b v="0"/>
    <x v="147"/>
    <n v="5"/>
  </r>
  <r>
    <x v="70"/>
    <x v="1"/>
    <b v="0"/>
    <x v="147"/>
    <n v="5"/>
  </r>
  <r>
    <x v="71"/>
    <x v="1"/>
    <b v="0"/>
    <x v="147"/>
    <n v="5"/>
  </r>
  <r>
    <x v="72"/>
    <x v="1"/>
    <b v="0"/>
    <x v="147"/>
    <n v="5"/>
  </r>
  <r>
    <x v="57"/>
    <x v="1"/>
    <b v="0"/>
    <x v="147"/>
    <n v="5"/>
  </r>
  <r>
    <x v="40"/>
    <x v="1"/>
    <b v="0"/>
    <x v="147"/>
    <n v="5"/>
  </r>
  <r>
    <x v="18"/>
    <x v="1"/>
    <b v="0"/>
    <x v="147"/>
    <n v="5"/>
  </r>
  <r>
    <x v="41"/>
    <x v="1"/>
    <b v="0"/>
    <x v="147"/>
    <n v="1E-3"/>
  </r>
  <r>
    <x v="79"/>
    <x v="1"/>
    <b v="0"/>
    <x v="147"/>
    <n v="5"/>
  </r>
  <r>
    <x v="73"/>
    <x v="1"/>
    <b v="0"/>
    <x v="147"/>
    <n v="5"/>
  </r>
  <r>
    <x v="23"/>
    <x v="1"/>
    <b v="0"/>
    <x v="147"/>
    <n v="5"/>
  </r>
  <r>
    <x v="44"/>
    <x v="1"/>
    <b v="0"/>
    <x v="147"/>
    <n v="5"/>
  </r>
  <r>
    <x v="39"/>
    <x v="1"/>
    <b v="0"/>
    <x v="147"/>
    <n v="5"/>
  </r>
  <r>
    <x v="75"/>
    <x v="1"/>
    <b v="0"/>
    <x v="147"/>
    <n v="5"/>
  </r>
  <r>
    <x v="80"/>
    <x v="1"/>
    <b v="0"/>
    <x v="147"/>
    <n v="5"/>
  </r>
  <r>
    <x v="15"/>
    <x v="2"/>
    <b v="0"/>
    <x v="147"/>
    <n v="18.5"/>
  </r>
  <r>
    <x v="0"/>
    <x v="0"/>
    <b v="0"/>
    <x v="148"/>
    <n v="-68.88"/>
  </r>
  <r>
    <x v="1"/>
    <x v="0"/>
    <b v="0"/>
    <x v="148"/>
    <n v="-25.540000000000003"/>
  </r>
  <r>
    <x v="20"/>
    <x v="0"/>
    <b v="0"/>
    <x v="148"/>
    <n v="-2.76"/>
  </r>
  <r>
    <x v="12"/>
    <x v="1"/>
    <b v="0"/>
    <x v="148"/>
    <n v="5"/>
  </r>
  <r>
    <x v="69"/>
    <x v="1"/>
    <b v="0"/>
    <x v="148"/>
    <n v="5"/>
  </r>
  <r>
    <x v="78"/>
    <x v="1"/>
    <b v="0"/>
    <x v="148"/>
    <n v="0"/>
  </r>
  <r>
    <x v="76"/>
    <x v="1"/>
    <b v="0"/>
    <x v="148"/>
    <n v="5"/>
  </r>
  <r>
    <x v="70"/>
    <x v="1"/>
    <b v="0"/>
    <x v="148"/>
    <n v="5"/>
  </r>
  <r>
    <x v="71"/>
    <x v="1"/>
    <b v="0"/>
    <x v="148"/>
    <n v="5"/>
  </r>
  <r>
    <x v="72"/>
    <x v="1"/>
    <b v="0"/>
    <x v="148"/>
    <n v="5"/>
  </r>
  <r>
    <x v="57"/>
    <x v="1"/>
    <b v="0"/>
    <x v="148"/>
    <n v="5"/>
  </r>
  <r>
    <x v="40"/>
    <x v="1"/>
    <b v="0"/>
    <x v="148"/>
    <n v="5"/>
  </r>
  <r>
    <x v="18"/>
    <x v="1"/>
    <b v="0"/>
    <x v="148"/>
    <n v="5"/>
  </r>
  <r>
    <x v="41"/>
    <x v="1"/>
    <b v="0"/>
    <x v="148"/>
    <n v="1E-3"/>
  </r>
  <r>
    <x v="79"/>
    <x v="1"/>
    <b v="0"/>
    <x v="148"/>
    <n v="5"/>
  </r>
  <r>
    <x v="73"/>
    <x v="1"/>
    <b v="0"/>
    <x v="148"/>
    <n v="5"/>
  </r>
  <r>
    <x v="23"/>
    <x v="1"/>
    <b v="0"/>
    <x v="148"/>
    <n v="5"/>
  </r>
  <r>
    <x v="44"/>
    <x v="1"/>
    <b v="0"/>
    <x v="148"/>
    <n v="0"/>
  </r>
  <r>
    <x v="39"/>
    <x v="1"/>
    <b v="0"/>
    <x v="148"/>
    <n v="5"/>
  </r>
  <r>
    <x v="75"/>
    <x v="1"/>
    <b v="0"/>
    <x v="148"/>
    <n v="5"/>
  </r>
  <r>
    <x v="80"/>
    <x v="1"/>
    <b v="0"/>
    <x v="148"/>
    <n v="5"/>
  </r>
  <r>
    <x v="15"/>
    <x v="2"/>
    <b v="0"/>
    <x v="148"/>
    <n v="17.700000000000003"/>
  </r>
  <r>
    <x v="0"/>
    <x v="0"/>
    <b v="0"/>
    <x v="149"/>
    <n v="-57.45"/>
  </r>
  <r>
    <x v="16"/>
    <x v="0"/>
    <b v="0"/>
    <x v="149"/>
    <n v="-10"/>
  </r>
  <r>
    <x v="1"/>
    <x v="0"/>
    <b v="0"/>
    <x v="149"/>
    <n v="-27.26"/>
  </r>
  <r>
    <x v="13"/>
    <x v="0"/>
    <b v="0"/>
    <x v="149"/>
    <n v="-5"/>
  </r>
  <r>
    <x v="20"/>
    <x v="0"/>
    <b v="0"/>
    <x v="149"/>
    <n v="-2.76"/>
  </r>
  <r>
    <x v="12"/>
    <x v="1"/>
    <b v="0"/>
    <x v="149"/>
    <n v="5"/>
  </r>
  <r>
    <x v="69"/>
    <x v="1"/>
    <b v="0"/>
    <x v="149"/>
    <n v="5"/>
  </r>
  <r>
    <x v="76"/>
    <x v="1"/>
    <b v="0"/>
    <x v="149"/>
    <n v="5"/>
  </r>
  <r>
    <x v="70"/>
    <x v="1"/>
    <b v="0"/>
    <x v="149"/>
    <n v="5"/>
  </r>
  <r>
    <x v="71"/>
    <x v="1"/>
    <b v="0"/>
    <x v="149"/>
    <n v="5"/>
  </r>
  <r>
    <x v="72"/>
    <x v="1"/>
    <b v="0"/>
    <x v="149"/>
    <n v="5"/>
  </r>
  <r>
    <x v="57"/>
    <x v="1"/>
    <b v="0"/>
    <x v="149"/>
    <n v="5"/>
  </r>
  <r>
    <x v="40"/>
    <x v="1"/>
    <b v="0"/>
    <x v="149"/>
    <n v="5"/>
  </r>
  <r>
    <x v="18"/>
    <x v="1"/>
    <b v="0"/>
    <x v="149"/>
    <n v="0"/>
  </r>
  <r>
    <x v="41"/>
    <x v="1"/>
    <b v="0"/>
    <x v="149"/>
    <n v="1E-3"/>
  </r>
  <r>
    <x v="79"/>
    <x v="1"/>
    <b v="0"/>
    <x v="149"/>
    <n v="5"/>
  </r>
  <r>
    <x v="73"/>
    <x v="1"/>
    <b v="0"/>
    <x v="149"/>
    <n v="5"/>
  </r>
  <r>
    <x v="23"/>
    <x v="1"/>
    <b v="0"/>
    <x v="149"/>
    <n v="5"/>
  </r>
  <r>
    <x v="44"/>
    <x v="1"/>
    <b v="0"/>
    <x v="149"/>
    <n v="5"/>
  </r>
  <r>
    <x v="39"/>
    <x v="1"/>
    <b v="0"/>
    <x v="149"/>
    <n v="5"/>
  </r>
  <r>
    <x v="75"/>
    <x v="1"/>
    <b v="0"/>
    <x v="149"/>
    <n v="5"/>
  </r>
  <r>
    <x v="80"/>
    <x v="1"/>
    <b v="0"/>
    <x v="149"/>
    <n v="5"/>
  </r>
  <r>
    <x v="15"/>
    <x v="2"/>
    <b v="0"/>
    <x v="149"/>
    <n v="13.08"/>
  </r>
  <r>
    <x v="0"/>
    <x v="0"/>
    <b v="0"/>
    <x v="150"/>
    <n v="-57.45"/>
  </r>
  <r>
    <x v="16"/>
    <x v="0"/>
    <b v="0"/>
    <x v="150"/>
    <n v="-2"/>
  </r>
  <r>
    <x v="1"/>
    <x v="0"/>
    <b v="0"/>
    <x v="150"/>
    <n v="-39.240000000000009"/>
  </r>
  <r>
    <x v="13"/>
    <x v="0"/>
    <b v="0"/>
    <x v="150"/>
    <n v="-2.4900000000000002"/>
  </r>
  <r>
    <x v="20"/>
    <x v="0"/>
    <b v="0"/>
    <x v="150"/>
    <n v="-14.99"/>
  </r>
  <r>
    <x v="12"/>
    <x v="1"/>
    <b v="0"/>
    <x v="150"/>
    <n v="5"/>
  </r>
  <r>
    <x v="69"/>
    <x v="1"/>
    <b v="0"/>
    <x v="150"/>
    <n v="5"/>
  </r>
  <r>
    <x v="76"/>
    <x v="1"/>
    <b v="0"/>
    <x v="150"/>
    <n v="5"/>
  </r>
  <r>
    <x v="70"/>
    <x v="1"/>
    <b v="0"/>
    <x v="150"/>
    <n v="5"/>
  </r>
  <r>
    <x v="71"/>
    <x v="1"/>
    <b v="0"/>
    <x v="150"/>
    <n v="5"/>
  </r>
  <r>
    <x v="72"/>
    <x v="1"/>
    <b v="0"/>
    <x v="150"/>
    <n v="5"/>
  </r>
  <r>
    <x v="32"/>
    <x v="1"/>
    <b v="0"/>
    <x v="150"/>
    <n v="5"/>
  </r>
  <r>
    <x v="57"/>
    <x v="1"/>
    <b v="0"/>
    <x v="150"/>
    <n v="5"/>
  </r>
  <r>
    <x v="40"/>
    <x v="1"/>
    <b v="0"/>
    <x v="150"/>
    <n v="5"/>
  </r>
  <r>
    <x v="18"/>
    <x v="1"/>
    <b v="0"/>
    <x v="150"/>
    <n v="5"/>
  </r>
  <r>
    <x v="41"/>
    <x v="1"/>
    <b v="0"/>
    <x v="150"/>
    <n v="1E-3"/>
  </r>
  <r>
    <x v="79"/>
    <x v="1"/>
    <b v="0"/>
    <x v="150"/>
    <n v="5"/>
  </r>
  <r>
    <x v="73"/>
    <x v="1"/>
    <b v="0"/>
    <x v="150"/>
    <n v="5"/>
  </r>
  <r>
    <x v="23"/>
    <x v="1"/>
    <b v="0"/>
    <x v="150"/>
    <n v="5"/>
  </r>
  <r>
    <x v="44"/>
    <x v="1"/>
    <b v="0"/>
    <x v="150"/>
    <n v="5"/>
  </r>
  <r>
    <x v="39"/>
    <x v="1"/>
    <b v="0"/>
    <x v="150"/>
    <n v="5"/>
  </r>
  <r>
    <x v="75"/>
    <x v="1"/>
    <b v="0"/>
    <x v="150"/>
    <n v="5"/>
  </r>
  <r>
    <x v="80"/>
    <x v="1"/>
    <b v="0"/>
    <x v="150"/>
    <n v="5"/>
  </r>
  <r>
    <x v="15"/>
    <x v="2"/>
    <b v="0"/>
    <x v="150"/>
    <n v="26.15"/>
  </r>
  <r>
    <x v="0"/>
    <x v="0"/>
    <b v="0"/>
    <x v="151"/>
    <n v="-46.2"/>
  </r>
  <r>
    <x v="16"/>
    <x v="0"/>
    <b v="0"/>
    <x v="151"/>
    <n v="-15.47"/>
  </r>
  <r>
    <x v="1"/>
    <x v="0"/>
    <b v="0"/>
    <x v="151"/>
    <n v="-18.87"/>
  </r>
  <r>
    <x v="13"/>
    <x v="0"/>
    <b v="0"/>
    <x v="151"/>
    <n v="-19"/>
  </r>
  <r>
    <x v="12"/>
    <x v="1"/>
    <b v="0"/>
    <x v="151"/>
    <n v="5"/>
  </r>
  <r>
    <x v="69"/>
    <x v="1"/>
    <b v="0"/>
    <x v="151"/>
    <n v="5"/>
  </r>
  <r>
    <x v="76"/>
    <x v="1"/>
    <b v="0"/>
    <x v="151"/>
    <n v="5"/>
  </r>
  <r>
    <x v="70"/>
    <x v="1"/>
    <b v="0"/>
    <x v="151"/>
    <n v="5"/>
  </r>
  <r>
    <x v="71"/>
    <x v="1"/>
    <b v="0"/>
    <x v="151"/>
    <n v="5"/>
  </r>
  <r>
    <x v="72"/>
    <x v="1"/>
    <b v="0"/>
    <x v="151"/>
    <n v="5"/>
  </r>
  <r>
    <x v="32"/>
    <x v="1"/>
    <b v="0"/>
    <x v="151"/>
    <n v="5"/>
  </r>
  <r>
    <x v="57"/>
    <x v="1"/>
    <b v="0"/>
    <x v="151"/>
    <n v="5"/>
  </r>
  <r>
    <x v="40"/>
    <x v="1"/>
    <b v="0"/>
    <x v="151"/>
    <n v="5"/>
  </r>
  <r>
    <x v="18"/>
    <x v="1"/>
    <b v="0"/>
    <x v="151"/>
    <n v="5"/>
  </r>
  <r>
    <x v="41"/>
    <x v="1"/>
    <b v="0"/>
    <x v="151"/>
    <n v="1E-3"/>
  </r>
  <r>
    <x v="79"/>
    <x v="1"/>
    <b v="0"/>
    <x v="151"/>
    <n v="5"/>
  </r>
  <r>
    <x v="73"/>
    <x v="1"/>
    <b v="0"/>
    <x v="151"/>
    <n v="5"/>
  </r>
  <r>
    <x v="23"/>
    <x v="1"/>
    <b v="0"/>
    <x v="151"/>
    <n v="5"/>
  </r>
  <r>
    <x v="44"/>
    <x v="1"/>
    <b v="0"/>
    <x v="151"/>
    <n v="5"/>
  </r>
  <r>
    <x v="39"/>
    <x v="1"/>
    <b v="0"/>
    <x v="151"/>
    <n v="5"/>
  </r>
  <r>
    <x v="75"/>
    <x v="1"/>
    <b v="0"/>
    <x v="151"/>
    <n v="5"/>
  </r>
  <r>
    <x v="80"/>
    <x v="1"/>
    <b v="0"/>
    <x v="151"/>
    <n v="5"/>
  </r>
  <r>
    <x v="15"/>
    <x v="2"/>
    <b v="0"/>
    <x v="151"/>
    <n v="19.079999999999998"/>
  </r>
  <r>
    <x v="0"/>
    <x v="0"/>
    <b v="0"/>
    <x v="152"/>
    <n v="-49.95"/>
  </r>
  <r>
    <x v="1"/>
    <x v="0"/>
    <b v="0"/>
    <x v="152"/>
    <n v="-30.39"/>
  </r>
  <r>
    <x v="13"/>
    <x v="0"/>
    <b v="0"/>
    <x v="152"/>
    <n v="-3.17"/>
  </r>
  <r>
    <x v="20"/>
    <x v="0"/>
    <b v="0"/>
    <x v="152"/>
    <n v="-2.79"/>
  </r>
  <r>
    <x v="12"/>
    <x v="1"/>
    <b v="0"/>
    <x v="152"/>
    <n v="5"/>
  </r>
  <r>
    <x v="69"/>
    <x v="1"/>
    <b v="0"/>
    <x v="152"/>
    <n v="5"/>
  </r>
  <r>
    <x v="76"/>
    <x v="1"/>
    <b v="0"/>
    <x v="152"/>
    <n v="5"/>
  </r>
  <r>
    <x v="70"/>
    <x v="1"/>
    <b v="0"/>
    <x v="152"/>
    <n v="5"/>
  </r>
  <r>
    <x v="71"/>
    <x v="1"/>
    <b v="0"/>
    <x v="152"/>
    <n v="5"/>
  </r>
  <r>
    <x v="72"/>
    <x v="1"/>
    <b v="0"/>
    <x v="152"/>
    <n v="5"/>
  </r>
  <r>
    <x v="32"/>
    <x v="1"/>
    <b v="0"/>
    <x v="152"/>
    <n v="5"/>
  </r>
  <r>
    <x v="57"/>
    <x v="1"/>
    <b v="0"/>
    <x v="152"/>
    <n v="5"/>
  </r>
  <r>
    <x v="40"/>
    <x v="1"/>
    <b v="0"/>
    <x v="152"/>
    <n v="5"/>
  </r>
  <r>
    <x v="18"/>
    <x v="1"/>
    <b v="0"/>
    <x v="152"/>
    <n v="5"/>
  </r>
  <r>
    <x v="41"/>
    <x v="1"/>
    <b v="0"/>
    <x v="152"/>
    <n v="1E-3"/>
  </r>
  <r>
    <x v="79"/>
    <x v="1"/>
    <b v="0"/>
    <x v="152"/>
    <n v="5"/>
  </r>
  <r>
    <x v="73"/>
    <x v="1"/>
    <b v="0"/>
    <x v="152"/>
    <n v="5"/>
  </r>
  <r>
    <x v="23"/>
    <x v="1"/>
    <b v="0"/>
    <x v="152"/>
    <n v="5"/>
  </r>
  <r>
    <x v="44"/>
    <x v="1"/>
    <b v="0"/>
    <x v="152"/>
    <n v="5"/>
  </r>
  <r>
    <x v="39"/>
    <x v="1"/>
    <b v="0"/>
    <x v="152"/>
    <n v="5"/>
  </r>
  <r>
    <x v="75"/>
    <x v="1"/>
    <b v="0"/>
    <x v="152"/>
    <n v="5"/>
  </r>
  <r>
    <x v="80"/>
    <x v="1"/>
    <b v="0"/>
    <x v="152"/>
    <n v="5"/>
  </r>
  <r>
    <x v="15"/>
    <x v="2"/>
    <b v="0"/>
    <x v="152"/>
    <n v="17.260000000000002"/>
  </r>
  <r>
    <x v="0"/>
    <x v="0"/>
    <b v="0"/>
    <x v="153"/>
    <n v="-49.900000000000006"/>
  </r>
  <r>
    <x v="16"/>
    <x v="0"/>
    <b v="0"/>
    <x v="153"/>
    <n v="-2.4900000000000002"/>
  </r>
  <r>
    <x v="1"/>
    <x v="0"/>
    <b v="0"/>
    <x v="153"/>
    <n v="-32.03"/>
  </r>
  <r>
    <x v="13"/>
    <x v="0"/>
    <b v="0"/>
    <x v="153"/>
    <n v="-4.78"/>
  </r>
  <r>
    <x v="12"/>
    <x v="1"/>
    <b v="0"/>
    <x v="153"/>
    <n v="5"/>
  </r>
  <r>
    <x v="69"/>
    <x v="1"/>
    <b v="0"/>
    <x v="153"/>
    <n v="5"/>
  </r>
  <r>
    <x v="76"/>
    <x v="1"/>
    <b v="0"/>
    <x v="153"/>
    <n v="5"/>
  </r>
  <r>
    <x v="70"/>
    <x v="1"/>
    <b v="0"/>
    <x v="153"/>
    <n v="5"/>
  </r>
  <r>
    <x v="71"/>
    <x v="1"/>
    <b v="0"/>
    <x v="153"/>
    <n v="5"/>
  </r>
  <r>
    <x v="72"/>
    <x v="1"/>
    <b v="0"/>
    <x v="153"/>
    <n v="5"/>
  </r>
  <r>
    <x v="32"/>
    <x v="1"/>
    <b v="0"/>
    <x v="153"/>
    <n v="5"/>
  </r>
  <r>
    <x v="57"/>
    <x v="1"/>
    <b v="0"/>
    <x v="153"/>
    <n v="5"/>
  </r>
  <r>
    <x v="40"/>
    <x v="1"/>
    <b v="0"/>
    <x v="153"/>
    <n v="5"/>
  </r>
  <r>
    <x v="18"/>
    <x v="1"/>
    <b v="0"/>
    <x v="153"/>
    <n v="5"/>
  </r>
  <r>
    <x v="41"/>
    <x v="1"/>
    <b v="0"/>
    <x v="153"/>
    <n v="1E-3"/>
  </r>
  <r>
    <x v="79"/>
    <x v="1"/>
    <b v="0"/>
    <x v="153"/>
    <n v="5"/>
  </r>
  <r>
    <x v="73"/>
    <x v="1"/>
    <b v="0"/>
    <x v="153"/>
    <n v="5"/>
  </r>
  <r>
    <x v="23"/>
    <x v="1"/>
    <b v="0"/>
    <x v="153"/>
    <n v="5"/>
  </r>
  <r>
    <x v="44"/>
    <x v="1"/>
    <b v="0"/>
    <x v="153"/>
    <n v="5"/>
  </r>
  <r>
    <x v="39"/>
    <x v="1"/>
    <b v="0"/>
    <x v="153"/>
    <n v="5"/>
  </r>
  <r>
    <x v="75"/>
    <x v="1"/>
    <b v="0"/>
    <x v="153"/>
    <n v="5"/>
  </r>
  <r>
    <x v="80"/>
    <x v="1"/>
    <b v="0"/>
    <x v="153"/>
    <n v="5"/>
  </r>
  <r>
    <x v="15"/>
    <x v="2"/>
    <b v="0"/>
    <x v="153"/>
    <n v="18.900000000000002"/>
  </r>
  <r>
    <x v="0"/>
    <x v="0"/>
    <b v="0"/>
    <x v="154"/>
    <n v="-59.94"/>
  </r>
  <r>
    <x v="16"/>
    <x v="0"/>
    <b v="0"/>
    <x v="154"/>
    <n v="-15"/>
  </r>
  <r>
    <x v="1"/>
    <x v="0"/>
    <b v="0"/>
    <x v="154"/>
    <n v="-26.66"/>
  </r>
  <r>
    <x v="13"/>
    <x v="0"/>
    <b v="0"/>
    <x v="154"/>
    <n v="-4.9999999999999991"/>
  </r>
  <r>
    <x v="12"/>
    <x v="1"/>
    <b v="0"/>
    <x v="154"/>
    <n v="5"/>
  </r>
  <r>
    <x v="69"/>
    <x v="1"/>
    <b v="0"/>
    <x v="154"/>
    <n v="5"/>
  </r>
  <r>
    <x v="76"/>
    <x v="1"/>
    <b v="0"/>
    <x v="154"/>
    <n v="5"/>
  </r>
  <r>
    <x v="70"/>
    <x v="1"/>
    <b v="0"/>
    <x v="154"/>
    <n v="5"/>
  </r>
  <r>
    <x v="71"/>
    <x v="1"/>
    <b v="0"/>
    <x v="154"/>
    <n v="5"/>
  </r>
  <r>
    <x v="72"/>
    <x v="1"/>
    <b v="0"/>
    <x v="154"/>
    <n v="5"/>
  </r>
  <r>
    <x v="32"/>
    <x v="1"/>
    <b v="0"/>
    <x v="154"/>
    <n v="5"/>
  </r>
  <r>
    <x v="57"/>
    <x v="1"/>
    <b v="0"/>
    <x v="154"/>
    <n v="5"/>
  </r>
  <r>
    <x v="40"/>
    <x v="1"/>
    <b v="0"/>
    <x v="154"/>
    <n v="5"/>
  </r>
  <r>
    <x v="18"/>
    <x v="1"/>
    <b v="0"/>
    <x v="154"/>
    <n v="5"/>
  </r>
  <r>
    <x v="41"/>
    <x v="1"/>
    <b v="0"/>
    <x v="154"/>
    <n v="1E-3"/>
  </r>
  <r>
    <x v="79"/>
    <x v="1"/>
    <b v="0"/>
    <x v="154"/>
    <n v="5"/>
  </r>
  <r>
    <x v="73"/>
    <x v="1"/>
    <b v="0"/>
    <x v="154"/>
    <n v="5"/>
  </r>
  <r>
    <x v="23"/>
    <x v="1"/>
    <b v="0"/>
    <x v="154"/>
    <n v="5"/>
  </r>
  <r>
    <x v="44"/>
    <x v="1"/>
    <b v="0"/>
    <x v="154"/>
    <n v="5"/>
  </r>
  <r>
    <x v="39"/>
    <x v="1"/>
    <b v="0"/>
    <x v="154"/>
    <n v="5"/>
  </r>
  <r>
    <x v="75"/>
    <x v="1"/>
    <b v="0"/>
    <x v="154"/>
    <n v="5"/>
  </r>
  <r>
    <x v="80"/>
    <x v="1"/>
    <b v="0"/>
    <x v="154"/>
    <n v="5"/>
  </r>
  <r>
    <x v="15"/>
    <x v="2"/>
    <b v="0"/>
    <x v="154"/>
    <n v="19.929999999999996"/>
  </r>
  <r>
    <x v="0"/>
    <x v="0"/>
    <b v="0"/>
    <x v="155"/>
    <n v="-49.95"/>
  </r>
  <r>
    <x v="16"/>
    <x v="0"/>
    <b v="0"/>
    <x v="155"/>
    <n v="-4.74"/>
  </r>
  <r>
    <x v="1"/>
    <x v="0"/>
    <b v="0"/>
    <x v="155"/>
    <n v="-26.66"/>
  </r>
  <r>
    <x v="13"/>
    <x v="0"/>
    <b v="0"/>
    <x v="155"/>
    <n v="-9.5"/>
  </r>
  <r>
    <x v="20"/>
    <x v="0"/>
    <b v="0"/>
    <x v="155"/>
    <n v="-2.76"/>
  </r>
  <r>
    <x v="12"/>
    <x v="1"/>
    <b v="0"/>
    <x v="155"/>
    <n v="5"/>
  </r>
  <r>
    <x v="69"/>
    <x v="1"/>
    <b v="0"/>
    <x v="155"/>
    <n v="5"/>
  </r>
  <r>
    <x v="76"/>
    <x v="1"/>
    <b v="0"/>
    <x v="155"/>
    <n v="5"/>
  </r>
  <r>
    <x v="70"/>
    <x v="1"/>
    <b v="0"/>
    <x v="155"/>
    <n v="5"/>
  </r>
  <r>
    <x v="71"/>
    <x v="1"/>
    <b v="0"/>
    <x v="155"/>
    <n v="5"/>
  </r>
  <r>
    <x v="72"/>
    <x v="1"/>
    <b v="0"/>
    <x v="155"/>
    <n v="5"/>
  </r>
  <r>
    <x v="32"/>
    <x v="1"/>
    <b v="0"/>
    <x v="155"/>
    <n v="5"/>
  </r>
  <r>
    <x v="57"/>
    <x v="1"/>
    <b v="0"/>
    <x v="155"/>
    <n v="5"/>
  </r>
  <r>
    <x v="40"/>
    <x v="1"/>
    <b v="0"/>
    <x v="155"/>
    <n v="5"/>
  </r>
  <r>
    <x v="18"/>
    <x v="1"/>
    <b v="0"/>
    <x v="155"/>
    <n v="5"/>
  </r>
  <r>
    <x v="41"/>
    <x v="1"/>
    <b v="0"/>
    <x v="155"/>
    <n v="1E-3"/>
  </r>
  <r>
    <x v="79"/>
    <x v="1"/>
    <b v="0"/>
    <x v="155"/>
    <n v="5"/>
  </r>
  <r>
    <x v="73"/>
    <x v="1"/>
    <b v="0"/>
    <x v="155"/>
    <n v="5"/>
  </r>
  <r>
    <x v="23"/>
    <x v="1"/>
    <b v="0"/>
    <x v="155"/>
    <n v="5"/>
  </r>
  <r>
    <x v="44"/>
    <x v="1"/>
    <b v="0"/>
    <x v="155"/>
    <n v="5"/>
  </r>
  <r>
    <x v="39"/>
    <x v="1"/>
    <b v="0"/>
    <x v="155"/>
    <n v="5"/>
  </r>
  <r>
    <x v="75"/>
    <x v="1"/>
    <b v="0"/>
    <x v="155"/>
    <n v="5"/>
  </r>
  <r>
    <x v="80"/>
    <x v="1"/>
    <b v="0"/>
    <x v="155"/>
    <n v="5"/>
  </r>
  <r>
    <x v="15"/>
    <x v="2"/>
    <b v="0"/>
    <x v="155"/>
    <n v="15.23"/>
  </r>
  <r>
    <x v="0"/>
    <x v="0"/>
    <b v="0"/>
    <x v="156"/>
    <n v="-49.95"/>
  </r>
  <r>
    <x v="16"/>
    <x v="0"/>
    <b v="0"/>
    <x v="156"/>
    <n v="-2.4900000000000002"/>
  </r>
  <r>
    <x v="1"/>
    <x v="0"/>
    <b v="0"/>
    <x v="156"/>
    <n v="-19.37"/>
  </r>
  <r>
    <x v="13"/>
    <x v="0"/>
    <b v="0"/>
    <x v="156"/>
    <n v="-0.16129032258064516"/>
  </r>
  <r>
    <x v="20"/>
    <x v="0"/>
    <b v="0"/>
    <x v="156"/>
    <n v="-5"/>
  </r>
  <r>
    <x v="12"/>
    <x v="1"/>
    <b v="0"/>
    <x v="156"/>
    <n v="5"/>
  </r>
  <r>
    <x v="69"/>
    <x v="1"/>
    <b v="0"/>
    <x v="156"/>
    <n v="5"/>
  </r>
  <r>
    <x v="76"/>
    <x v="1"/>
    <b v="0"/>
    <x v="156"/>
    <n v="5"/>
  </r>
  <r>
    <x v="70"/>
    <x v="1"/>
    <b v="0"/>
    <x v="156"/>
    <n v="5"/>
  </r>
  <r>
    <x v="71"/>
    <x v="1"/>
    <b v="0"/>
    <x v="156"/>
    <n v="5"/>
  </r>
  <r>
    <x v="72"/>
    <x v="1"/>
    <b v="0"/>
    <x v="156"/>
    <n v="5"/>
  </r>
  <r>
    <x v="32"/>
    <x v="1"/>
    <b v="0"/>
    <x v="156"/>
    <n v="5"/>
  </r>
  <r>
    <x v="57"/>
    <x v="1"/>
    <b v="0"/>
    <x v="156"/>
    <n v="5"/>
  </r>
  <r>
    <x v="40"/>
    <x v="1"/>
    <b v="0"/>
    <x v="156"/>
    <n v="5"/>
  </r>
  <r>
    <x v="18"/>
    <x v="1"/>
    <b v="0"/>
    <x v="156"/>
    <n v="5"/>
  </r>
  <r>
    <x v="41"/>
    <x v="1"/>
    <b v="0"/>
    <x v="156"/>
    <n v="1E-3"/>
  </r>
  <r>
    <x v="79"/>
    <x v="1"/>
    <b v="0"/>
    <x v="156"/>
    <n v="5"/>
  </r>
  <r>
    <x v="73"/>
    <x v="1"/>
    <b v="0"/>
    <x v="156"/>
    <n v="5"/>
  </r>
  <r>
    <x v="23"/>
    <x v="1"/>
    <b v="0"/>
    <x v="156"/>
    <n v="5"/>
  </r>
  <r>
    <x v="44"/>
    <x v="1"/>
    <b v="0"/>
    <x v="156"/>
    <n v="5"/>
  </r>
  <r>
    <x v="39"/>
    <x v="1"/>
    <b v="0"/>
    <x v="156"/>
    <n v="5"/>
  </r>
  <r>
    <x v="75"/>
    <x v="1"/>
    <b v="0"/>
    <x v="156"/>
    <n v="5"/>
  </r>
  <r>
    <x v="80"/>
    <x v="1"/>
    <b v="0"/>
    <x v="156"/>
    <n v="5"/>
  </r>
  <r>
    <x v="15"/>
    <x v="2"/>
    <b v="0"/>
    <x v="156"/>
    <n v="16.690000000000001"/>
  </r>
  <r>
    <x v="0"/>
    <x v="0"/>
    <b v="0"/>
    <x v="157"/>
    <n v="-49.95"/>
  </r>
  <r>
    <x v="1"/>
    <x v="0"/>
    <b v="0"/>
    <x v="157"/>
    <n v="-26.66"/>
  </r>
  <r>
    <x v="13"/>
    <x v="0"/>
    <b v="0"/>
    <x v="157"/>
    <n v="-31.479999999999997"/>
  </r>
  <r>
    <x v="20"/>
    <x v="0"/>
    <b v="0"/>
    <x v="157"/>
    <n v="-2.5"/>
  </r>
  <r>
    <x v="12"/>
    <x v="1"/>
    <b v="0"/>
    <x v="157"/>
    <n v="5"/>
  </r>
  <r>
    <x v="69"/>
    <x v="1"/>
    <b v="0"/>
    <x v="157"/>
    <n v="5"/>
  </r>
  <r>
    <x v="76"/>
    <x v="1"/>
    <b v="0"/>
    <x v="157"/>
    <n v="5"/>
  </r>
  <r>
    <x v="70"/>
    <x v="1"/>
    <b v="0"/>
    <x v="157"/>
    <n v="5"/>
  </r>
  <r>
    <x v="71"/>
    <x v="1"/>
    <b v="0"/>
    <x v="157"/>
    <n v="5"/>
  </r>
  <r>
    <x v="72"/>
    <x v="1"/>
    <b v="0"/>
    <x v="157"/>
    <n v="5"/>
  </r>
  <r>
    <x v="32"/>
    <x v="1"/>
    <b v="0"/>
    <x v="157"/>
    <n v="5"/>
  </r>
  <r>
    <x v="57"/>
    <x v="1"/>
    <b v="0"/>
    <x v="157"/>
    <n v="5"/>
  </r>
  <r>
    <x v="40"/>
    <x v="1"/>
    <b v="0"/>
    <x v="157"/>
    <n v="5"/>
  </r>
  <r>
    <x v="18"/>
    <x v="1"/>
    <b v="0"/>
    <x v="157"/>
    <n v="5"/>
  </r>
  <r>
    <x v="41"/>
    <x v="1"/>
    <b v="0"/>
    <x v="157"/>
    <n v="1E-3"/>
  </r>
  <r>
    <x v="79"/>
    <x v="1"/>
    <b v="0"/>
    <x v="157"/>
    <n v="5"/>
  </r>
  <r>
    <x v="73"/>
    <x v="1"/>
    <b v="0"/>
    <x v="157"/>
    <n v="5"/>
  </r>
  <r>
    <x v="23"/>
    <x v="1"/>
    <b v="0"/>
    <x v="157"/>
    <n v="5"/>
  </r>
  <r>
    <x v="44"/>
    <x v="1"/>
    <b v="0"/>
    <x v="157"/>
    <n v="5"/>
  </r>
  <r>
    <x v="39"/>
    <x v="1"/>
    <b v="0"/>
    <x v="157"/>
    <n v="5"/>
  </r>
  <r>
    <x v="75"/>
    <x v="1"/>
    <b v="0"/>
    <x v="157"/>
    <n v="5"/>
  </r>
  <r>
    <x v="80"/>
    <x v="1"/>
    <b v="0"/>
    <x v="157"/>
    <n v="5"/>
  </r>
  <r>
    <x v="15"/>
    <x v="2"/>
    <b v="0"/>
    <x v="157"/>
    <n v="21.02"/>
  </r>
  <r>
    <x v="0"/>
    <x v="0"/>
    <b v="0"/>
    <x v="158"/>
    <n v="-59.94"/>
  </r>
  <r>
    <x v="1"/>
    <x v="0"/>
    <b v="0"/>
    <x v="158"/>
    <n v="-26.66"/>
  </r>
  <r>
    <x v="13"/>
    <x v="0"/>
    <b v="0"/>
    <x v="158"/>
    <n v="-3.17"/>
  </r>
  <r>
    <x v="12"/>
    <x v="1"/>
    <b v="0"/>
    <x v="158"/>
    <n v="5"/>
  </r>
  <r>
    <x v="69"/>
    <x v="1"/>
    <b v="0"/>
    <x v="158"/>
    <n v="5"/>
  </r>
  <r>
    <x v="76"/>
    <x v="1"/>
    <b v="0"/>
    <x v="158"/>
    <n v="5"/>
  </r>
  <r>
    <x v="70"/>
    <x v="1"/>
    <b v="0"/>
    <x v="158"/>
    <n v="5"/>
  </r>
  <r>
    <x v="71"/>
    <x v="1"/>
    <b v="0"/>
    <x v="158"/>
    <n v="5"/>
  </r>
  <r>
    <x v="72"/>
    <x v="1"/>
    <b v="0"/>
    <x v="158"/>
    <n v="5"/>
  </r>
  <r>
    <x v="32"/>
    <x v="1"/>
    <b v="0"/>
    <x v="158"/>
    <n v="5"/>
  </r>
  <r>
    <x v="57"/>
    <x v="1"/>
    <b v="0"/>
    <x v="158"/>
    <n v="5"/>
  </r>
  <r>
    <x v="40"/>
    <x v="1"/>
    <b v="0"/>
    <x v="158"/>
    <n v="5"/>
  </r>
  <r>
    <x v="18"/>
    <x v="1"/>
    <b v="0"/>
    <x v="158"/>
    <n v="0"/>
  </r>
  <r>
    <x v="41"/>
    <x v="1"/>
    <b v="0"/>
    <x v="158"/>
    <n v="1E-3"/>
  </r>
  <r>
    <x v="79"/>
    <x v="1"/>
    <b v="0"/>
    <x v="158"/>
    <n v="5"/>
  </r>
  <r>
    <x v="73"/>
    <x v="1"/>
    <b v="0"/>
    <x v="158"/>
    <n v="5"/>
  </r>
  <r>
    <x v="23"/>
    <x v="1"/>
    <b v="0"/>
    <x v="158"/>
    <n v="5"/>
  </r>
  <r>
    <x v="44"/>
    <x v="1"/>
    <b v="0"/>
    <x v="158"/>
    <n v="5"/>
  </r>
  <r>
    <x v="39"/>
    <x v="1"/>
    <b v="0"/>
    <x v="158"/>
    <n v="5"/>
  </r>
  <r>
    <x v="75"/>
    <x v="1"/>
    <b v="0"/>
    <x v="158"/>
    <n v="5"/>
  </r>
  <r>
    <x v="80"/>
    <x v="1"/>
    <b v="0"/>
    <x v="158"/>
    <n v="5"/>
  </r>
  <r>
    <x v="15"/>
    <x v="2"/>
    <b v="0"/>
    <x v="158"/>
    <n v="22"/>
  </r>
  <r>
    <x v="0"/>
    <x v="0"/>
    <b v="0"/>
    <x v="159"/>
    <n v="-49.95"/>
  </r>
  <r>
    <x v="16"/>
    <x v="0"/>
    <b v="0"/>
    <x v="159"/>
    <n v="-10.29"/>
  </r>
  <r>
    <x v="1"/>
    <x v="0"/>
    <b v="0"/>
    <x v="159"/>
    <n v="-26.66"/>
  </r>
  <r>
    <x v="13"/>
    <x v="0"/>
    <b v="0"/>
    <x v="159"/>
    <n v="-2.89"/>
  </r>
  <r>
    <x v="20"/>
    <x v="0"/>
    <b v="0"/>
    <x v="159"/>
    <n v="-7.08"/>
  </r>
  <r>
    <x v="12"/>
    <x v="1"/>
    <b v="0"/>
    <x v="159"/>
    <n v="5"/>
  </r>
  <r>
    <x v="69"/>
    <x v="1"/>
    <b v="0"/>
    <x v="159"/>
    <n v="5"/>
  </r>
  <r>
    <x v="76"/>
    <x v="1"/>
    <b v="0"/>
    <x v="159"/>
    <n v="5"/>
  </r>
  <r>
    <x v="70"/>
    <x v="1"/>
    <b v="0"/>
    <x v="159"/>
    <n v="5"/>
  </r>
  <r>
    <x v="71"/>
    <x v="1"/>
    <b v="0"/>
    <x v="159"/>
    <n v="5"/>
  </r>
  <r>
    <x v="72"/>
    <x v="1"/>
    <b v="0"/>
    <x v="159"/>
    <n v="5"/>
  </r>
  <r>
    <x v="32"/>
    <x v="1"/>
    <b v="0"/>
    <x v="159"/>
    <n v="5"/>
  </r>
  <r>
    <x v="57"/>
    <x v="1"/>
    <b v="0"/>
    <x v="159"/>
    <n v="5"/>
  </r>
  <r>
    <x v="40"/>
    <x v="1"/>
    <b v="0"/>
    <x v="159"/>
    <n v="5"/>
  </r>
  <r>
    <x v="18"/>
    <x v="1"/>
    <b v="0"/>
    <x v="159"/>
    <n v="5"/>
  </r>
  <r>
    <x v="41"/>
    <x v="1"/>
    <b v="0"/>
    <x v="159"/>
    <n v="1E-3"/>
  </r>
  <r>
    <x v="79"/>
    <x v="1"/>
    <b v="0"/>
    <x v="159"/>
    <n v="5"/>
  </r>
  <r>
    <x v="73"/>
    <x v="1"/>
    <b v="0"/>
    <x v="159"/>
    <n v="5"/>
  </r>
  <r>
    <x v="23"/>
    <x v="1"/>
    <b v="0"/>
    <x v="159"/>
    <n v="5"/>
  </r>
  <r>
    <x v="44"/>
    <x v="1"/>
    <b v="0"/>
    <x v="159"/>
    <n v="5"/>
  </r>
  <r>
    <x v="39"/>
    <x v="1"/>
    <b v="0"/>
    <x v="159"/>
    <n v="5"/>
  </r>
  <r>
    <x v="75"/>
    <x v="1"/>
    <b v="0"/>
    <x v="159"/>
    <n v="5"/>
  </r>
  <r>
    <x v="80"/>
    <x v="1"/>
    <b v="0"/>
    <x v="159"/>
    <n v="5"/>
  </r>
  <r>
    <x v="15"/>
    <x v="2"/>
    <b v="0"/>
    <x v="159"/>
    <n v="19.7"/>
  </r>
  <r>
    <x v="0"/>
    <x v="0"/>
    <b v="0"/>
    <x v="160"/>
    <n v="-47.55"/>
  </r>
  <r>
    <x v="1"/>
    <x v="0"/>
    <b v="0"/>
    <x v="160"/>
    <n v="-32.450000000000003"/>
  </r>
  <r>
    <x v="13"/>
    <x v="0"/>
    <b v="0"/>
    <x v="160"/>
    <n v="-27.49"/>
  </r>
  <r>
    <x v="12"/>
    <x v="1"/>
    <b v="0"/>
    <x v="160"/>
    <n v="5"/>
  </r>
  <r>
    <x v="69"/>
    <x v="1"/>
    <b v="0"/>
    <x v="160"/>
    <n v="5"/>
  </r>
  <r>
    <x v="76"/>
    <x v="1"/>
    <b v="0"/>
    <x v="160"/>
    <n v="5"/>
  </r>
  <r>
    <x v="70"/>
    <x v="1"/>
    <b v="0"/>
    <x v="160"/>
    <n v="5"/>
  </r>
  <r>
    <x v="71"/>
    <x v="1"/>
    <b v="0"/>
    <x v="160"/>
    <n v="5"/>
  </r>
  <r>
    <x v="72"/>
    <x v="1"/>
    <b v="0"/>
    <x v="160"/>
    <n v="5"/>
  </r>
  <r>
    <x v="32"/>
    <x v="1"/>
    <b v="0"/>
    <x v="160"/>
    <n v="5"/>
  </r>
  <r>
    <x v="57"/>
    <x v="1"/>
    <b v="0"/>
    <x v="160"/>
    <n v="5"/>
  </r>
  <r>
    <x v="40"/>
    <x v="1"/>
    <b v="0"/>
    <x v="160"/>
    <n v="5"/>
  </r>
  <r>
    <x v="18"/>
    <x v="1"/>
    <b v="0"/>
    <x v="160"/>
    <n v="5"/>
  </r>
  <r>
    <x v="41"/>
    <x v="1"/>
    <b v="0"/>
    <x v="160"/>
    <n v="1E-3"/>
  </r>
  <r>
    <x v="79"/>
    <x v="1"/>
    <b v="0"/>
    <x v="160"/>
    <n v="5"/>
  </r>
  <r>
    <x v="81"/>
    <x v="1"/>
    <b v="0"/>
    <x v="160"/>
    <n v="1E-3"/>
  </r>
  <r>
    <x v="73"/>
    <x v="1"/>
    <b v="0"/>
    <x v="160"/>
    <n v="5"/>
  </r>
  <r>
    <x v="23"/>
    <x v="1"/>
    <b v="0"/>
    <x v="160"/>
    <n v="5"/>
  </r>
  <r>
    <x v="44"/>
    <x v="1"/>
    <b v="0"/>
    <x v="160"/>
    <n v="5"/>
  </r>
  <r>
    <x v="39"/>
    <x v="1"/>
    <b v="0"/>
    <x v="160"/>
    <n v="5"/>
  </r>
  <r>
    <x v="75"/>
    <x v="1"/>
    <b v="0"/>
    <x v="160"/>
    <n v="5"/>
  </r>
  <r>
    <x v="80"/>
    <x v="1"/>
    <b v="0"/>
    <x v="160"/>
    <n v="5"/>
  </r>
  <r>
    <x v="15"/>
    <x v="2"/>
    <b v="0"/>
    <x v="160"/>
    <n v="25.25"/>
  </r>
  <r>
    <x v="0"/>
    <x v="0"/>
    <b v="0"/>
    <x v="161"/>
    <n v="-69.930000000000007"/>
  </r>
  <r>
    <x v="16"/>
    <x v="0"/>
    <b v="0"/>
    <x v="161"/>
    <n v="-5.47"/>
  </r>
  <r>
    <x v="1"/>
    <x v="0"/>
    <b v="0"/>
    <x v="161"/>
    <n v="-18.87"/>
  </r>
  <r>
    <x v="13"/>
    <x v="0"/>
    <b v="0"/>
    <x v="161"/>
    <n v="-4.96"/>
  </r>
  <r>
    <x v="20"/>
    <x v="0"/>
    <b v="0"/>
    <x v="161"/>
    <n v="-5.56"/>
  </r>
  <r>
    <x v="12"/>
    <x v="1"/>
    <b v="0"/>
    <x v="161"/>
    <n v="5"/>
  </r>
  <r>
    <x v="69"/>
    <x v="1"/>
    <b v="0"/>
    <x v="161"/>
    <n v="5"/>
  </r>
  <r>
    <x v="76"/>
    <x v="1"/>
    <b v="0"/>
    <x v="161"/>
    <n v="5"/>
  </r>
  <r>
    <x v="70"/>
    <x v="1"/>
    <b v="0"/>
    <x v="161"/>
    <n v="5"/>
  </r>
  <r>
    <x v="71"/>
    <x v="1"/>
    <b v="0"/>
    <x v="161"/>
    <n v="5"/>
  </r>
  <r>
    <x v="72"/>
    <x v="1"/>
    <b v="0"/>
    <x v="161"/>
    <n v="5"/>
  </r>
  <r>
    <x v="32"/>
    <x v="1"/>
    <b v="0"/>
    <x v="161"/>
    <n v="5"/>
  </r>
  <r>
    <x v="57"/>
    <x v="1"/>
    <b v="0"/>
    <x v="161"/>
    <n v="5"/>
  </r>
  <r>
    <x v="40"/>
    <x v="1"/>
    <b v="0"/>
    <x v="161"/>
    <n v="5"/>
  </r>
  <r>
    <x v="18"/>
    <x v="1"/>
    <b v="0"/>
    <x v="161"/>
    <n v="5"/>
  </r>
  <r>
    <x v="41"/>
    <x v="1"/>
    <b v="0"/>
    <x v="161"/>
    <n v="1E-3"/>
  </r>
  <r>
    <x v="79"/>
    <x v="1"/>
    <b v="0"/>
    <x v="161"/>
    <n v="5"/>
  </r>
  <r>
    <x v="81"/>
    <x v="1"/>
    <b v="0"/>
    <x v="161"/>
    <n v="5"/>
  </r>
  <r>
    <x v="82"/>
    <x v="1"/>
    <b v="0"/>
    <x v="161"/>
    <n v="5"/>
  </r>
  <r>
    <x v="73"/>
    <x v="1"/>
    <b v="0"/>
    <x v="161"/>
    <n v="5"/>
  </r>
  <r>
    <x v="23"/>
    <x v="1"/>
    <b v="0"/>
    <x v="161"/>
    <n v="5"/>
  </r>
  <r>
    <x v="44"/>
    <x v="1"/>
    <b v="0"/>
    <x v="161"/>
    <n v="5"/>
  </r>
  <r>
    <x v="39"/>
    <x v="1"/>
    <b v="0"/>
    <x v="161"/>
    <n v="5"/>
  </r>
  <r>
    <x v="75"/>
    <x v="1"/>
    <b v="0"/>
    <x v="161"/>
    <n v="5"/>
  </r>
  <r>
    <x v="80"/>
    <x v="1"/>
    <b v="0"/>
    <x v="161"/>
    <n v="5"/>
  </r>
  <r>
    <x v="15"/>
    <x v="2"/>
    <b v="0"/>
    <x v="161"/>
    <n v="17.2"/>
  </r>
  <r>
    <x v="0"/>
    <x v="0"/>
    <b v="0"/>
    <x v="162"/>
    <n v="-69.930000000000007"/>
  </r>
  <r>
    <x v="16"/>
    <x v="0"/>
    <b v="0"/>
    <x v="162"/>
    <n v="-6"/>
  </r>
  <r>
    <x v="1"/>
    <x v="0"/>
    <b v="0"/>
    <x v="162"/>
    <n v="-26.46"/>
  </r>
  <r>
    <x v="13"/>
    <x v="0"/>
    <b v="0"/>
    <x v="162"/>
    <n v="-2.5"/>
  </r>
  <r>
    <x v="12"/>
    <x v="1"/>
    <b v="0"/>
    <x v="162"/>
    <n v="5"/>
  </r>
  <r>
    <x v="69"/>
    <x v="1"/>
    <b v="0"/>
    <x v="162"/>
    <n v="5"/>
  </r>
  <r>
    <x v="70"/>
    <x v="1"/>
    <b v="0"/>
    <x v="162"/>
    <n v="5"/>
  </r>
  <r>
    <x v="71"/>
    <x v="1"/>
    <b v="0"/>
    <x v="162"/>
    <n v="5"/>
  </r>
  <r>
    <x v="72"/>
    <x v="1"/>
    <b v="0"/>
    <x v="162"/>
    <n v="5"/>
  </r>
  <r>
    <x v="32"/>
    <x v="1"/>
    <b v="0"/>
    <x v="162"/>
    <n v="5"/>
  </r>
  <r>
    <x v="57"/>
    <x v="1"/>
    <b v="0"/>
    <x v="162"/>
    <n v="5"/>
  </r>
  <r>
    <x v="40"/>
    <x v="1"/>
    <b v="0"/>
    <x v="162"/>
    <n v="5"/>
  </r>
  <r>
    <x v="18"/>
    <x v="1"/>
    <b v="0"/>
    <x v="162"/>
    <n v="5"/>
  </r>
  <r>
    <x v="41"/>
    <x v="1"/>
    <b v="0"/>
    <x v="162"/>
    <n v="1E-3"/>
  </r>
  <r>
    <x v="79"/>
    <x v="1"/>
    <b v="0"/>
    <x v="162"/>
    <n v="5"/>
  </r>
  <r>
    <x v="81"/>
    <x v="1"/>
    <b v="0"/>
    <x v="162"/>
    <n v="5"/>
  </r>
  <r>
    <x v="82"/>
    <x v="1"/>
    <b v="0"/>
    <x v="162"/>
    <n v="5"/>
  </r>
  <r>
    <x v="73"/>
    <x v="1"/>
    <b v="0"/>
    <x v="162"/>
    <n v="5"/>
  </r>
  <r>
    <x v="23"/>
    <x v="1"/>
    <b v="0"/>
    <x v="162"/>
    <n v="5"/>
  </r>
  <r>
    <x v="44"/>
    <x v="1"/>
    <b v="0"/>
    <x v="162"/>
    <n v="5"/>
  </r>
  <r>
    <x v="39"/>
    <x v="1"/>
    <b v="0"/>
    <x v="162"/>
    <n v="5"/>
  </r>
  <r>
    <x v="75"/>
    <x v="1"/>
    <b v="0"/>
    <x v="162"/>
    <n v="5"/>
  </r>
  <r>
    <x v="80"/>
    <x v="1"/>
    <b v="0"/>
    <x v="162"/>
    <n v="5"/>
  </r>
  <r>
    <x v="15"/>
    <x v="2"/>
    <b v="0"/>
    <x v="162"/>
    <n v="14.009999999999998"/>
  </r>
  <r>
    <x v="0"/>
    <x v="0"/>
    <b v="0"/>
    <x v="163"/>
    <n v="-59.94"/>
  </r>
  <r>
    <x v="16"/>
    <x v="0"/>
    <b v="0"/>
    <x v="163"/>
    <n v="-10"/>
  </r>
  <r>
    <x v="1"/>
    <x v="0"/>
    <b v="0"/>
    <x v="163"/>
    <n v="-34.049999999999997"/>
  </r>
  <r>
    <x v="13"/>
    <x v="0"/>
    <b v="0"/>
    <x v="163"/>
    <n v="-15.195"/>
  </r>
  <r>
    <x v="12"/>
    <x v="1"/>
    <b v="0"/>
    <x v="163"/>
    <n v="5"/>
  </r>
  <r>
    <x v="69"/>
    <x v="1"/>
    <b v="0"/>
    <x v="163"/>
    <n v="5"/>
  </r>
  <r>
    <x v="70"/>
    <x v="1"/>
    <b v="0"/>
    <x v="163"/>
    <n v="5"/>
  </r>
  <r>
    <x v="71"/>
    <x v="1"/>
    <b v="0"/>
    <x v="163"/>
    <n v="5"/>
  </r>
  <r>
    <x v="72"/>
    <x v="1"/>
    <b v="0"/>
    <x v="163"/>
    <n v="5"/>
  </r>
  <r>
    <x v="32"/>
    <x v="1"/>
    <b v="0"/>
    <x v="163"/>
    <n v="5"/>
  </r>
  <r>
    <x v="57"/>
    <x v="1"/>
    <b v="0"/>
    <x v="163"/>
    <n v="5"/>
  </r>
  <r>
    <x v="40"/>
    <x v="1"/>
    <b v="0"/>
    <x v="163"/>
    <n v="5"/>
  </r>
  <r>
    <x v="18"/>
    <x v="1"/>
    <b v="0"/>
    <x v="163"/>
    <n v="5"/>
  </r>
  <r>
    <x v="41"/>
    <x v="1"/>
    <b v="0"/>
    <x v="163"/>
    <n v="1E-3"/>
  </r>
  <r>
    <x v="79"/>
    <x v="1"/>
    <b v="0"/>
    <x v="163"/>
    <n v="5"/>
  </r>
  <r>
    <x v="81"/>
    <x v="1"/>
    <b v="0"/>
    <x v="163"/>
    <n v="5"/>
  </r>
  <r>
    <x v="82"/>
    <x v="1"/>
    <b v="0"/>
    <x v="163"/>
    <n v="5"/>
  </r>
  <r>
    <x v="73"/>
    <x v="1"/>
    <b v="0"/>
    <x v="163"/>
    <n v="5"/>
  </r>
  <r>
    <x v="23"/>
    <x v="1"/>
    <b v="0"/>
    <x v="163"/>
    <n v="5"/>
  </r>
  <r>
    <x v="44"/>
    <x v="1"/>
    <b v="0"/>
    <x v="163"/>
    <n v="5"/>
  </r>
  <r>
    <x v="39"/>
    <x v="1"/>
    <b v="0"/>
    <x v="163"/>
    <n v="5"/>
  </r>
  <r>
    <x v="75"/>
    <x v="1"/>
    <b v="0"/>
    <x v="163"/>
    <n v="5"/>
  </r>
  <r>
    <x v="80"/>
    <x v="1"/>
    <b v="0"/>
    <x v="163"/>
    <n v="5"/>
  </r>
  <r>
    <x v="15"/>
    <x v="2"/>
    <b v="0"/>
    <x v="163"/>
    <n v="23.009999999999998"/>
  </r>
  <r>
    <x v="0"/>
    <x v="0"/>
    <b v="0"/>
    <x v="164"/>
    <n v="-62.94"/>
  </r>
  <r>
    <x v="1"/>
    <x v="0"/>
    <b v="0"/>
    <x v="164"/>
    <n v="-27.560000000000002"/>
  </r>
  <r>
    <x v="13"/>
    <x v="0"/>
    <b v="0"/>
    <x v="164"/>
    <n v="-15.195"/>
  </r>
  <r>
    <x v="12"/>
    <x v="1"/>
    <b v="0"/>
    <x v="164"/>
    <n v="5"/>
  </r>
  <r>
    <x v="69"/>
    <x v="1"/>
    <b v="0"/>
    <x v="164"/>
    <n v="5"/>
  </r>
  <r>
    <x v="70"/>
    <x v="1"/>
    <b v="0"/>
    <x v="164"/>
    <n v="5"/>
  </r>
  <r>
    <x v="71"/>
    <x v="1"/>
    <b v="0"/>
    <x v="164"/>
    <n v="5"/>
  </r>
  <r>
    <x v="72"/>
    <x v="1"/>
    <b v="0"/>
    <x v="164"/>
    <n v="5"/>
  </r>
  <r>
    <x v="32"/>
    <x v="1"/>
    <b v="0"/>
    <x v="164"/>
    <n v="5"/>
  </r>
  <r>
    <x v="57"/>
    <x v="1"/>
    <b v="0"/>
    <x v="164"/>
    <n v="5"/>
  </r>
  <r>
    <x v="40"/>
    <x v="1"/>
    <b v="0"/>
    <x v="164"/>
    <n v="5"/>
  </r>
  <r>
    <x v="18"/>
    <x v="1"/>
    <b v="0"/>
    <x v="164"/>
    <n v="5"/>
  </r>
  <r>
    <x v="41"/>
    <x v="1"/>
    <b v="0"/>
    <x v="164"/>
    <n v="1E-3"/>
  </r>
  <r>
    <x v="79"/>
    <x v="1"/>
    <b v="0"/>
    <x v="164"/>
    <n v="4.99"/>
  </r>
  <r>
    <x v="81"/>
    <x v="1"/>
    <b v="0"/>
    <x v="164"/>
    <n v="5"/>
  </r>
  <r>
    <x v="82"/>
    <x v="1"/>
    <b v="0"/>
    <x v="164"/>
    <n v="5"/>
  </r>
  <r>
    <x v="73"/>
    <x v="1"/>
    <b v="0"/>
    <x v="164"/>
    <n v="5"/>
  </r>
  <r>
    <x v="23"/>
    <x v="1"/>
    <b v="0"/>
    <x v="164"/>
    <n v="5"/>
  </r>
  <r>
    <x v="44"/>
    <x v="1"/>
    <b v="0"/>
    <x v="164"/>
    <n v="5"/>
  </r>
  <r>
    <x v="39"/>
    <x v="1"/>
    <b v="0"/>
    <x v="164"/>
    <n v="5"/>
  </r>
  <r>
    <x v="75"/>
    <x v="1"/>
    <b v="0"/>
    <x v="164"/>
    <n v="5"/>
  </r>
  <r>
    <x v="80"/>
    <x v="1"/>
    <b v="0"/>
    <x v="164"/>
    <n v="5"/>
  </r>
  <r>
    <x v="15"/>
    <x v="2"/>
    <b v="0"/>
    <x v="164"/>
    <n v="18.240000000000002"/>
  </r>
  <r>
    <x v="0"/>
    <x v="0"/>
    <b v="0"/>
    <x v="165"/>
    <n v="-68.699999999999989"/>
  </r>
  <r>
    <x v="16"/>
    <x v="0"/>
    <b v="0"/>
    <x v="165"/>
    <n v="-11.14"/>
  </r>
  <r>
    <x v="1"/>
    <x v="0"/>
    <b v="0"/>
    <x v="165"/>
    <n v="-34.049999999999997"/>
  </r>
  <r>
    <x v="13"/>
    <x v="0"/>
    <b v="0"/>
    <x v="165"/>
    <n v="-2.5"/>
  </r>
  <r>
    <x v="12"/>
    <x v="1"/>
    <b v="0"/>
    <x v="165"/>
    <n v="5"/>
  </r>
  <r>
    <x v="69"/>
    <x v="1"/>
    <b v="0"/>
    <x v="165"/>
    <n v="5"/>
  </r>
  <r>
    <x v="70"/>
    <x v="1"/>
    <b v="0"/>
    <x v="165"/>
    <n v="5"/>
  </r>
  <r>
    <x v="83"/>
    <x v="1"/>
    <b v="0"/>
    <x v="165"/>
    <n v="5"/>
  </r>
  <r>
    <x v="71"/>
    <x v="1"/>
    <b v="0"/>
    <x v="165"/>
    <n v="5"/>
  </r>
  <r>
    <x v="72"/>
    <x v="1"/>
    <b v="0"/>
    <x v="165"/>
    <n v="5"/>
  </r>
  <r>
    <x v="32"/>
    <x v="1"/>
    <b v="0"/>
    <x v="165"/>
    <n v="5"/>
  </r>
  <r>
    <x v="57"/>
    <x v="1"/>
    <b v="0"/>
    <x v="165"/>
    <n v="5"/>
  </r>
  <r>
    <x v="40"/>
    <x v="1"/>
    <b v="0"/>
    <x v="165"/>
    <n v="5"/>
  </r>
  <r>
    <x v="18"/>
    <x v="1"/>
    <b v="0"/>
    <x v="165"/>
    <n v="5"/>
  </r>
  <r>
    <x v="41"/>
    <x v="1"/>
    <b v="0"/>
    <x v="165"/>
    <n v="1E-3"/>
  </r>
  <r>
    <x v="81"/>
    <x v="1"/>
    <b v="0"/>
    <x v="165"/>
    <n v="5"/>
  </r>
  <r>
    <x v="82"/>
    <x v="1"/>
    <b v="0"/>
    <x v="165"/>
    <n v="5"/>
  </r>
  <r>
    <x v="73"/>
    <x v="1"/>
    <b v="0"/>
    <x v="165"/>
    <n v="5"/>
  </r>
  <r>
    <x v="23"/>
    <x v="1"/>
    <b v="0"/>
    <x v="165"/>
    <n v="5"/>
  </r>
  <r>
    <x v="44"/>
    <x v="1"/>
    <b v="0"/>
    <x v="165"/>
    <n v="5"/>
  </r>
  <r>
    <x v="39"/>
    <x v="1"/>
    <b v="0"/>
    <x v="165"/>
    <n v="4.99"/>
  </r>
  <r>
    <x v="75"/>
    <x v="1"/>
    <b v="0"/>
    <x v="165"/>
    <n v="5"/>
  </r>
  <r>
    <x v="80"/>
    <x v="1"/>
    <b v="0"/>
    <x v="165"/>
    <n v="5"/>
  </r>
  <r>
    <x v="15"/>
    <x v="2"/>
    <b v="0"/>
    <x v="165"/>
    <n v="21.64"/>
  </r>
  <r>
    <x v="0"/>
    <x v="0"/>
    <b v="0"/>
    <x v="166"/>
    <n v="-68.94"/>
  </r>
  <r>
    <x v="16"/>
    <x v="0"/>
    <b v="0"/>
    <x v="166"/>
    <n v="-10"/>
  </r>
  <r>
    <x v="1"/>
    <x v="0"/>
    <b v="0"/>
    <x v="166"/>
    <n v="-34.049999999999997"/>
  </r>
  <r>
    <x v="13"/>
    <x v="0"/>
    <b v="0"/>
    <x v="166"/>
    <n v="-6.5"/>
  </r>
  <r>
    <x v="20"/>
    <x v="0"/>
    <b v="0"/>
    <x v="166"/>
    <n v="-2.5"/>
  </r>
  <r>
    <x v="12"/>
    <x v="1"/>
    <b v="0"/>
    <x v="166"/>
    <n v="5"/>
  </r>
  <r>
    <x v="69"/>
    <x v="1"/>
    <b v="0"/>
    <x v="166"/>
    <n v="5"/>
  </r>
  <r>
    <x v="70"/>
    <x v="1"/>
    <b v="0"/>
    <x v="166"/>
    <n v="5"/>
  </r>
  <r>
    <x v="83"/>
    <x v="1"/>
    <b v="0"/>
    <x v="166"/>
    <n v="5"/>
  </r>
  <r>
    <x v="71"/>
    <x v="1"/>
    <b v="0"/>
    <x v="166"/>
    <n v="5"/>
  </r>
  <r>
    <x v="72"/>
    <x v="1"/>
    <b v="0"/>
    <x v="166"/>
    <n v="5"/>
  </r>
  <r>
    <x v="32"/>
    <x v="1"/>
    <b v="0"/>
    <x v="166"/>
    <n v="5"/>
  </r>
  <r>
    <x v="57"/>
    <x v="1"/>
    <b v="0"/>
    <x v="166"/>
    <n v="5"/>
  </r>
  <r>
    <x v="40"/>
    <x v="1"/>
    <b v="0"/>
    <x v="166"/>
    <n v="5"/>
  </r>
  <r>
    <x v="18"/>
    <x v="1"/>
    <b v="0"/>
    <x v="166"/>
    <n v="5"/>
  </r>
  <r>
    <x v="84"/>
    <x v="1"/>
    <b v="0"/>
    <x v="166"/>
    <n v="5"/>
  </r>
  <r>
    <x v="41"/>
    <x v="1"/>
    <b v="0"/>
    <x v="166"/>
    <n v="1E-3"/>
  </r>
  <r>
    <x v="81"/>
    <x v="1"/>
    <b v="0"/>
    <x v="166"/>
    <n v="5"/>
  </r>
  <r>
    <x v="82"/>
    <x v="1"/>
    <b v="0"/>
    <x v="166"/>
    <n v="5"/>
  </r>
  <r>
    <x v="73"/>
    <x v="1"/>
    <b v="0"/>
    <x v="166"/>
    <n v="5"/>
  </r>
  <r>
    <x v="23"/>
    <x v="1"/>
    <b v="0"/>
    <x v="166"/>
    <n v="5"/>
  </r>
  <r>
    <x v="44"/>
    <x v="1"/>
    <b v="0"/>
    <x v="166"/>
    <n v="5"/>
  </r>
  <r>
    <x v="39"/>
    <x v="1"/>
    <b v="0"/>
    <x v="166"/>
    <n v="5"/>
  </r>
  <r>
    <x v="75"/>
    <x v="1"/>
    <b v="0"/>
    <x v="166"/>
    <n v="5"/>
  </r>
  <r>
    <x v="80"/>
    <x v="1"/>
    <b v="0"/>
    <x v="166"/>
    <n v="5"/>
  </r>
  <r>
    <x v="15"/>
    <x v="2"/>
    <b v="0"/>
    <x v="166"/>
    <n v="17.2"/>
  </r>
  <r>
    <x v="0"/>
    <x v="0"/>
    <b v="0"/>
    <x v="167"/>
    <n v="-64.08"/>
  </r>
  <r>
    <x v="1"/>
    <x v="0"/>
    <b v="0"/>
    <x v="167"/>
    <n v="-21.47"/>
  </r>
  <r>
    <x v="13"/>
    <x v="0"/>
    <b v="0"/>
    <x v="167"/>
    <n v="-16.5"/>
  </r>
  <r>
    <x v="20"/>
    <x v="0"/>
    <b v="0"/>
    <x v="167"/>
    <n v="-9.2899999999999991"/>
  </r>
  <r>
    <x v="12"/>
    <x v="1"/>
    <b v="0"/>
    <x v="167"/>
    <n v="0"/>
  </r>
  <r>
    <x v="69"/>
    <x v="1"/>
    <b v="0"/>
    <x v="167"/>
    <n v="5"/>
  </r>
  <r>
    <x v="70"/>
    <x v="1"/>
    <b v="0"/>
    <x v="167"/>
    <n v="5"/>
  </r>
  <r>
    <x v="83"/>
    <x v="1"/>
    <b v="0"/>
    <x v="167"/>
    <n v="0"/>
  </r>
  <r>
    <x v="71"/>
    <x v="1"/>
    <b v="0"/>
    <x v="167"/>
    <n v="5"/>
  </r>
  <r>
    <x v="72"/>
    <x v="1"/>
    <b v="0"/>
    <x v="167"/>
    <n v="5"/>
  </r>
  <r>
    <x v="32"/>
    <x v="1"/>
    <b v="0"/>
    <x v="167"/>
    <n v="5"/>
  </r>
  <r>
    <x v="57"/>
    <x v="1"/>
    <b v="0"/>
    <x v="167"/>
    <n v="5"/>
  </r>
  <r>
    <x v="40"/>
    <x v="1"/>
    <b v="0"/>
    <x v="167"/>
    <n v="5"/>
  </r>
  <r>
    <x v="18"/>
    <x v="1"/>
    <b v="0"/>
    <x v="167"/>
    <n v="0"/>
  </r>
  <r>
    <x v="84"/>
    <x v="1"/>
    <b v="0"/>
    <x v="167"/>
    <n v="5"/>
  </r>
  <r>
    <x v="41"/>
    <x v="1"/>
    <b v="0"/>
    <x v="167"/>
    <n v="1E-3"/>
  </r>
  <r>
    <x v="81"/>
    <x v="1"/>
    <b v="0"/>
    <x v="167"/>
    <n v="5"/>
  </r>
  <r>
    <x v="82"/>
    <x v="1"/>
    <b v="0"/>
    <x v="167"/>
    <n v="5"/>
  </r>
  <r>
    <x v="73"/>
    <x v="1"/>
    <b v="0"/>
    <x v="167"/>
    <n v="5"/>
  </r>
  <r>
    <x v="23"/>
    <x v="1"/>
    <b v="0"/>
    <x v="167"/>
    <n v="5"/>
  </r>
  <r>
    <x v="44"/>
    <x v="1"/>
    <b v="0"/>
    <x v="167"/>
    <n v="5"/>
  </r>
  <r>
    <x v="75"/>
    <x v="1"/>
    <b v="0"/>
    <x v="167"/>
    <n v="5"/>
  </r>
  <r>
    <x v="80"/>
    <x v="1"/>
    <b v="0"/>
    <x v="167"/>
    <n v="5"/>
  </r>
  <r>
    <x v="85"/>
    <x v="1"/>
    <b v="0"/>
    <x v="167"/>
    <n v="5"/>
  </r>
  <r>
    <x v="15"/>
    <x v="2"/>
    <b v="0"/>
    <x v="167"/>
    <n v="17.099999999999998"/>
  </r>
  <r>
    <x v="0"/>
    <x v="0"/>
    <b v="0"/>
    <x v="168"/>
    <n v="-43.96"/>
  </r>
  <r>
    <x v="1"/>
    <x v="0"/>
    <b v="0"/>
    <x v="168"/>
    <n v="-41.64"/>
  </r>
  <r>
    <x v="13"/>
    <x v="0"/>
    <b v="0"/>
    <x v="168"/>
    <n v="-10"/>
  </r>
  <r>
    <x v="12"/>
    <x v="1"/>
    <b v="0"/>
    <x v="168"/>
    <n v="5"/>
  </r>
  <r>
    <x v="69"/>
    <x v="1"/>
    <b v="0"/>
    <x v="168"/>
    <n v="5"/>
  </r>
  <r>
    <x v="70"/>
    <x v="1"/>
    <b v="0"/>
    <x v="168"/>
    <n v="5"/>
  </r>
  <r>
    <x v="83"/>
    <x v="1"/>
    <b v="0"/>
    <x v="168"/>
    <n v="5"/>
  </r>
  <r>
    <x v="71"/>
    <x v="1"/>
    <b v="0"/>
    <x v="168"/>
    <n v="5"/>
  </r>
  <r>
    <x v="72"/>
    <x v="1"/>
    <b v="0"/>
    <x v="168"/>
    <n v="5"/>
  </r>
  <r>
    <x v="32"/>
    <x v="1"/>
    <b v="0"/>
    <x v="168"/>
    <n v="5"/>
  </r>
  <r>
    <x v="57"/>
    <x v="1"/>
    <b v="0"/>
    <x v="168"/>
    <n v="5"/>
  </r>
  <r>
    <x v="40"/>
    <x v="1"/>
    <b v="0"/>
    <x v="168"/>
    <n v="5"/>
  </r>
  <r>
    <x v="18"/>
    <x v="1"/>
    <b v="0"/>
    <x v="168"/>
    <n v="5"/>
  </r>
  <r>
    <x v="84"/>
    <x v="1"/>
    <b v="0"/>
    <x v="168"/>
    <n v="5"/>
  </r>
  <r>
    <x v="41"/>
    <x v="1"/>
    <b v="0"/>
    <x v="168"/>
    <n v="1E-3"/>
  </r>
  <r>
    <x v="81"/>
    <x v="1"/>
    <b v="0"/>
    <x v="168"/>
    <n v="5"/>
  </r>
  <r>
    <x v="82"/>
    <x v="1"/>
    <b v="0"/>
    <x v="168"/>
    <n v="5"/>
  </r>
  <r>
    <x v="73"/>
    <x v="1"/>
    <b v="0"/>
    <x v="168"/>
    <n v="5"/>
  </r>
  <r>
    <x v="23"/>
    <x v="1"/>
    <b v="0"/>
    <x v="168"/>
    <n v="5"/>
  </r>
  <r>
    <x v="44"/>
    <x v="1"/>
    <b v="0"/>
    <x v="168"/>
    <n v="5"/>
  </r>
  <r>
    <x v="39"/>
    <x v="1"/>
    <b v="0"/>
    <x v="168"/>
    <n v="5"/>
  </r>
  <r>
    <x v="75"/>
    <x v="1"/>
    <b v="0"/>
    <x v="168"/>
    <n v="5"/>
  </r>
  <r>
    <x v="80"/>
    <x v="1"/>
    <b v="0"/>
    <x v="168"/>
    <n v="5"/>
  </r>
  <r>
    <x v="85"/>
    <x v="1"/>
    <b v="0"/>
    <x v="168"/>
    <n v="5"/>
  </r>
  <r>
    <x v="15"/>
    <x v="2"/>
    <b v="0"/>
    <x v="168"/>
    <n v="12.33"/>
  </r>
  <r>
    <x v="0"/>
    <x v="0"/>
    <b v="0"/>
    <x v="169"/>
    <n v="-54.95"/>
  </r>
  <r>
    <x v="16"/>
    <x v="0"/>
    <b v="0"/>
    <x v="169"/>
    <n v="-20"/>
  </r>
  <r>
    <x v="1"/>
    <x v="0"/>
    <b v="0"/>
    <x v="169"/>
    <n v="-27.759999999999998"/>
  </r>
  <r>
    <x v="13"/>
    <x v="0"/>
    <b v="0"/>
    <x v="169"/>
    <n v="-2.5"/>
  </r>
  <r>
    <x v="12"/>
    <x v="1"/>
    <b v="0"/>
    <x v="169"/>
    <n v="5"/>
  </r>
  <r>
    <x v="70"/>
    <x v="1"/>
    <b v="0"/>
    <x v="169"/>
    <n v="5"/>
  </r>
  <r>
    <x v="83"/>
    <x v="1"/>
    <b v="0"/>
    <x v="169"/>
    <n v="5"/>
  </r>
  <r>
    <x v="71"/>
    <x v="1"/>
    <b v="0"/>
    <x v="169"/>
    <n v="5"/>
  </r>
  <r>
    <x v="72"/>
    <x v="1"/>
    <b v="0"/>
    <x v="169"/>
    <n v="5"/>
  </r>
  <r>
    <x v="32"/>
    <x v="1"/>
    <b v="0"/>
    <x v="169"/>
    <n v="5"/>
  </r>
  <r>
    <x v="57"/>
    <x v="1"/>
    <b v="0"/>
    <x v="169"/>
    <n v="5"/>
  </r>
  <r>
    <x v="40"/>
    <x v="1"/>
    <b v="0"/>
    <x v="169"/>
    <n v="5"/>
  </r>
  <r>
    <x v="18"/>
    <x v="1"/>
    <b v="0"/>
    <x v="169"/>
    <n v="5"/>
  </r>
  <r>
    <x v="84"/>
    <x v="1"/>
    <b v="0"/>
    <x v="169"/>
    <n v="5"/>
  </r>
  <r>
    <x v="41"/>
    <x v="1"/>
    <b v="0"/>
    <x v="169"/>
    <n v="1E-3"/>
  </r>
  <r>
    <x v="81"/>
    <x v="1"/>
    <b v="0"/>
    <x v="169"/>
    <n v="5"/>
  </r>
  <r>
    <x v="82"/>
    <x v="1"/>
    <b v="0"/>
    <x v="169"/>
    <n v="5"/>
  </r>
  <r>
    <x v="73"/>
    <x v="1"/>
    <b v="0"/>
    <x v="169"/>
    <n v="5"/>
  </r>
  <r>
    <x v="23"/>
    <x v="1"/>
    <b v="0"/>
    <x v="169"/>
    <n v="5"/>
  </r>
  <r>
    <x v="44"/>
    <x v="1"/>
    <b v="0"/>
    <x v="169"/>
    <n v="5"/>
  </r>
  <r>
    <x v="86"/>
    <x v="1"/>
    <b v="0"/>
    <x v="169"/>
    <n v="5"/>
  </r>
  <r>
    <x v="39"/>
    <x v="1"/>
    <b v="0"/>
    <x v="169"/>
    <n v="5"/>
  </r>
  <r>
    <x v="75"/>
    <x v="1"/>
    <b v="0"/>
    <x v="169"/>
    <n v="5"/>
  </r>
  <r>
    <x v="80"/>
    <x v="1"/>
    <b v="0"/>
    <x v="169"/>
    <n v="5"/>
  </r>
  <r>
    <x v="85"/>
    <x v="1"/>
    <b v="0"/>
    <x v="169"/>
    <n v="5"/>
  </r>
  <r>
    <x v="15"/>
    <x v="2"/>
    <b v="0"/>
    <x v="169"/>
    <n v="21.555"/>
  </r>
  <r>
    <x v="0"/>
    <x v="0"/>
    <b v="0"/>
    <x v="170"/>
    <n v="-65.94"/>
  </r>
  <r>
    <x v="1"/>
    <x v="0"/>
    <b v="0"/>
    <x v="170"/>
    <n v="-35.159999999999997"/>
  </r>
  <r>
    <x v="13"/>
    <x v="0"/>
    <b v="0"/>
    <x v="170"/>
    <n v="-2.5"/>
  </r>
  <r>
    <x v="12"/>
    <x v="1"/>
    <b v="0"/>
    <x v="170"/>
    <n v="5"/>
  </r>
  <r>
    <x v="70"/>
    <x v="1"/>
    <b v="0"/>
    <x v="170"/>
    <n v="5"/>
  </r>
  <r>
    <x v="83"/>
    <x v="1"/>
    <b v="0"/>
    <x v="170"/>
    <n v="5"/>
  </r>
  <r>
    <x v="71"/>
    <x v="1"/>
    <b v="0"/>
    <x v="170"/>
    <n v="5"/>
  </r>
  <r>
    <x v="72"/>
    <x v="1"/>
    <b v="0"/>
    <x v="170"/>
    <n v="5"/>
  </r>
  <r>
    <x v="32"/>
    <x v="1"/>
    <b v="0"/>
    <x v="170"/>
    <n v="5"/>
  </r>
  <r>
    <x v="57"/>
    <x v="1"/>
    <b v="0"/>
    <x v="170"/>
    <n v="5"/>
  </r>
  <r>
    <x v="40"/>
    <x v="1"/>
    <b v="0"/>
    <x v="170"/>
    <n v="5"/>
  </r>
  <r>
    <x v="18"/>
    <x v="1"/>
    <b v="0"/>
    <x v="170"/>
    <n v="5"/>
  </r>
  <r>
    <x v="84"/>
    <x v="1"/>
    <b v="0"/>
    <x v="170"/>
    <n v="5"/>
  </r>
  <r>
    <x v="41"/>
    <x v="1"/>
    <b v="0"/>
    <x v="170"/>
    <n v="1E-3"/>
  </r>
  <r>
    <x v="81"/>
    <x v="1"/>
    <b v="0"/>
    <x v="170"/>
    <n v="5"/>
  </r>
  <r>
    <x v="82"/>
    <x v="1"/>
    <b v="0"/>
    <x v="170"/>
    <n v="5"/>
  </r>
  <r>
    <x v="73"/>
    <x v="1"/>
    <b v="0"/>
    <x v="170"/>
    <n v="5"/>
  </r>
  <r>
    <x v="23"/>
    <x v="1"/>
    <b v="0"/>
    <x v="170"/>
    <n v="5"/>
  </r>
  <r>
    <x v="44"/>
    <x v="1"/>
    <b v="0"/>
    <x v="170"/>
    <n v="5"/>
  </r>
  <r>
    <x v="86"/>
    <x v="1"/>
    <b v="0"/>
    <x v="170"/>
    <n v="5"/>
  </r>
  <r>
    <x v="75"/>
    <x v="1"/>
    <b v="0"/>
    <x v="170"/>
    <n v="5"/>
  </r>
  <r>
    <x v="80"/>
    <x v="1"/>
    <b v="0"/>
    <x v="170"/>
    <n v="5"/>
  </r>
  <r>
    <x v="85"/>
    <x v="1"/>
    <b v="0"/>
    <x v="170"/>
    <n v="5"/>
  </r>
  <r>
    <x v="15"/>
    <x v="2"/>
    <b v="0"/>
    <x v="170"/>
    <n v="8.25"/>
  </r>
  <r>
    <x v="0"/>
    <x v="0"/>
    <b v="0"/>
    <x v="171"/>
    <n v="-65.94"/>
  </r>
  <r>
    <x v="16"/>
    <x v="0"/>
    <b v="0"/>
    <x v="171"/>
    <n v="-6.83"/>
  </r>
  <r>
    <x v="1"/>
    <x v="0"/>
    <b v="0"/>
    <x v="171"/>
    <n v="-45.15"/>
  </r>
  <r>
    <x v="13"/>
    <x v="0"/>
    <b v="0"/>
    <x v="171"/>
    <n v="-2.5"/>
  </r>
  <r>
    <x v="12"/>
    <x v="1"/>
    <b v="0"/>
    <x v="171"/>
    <n v="5"/>
  </r>
  <r>
    <x v="70"/>
    <x v="1"/>
    <b v="0"/>
    <x v="171"/>
    <n v="5"/>
  </r>
  <r>
    <x v="83"/>
    <x v="1"/>
    <b v="0"/>
    <x v="171"/>
    <n v="5"/>
  </r>
  <r>
    <x v="71"/>
    <x v="1"/>
    <b v="0"/>
    <x v="171"/>
    <n v="5"/>
  </r>
  <r>
    <x v="72"/>
    <x v="1"/>
    <b v="0"/>
    <x v="171"/>
    <n v="5"/>
  </r>
  <r>
    <x v="32"/>
    <x v="1"/>
    <b v="0"/>
    <x v="171"/>
    <n v="5"/>
  </r>
  <r>
    <x v="57"/>
    <x v="1"/>
    <b v="0"/>
    <x v="171"/>
    <n v="5"/>
  </r>
  <r>
    <x v="40"/>
    <x v="1"/>
    <b v="0"/>
    <x v="171"/>
    <n v="5"/>
  </r>
  <r>
    <x v="18"/>
    <x v="1"/>
    <b v="0"/>
    <x v="171"/>
    <n v="5"/>
  </r>
  <r>
    <x v="84"/>
    <x v="1"/>
    <b v="0"/>
    <x v="171"/>
    <n v="5"/>
  </r>
  <r>
    <x v="41"/>
    <x v="1"/>
    <b v="0"/>
    <x v="171"/>
    <n v="1E-3"/>
  </r>
  <r>
    <x v="81"/>
    <x v="1"/>
    <b v="0"/>
    <x v="171"/>
    <n v="5"/>
  </r>
  <r>
    <x v="82"/>
    <x v="1"/>
    <b v="0"/>
    <x v="171"/>
    <n v="5"/>
  </r>
  <r>
    <x v="87"/>
    <x v="1"/>
    <b v="0"/>
    <x v="171"/>
    <n v="5"/>
  </r>
  <r>
    <x v="73"/>
    <x v="1"/>
    <b v="0"/>
    <x v="171"/>
    <n v="5"/>
  </r>
  <r>
    <x v="23"/>
    <x v="1"/>
    <b v="0"/>
    <x v="171"/>
    <n v="5"/>
  </r>
  <r>
    <x v="44"/>
    <x v="1"/>
    <b v="0"/>
    <x v="171"/>
    <n v="5"/>
  </r>
  <r>
    <x v="86"/>
    <x v="1"/>
    <b v="0"/>
    <x v="171"/>
    <n v="5"/>
  </r>
  <r>
    <x v="75"/>
    <x v="1"/>
    <b v="0"/>
    <x v="171"/>
    <n v="5"/>
  </r>
  <r>
    <x v="80"/>
    <x v="1"/>
    <b v="0"/>
    <x v="171"/>
    <n v="5"/>
  </r>
  <r>
    <x v="85"/>
    <x v="1"/>
    <b v="0"/>
    <x v="171"/>
    <n v="5"/>
  </r>
  <r>
    <x v="15"/>
    <x v="2"/>
    <b v="0"/>
    <x v="171"/>
    <n v="36.33"/>
  </r>
  <r>
    <x v="0"/>
    <x v="0"/>
    <b v="0"/>
    <x v="172"/>
    <n v="-65.94"/>
  </r>
  <r>
    <x v="1"/>
    <x v="0"/>
    <b v="0"/>
    <x v="172"/>
    <n v="-32.26"/>
  </r>
  <r>
    <x v="13"/>
    <x v="0"/>
    <b v="0"/>
    <x v="172"/>
    <n v="-2.5"/>
  </r>
  <r>
    <x v="20"/>
    <x v="0"/>
    <b v="0"/>
    <x v="172"/>
    <n v="-9.33"/>
  </r>
  <r>
    <x v="88"/>
    <x v="1"/>
    <b v="0"/>
    <x v="172"/>
    <n v="5"/>
  </r>
  <r>
    <x v="12"/>
    <x v="1"/>
    <b v="0"/>
    <x v="172"/>
    <n v="5"/>
  </r>
  <r>
    <x v="70"/>
    <x v="1"/>
    <b v="0"/>
    <x v="172"/>
    <n v="5"/>
  </r>
  <r>
    <x v="83"/>
    <x v="1"/>
    <b v="0"/>
    <x v="172"/>
    <n v="5"/>
  </r>
  <r>
    <x v="71"/>
    <x v="1"/>
    <b v="0"/>
    <x v="172"/>
    <n v="5"/>
  </r>
  <r>
    <x v="72"/>
    <x v="1"/>
    <b v="0"/>
    <x v="172"/>
    <n v="5"/>
  </r>
  <r>
    <x v="32"/>
    <x v="1"/>
    <b v="0"/>
    <x v="172"/>
    <n v="5"/>
  </r>
  <r>
    <x v="57"/>
    <x v="1"/>
    <b v="0"/>
    <x v="172"/>
    <n v="5"/>
  </r>
  <r>
    <x v="40"/>
    <x v="1"/>
    <b v="0"/>
    <x v="172"/>
    <n v="5"/>
  </r>
  <r>
    <x v="18"/>
    <x v="1"/>
    <b v="0"/>
    <x v="172"/>
    <n v="5"/>
  </r>
  <r>
    <x v="84"/>
    <x v="1"/>
    <b v="0"/>
    <x v="172"/>
    <n v="5"/>
  </r>
  <r>
    <x v="41"/>
    <x v="1"/>
    <b v="0"/>
    <x v="172"/>
    <n v="1E-3"/>
  </r>
  <r>
    <x v="81"/>
    <x v="1"/>
    <b v="0"/>
    <x v="172"/>
    <n v="5"/>
  </r>
  <r>
    <x v="82"/>
    <x v="1"/>
    <b v="0"/>
    <x v="172"/>
    <n v="5"/>
  </r>
  <r>
    <x v="87"/>
    <x v="1"/>
    <b v="0"/>
    <x v="172"/>
    <n v="5"/>
  </r>
  <r>
    <x v="73"/>
    <x v="1"/>
    <b v="0"/>
    <x v="172"/>
    <n v="5"/>
  </r>
  <r>
    <x v="23"/>
    <x v="1"/>
    <b v="0"/>
    <x v="172"/>
    <n v="5"/>
  </r>
  <r>
    <x v="44"/>
    <x v="1"/>
    <b v="0"/>
    <x v="172"/>
    <n v="5"/>
  </r>
  <r>
    <x v="86"/>
    <x v="1"/>
    <b v="0"/>
    <x v="172"/>
    <n v="5"/>
  </r>
  <r>
    <x v="75"/>
    <x v="1"/>
    <b v="0"/>
    <x v="172"/>
    <n v="5"/>
  </r>
  <r>
    <x v="80"/>
    <x v="1"/>
    <b v="0"/>
    <x v="172"/>
    <n v="5"/>
  </r>
  <r>
    <x v="85"/>
    <x v="1"/>
    <b v="0"/>
    <x v="172"/>
    <n v="5"/>
  </r>
  <r>
    <x v="15"/>
    <x v="2"/>
    <b v="0"/>
    <x v="172"/>
    <n v="34.78"/>
  </r>
  <r>
    <x v="0"/>
    <x v="0"/>
    <b v="0"/>
    <x v="173"/>
    <n v="-65.94"/>
  </r>
  <r>
    <x v="16"/>
    <x v="0"/>
    <b v="0"/>
    <x v="173"/>
    <n v="-5.88"/>
  </r>
  <r>
    <x v="1"/>
    <x v="0"/>
    <b v="0"/>
    <x v="173"/>
    <n v="-42.480000000000004"/>
  </r>
  <r>
    <x v="13"/>
    <x v="0"/>
    <b v="0"/>
    <x v="173"/>
    <n v="-12.494999999999999"/>
  </r>
  <r>
    <x v="88"/>
    <x v="1"/>
    <b v="0"/>
    <x v="173"/>
    <n v="5"/>
  </r>
  <r>
    <x v="12"/>
    <x v="1"/>
    <b v="0"/>
    <x v="173"/>
    <n v="5"/>
  </r>
  <r>
    <x v="70"/>
    <x v="1"/>
    <b v="0"/>
    <x v="173"/>
    <n v="5"/>
  </r>
  <r>
    <x v="83"/>
    <x v="1"/>
    <b v="0"/>
    <x v="173"/>
    <n v="5"/>
  </r>
  <r>
    <x v="71"/>
    <x v="1"/>
    <b v="0"/>
    <x v="173"/>
    <n v="5"/>
  </r>
  <r>
    <x v="72"/>
    <x v="1"/>
    <b v="0"/>
    <x v="173"/>
    <n v="5"/>
  </r>
  <r>
    <x v="32"/>
    <x v="1"/>
    <b v="0"/>
    <x v="173"/>
    <n v="5"/>
  </r>
  <r>
    <x v="40"/>
    <x v="1"/>
    <b v="0"/>
    <x v="173"/>
    <n v="5"/>
  </r>
  <r>
    <x v="18"/>
    <x v="1"/>
    <b v="0"/>
    <x v="173"/>
    <n v="0"/>
  </r>
  <r>
    <x v="84"/>
    <x v="1"/>
    <b v="0"/>
    <x v="173"/>
    <n v="5"/>
  </r>
  <r>
    <x v="41"/>
    <x v="1"/>
    <b v="0"/>
    <x v="173"/>
    <n v="1E-3"/>
  </r>
  <r>
    <x v="81"/>
    <x v="1"/>
    <b v="0"/>
    <x v="173"/>
    <n v="5"/>
  </r>
  <r>
    <x v="82"/>
    <x v="1"/>
    <b v="0"/>
    <x v="173"/>
    <n v="5"/>
  </r>
  <r>
    <x v="87"/>
    <x v="1"/>
    <b v="0"/>
    <x v="173"/>
    <n v="5"/>
  </r>
  <r>
    <x v="73"/>
    <x v="1"/>
    <b v="0"/>
    <x v="173"/>
    <n v="5"/>
  </r>
  <r>
    <x v="23"/>
    <x v="1"/>
    <b v="0"/>
    <x v="173"/>
    <n v="5"/>
  </r>
  <r>
    <x v="44"/>
    <x v="1"/>
    <b v="0"/>
    <x v="173"/>
    <n v="5"/>
  </r>
  <r>
    <x v="86"/>
    <x v="1"/>
    <b v="0"/>
    <x v="173"/>
    <n v="5"/>
  </r>
  <r>
    <x v="75"/>
    <x v="1"/>
    <b v="0"/>
    <x v="173"/>
    <n v="5"/>
  </r>
  <r>
    <x v="80"/>
    <x v="1"/>
    <b v="0"/>
    <x v="173"/>
    <n v="5"/>
  </r>
  <r>
    <x v="85"/>
    <x v="1"/>
    <b v="0"/>
    <x v="173"/>
    <n v="5"/>
  </r>
  <r>
    <x v="15"/>
    <x v="2"/>
    <b v="0"/>
    <x v="173"/>
    <n v="29.95"/>
  </r>
  <r>
    <x v="0"/>
    <x v="0"/>
    <b v="0"/>
    <x v="174"/>
    <n v="-65.94"/>
  </r>
  <r>
    <x v="16"/>
    <x v="0"/>
    <b v="0"/>
    <x v="174"/>
    <n v="-5.88"/>
  </r>
  <r>
    <x v="1"/>
    <x v="0"/>
    <b v="0"/>
    <x v="174"/>
    <n v="-41.489999999999995"/>
  </r>
  <r>
    <x v="13"/>
    <x v="0"/>
    <b v="0"/>
    <x v="174"/>
    <n v="-12.494999999999999"/>
  </r>
  <r>
    <x v="88"/>
    <x v="1"/>
    <b v="0"/>
    <x v="174"/>
    <n v="5"/>
  </r>
  <r>
    <x v="12"/>
    <x v="1"/>
    <b v="0"/>
    <x v="174"/>
    <n v="5"/>
  </r>
  <r>
    <x v="70"/>
    <x v="1"/>
    <b v="0"/>
    <x v="174"/>
    <n v="5"/>
  </r>
  <r>
    <x v="89"/>
    <x v="1"/>
    <b v="0"/>
    <x v="174"/>
    <n v="5"/>
  </r>
  <r>
    <x v="83"/>
    <x v="1"/>
    <b v="0"/>
    <x v="174"/>
    <n v="5"/>
  </r>
  <r>
    <x v="71"/>
    <x v="1"/>
    <b v="0"/>
    <x v="174"/>
    <n v="5"/>
  </r>
  <r>
    <x v="72"/>
    <x v="1"/>
    <b v="0"/>
    <x v="174"/>
    <n v="5"/>
  </r>
  <r>
    <x v="32"/>
    <x v="1"/>
    <b v="0"/>
    <x v="174"/>
    <n v="5"/>
  </r>
  <r>
    <x v="90"/>
    <x v="1"/>
    <b v="0"/>
    <x v="174"/>
    <n v="5"/>
  </r>
  <r>
    <x v="40"/>
    <x v="1"/>
    <b v="0"/>
    <x v="174"/>
    <n v="5"/>
  </r>
  <r>
    <x v="18"/>
    <x v="1"/>
    <b v="0"/>
    <x v="174"/>
    <n v="5"/>
  </r>
  <r>
    <x v="84"/>
    <x v="1"/>
    <b v="0"/>
    <x v="174"/>
    <n v="5"/>
  </r>
  <r>
    <x v="41"/>
    <x v="1"/>
    <b v="0"/>
    <x v="174"/>
    <n v="1E-3"/>
  </r>
  <r>
    <x v="81"/>
    <x v="1"/>
    <b v="0"/>
    <x v="174"/>
    <n v="5"/>
  </r>
  <r>
    <x v="82"/>
    <x v="1"/>
    <b v="0"/>
    <x v="174"/>
    <n v="5"/>
  </r>
  <r>
    <x v="87"/>
    <x v="1"/>
    <b v="0"/>
    <x v="174"/>
    <n v="5"/>
  </r>
  <r>
    <x v="73"/>
    <x v="1"/>
    <b v="0"/>
    <x v="174"/>
    <n v="5"/>
  </r>
  <r>
    <x v="23"/>
    <x v="1"/>
    <b v="0"/>
    <x v="174"/>
    <n v="5"/>
  </r>
  <r>
    <x v="44"/>
    <x v="1"/>
    <b v="0"/>
    <x v="174"/>
    <n v="5"/>
  </r>
  <r>
    <x v="86"/>
    <x v="1"/>
    <b v="0"/>
    <x v="174"/>
    <n v="5"/>
  </r>
  <r>
    <x v="75"/>
    <x v="1"/>
    <b v="0"/>
    <x v="174"/>
    <n v="5"/>
  </r>
  <r>
    <x v="80"/>
    <x v="1"/>
    <b v="0"/>
    <x v="174"/>
    <n v="5"/>
  </r>
  <r>
    <x v="85"/>
    <x v="1"/>
    <b v="0"/>
    <x v="174"/>
    <n v="5"/>
  </r>
  <r>
    <x v="15"/>
    <x v="2"/>
    <b v="0"/>
    <x v="174"/>
    <n v="28.38"/>
  </r>
  <r>
    <x v="0"/>
    <x v="0"/>
    <b v="0"/>
    <x v="175"/>
    <n v="-65.94"/>
  </r>
  <r>
    <x v="16"/>
    <x v="0"/>
    <b v="0"/>
    <x v="175"/>
    <n v="-11.81"/>
  </r>
  <r>
    <x v="1"/>
    <x v="0"/>
    <b v="0"/>
    <x v="175"/>
    <n v="-47.47"/>
  </r>
  <r>
    <x v="13"/>
    <x v="0"/>
    <b v="0"/>
    <x v="175"/>
    <n v="-2.69"/>
  </r>
  <r>
    <x v="20"/>
    <x v="0"/>
    <b v="0"/>
    <x v="175"/>
    <n v="-5"/>
  </r>
  <r>
    <x v="88"/>
    <x v="1"/>
    <b v="0"/>
    <x v="175"/>
    <n v="5"/>
  </r>
  <r>
    <x v="12"/>
    <x v="1"/>
    <b v="0"/>
    <x v="175"/>
    <n v="5"/>
  </r>
  <r>
    <x v="70"/>
    <x v="1"/>
    <b v="0"/>
    <x v="175"/>
    <n v="5"/>
  </r>
  <r>
    <x v="89"/>
    <x v="1"/>
    <b v="0"/>
    <x v="175"/>
    <n v="5"/>
  </r>
  <r>
    <x v="83"/>
    <x v="1"/>
    <b v="0"/>
    <x v="175"/>
    <n v="5"/>
  </r>
  <r>
    <x v="71"/>
    <x v="1"/>
    <b v="0"/>
    <x v="175"/>
    <n v="5"/>
  </r>
  <r>
    <x v="72"/>
    <x v="1"/>
    <b v="0"/>
    <x v="175"/>
    <n v="5"/>
  </r>
  <r>
    <x v="32"/>
    <x v="1"/>
    <b v="0"/>
    <x v="175"/>
    <n v="5"/>
  </r>
  <r>
    <x v="90"/>
    <x v="1"/>
    <b v="0"/>
    <x v="175"/>
    <n v="5"/>
  </r>
  <r>
    <x v="40"/>
    <x v="1"/>
    <b v="0"/>
    <x v="175"/>
    <n v="5"/>
  </r>
  <r>
    <x v="18"/>
    <x v="1"/>
    <b v="0"/>
    <x v="175"/>
    <n v="5"/>
  </r>
  <r>
    <x v="84"/>
    <x v="1"/>
    <b v="0"/>
    <x v="175"/>
    <n v="5"/>
  </r>
  <r>
    <x v="41"/>
    <x v="1"/>
    <b v="0"/>
    <x v="175"/>
    <n v="1E-3"/>
  </r>
  <r>
    <x v="81"/>
    <x v="1"/>
    <b v="0"/>
    <x v="175"/>
    <n v="5"/>
  </r>
  <r>
    <x v="82"/>
    <x v="1"/>
    <b v="0"/>
    <x v="175"/>
    <n v="5"/>
  </r>
  <r>
    <x v="87"/>
    <x v="1"/>
    <b v="0"/>
    <x v="175"/>
    <n v="5"/>
  </r>
  <r>
    <x v="73"/>
    <x v="1"/>
    <b v="0"/>
    <x v="175"/>
    <n v="5"/>
  </r>
  <r>
    <x v="23"/>
    <x v="1"/>
    <b v="0"/>
    <x v="175"/>
    <n v="5"/>
  </r>
  <r>
    <x v="44"/>
    <x v="1"/>
    <b v="0"/>
    <x v="175"/>
    <n v="5"/>
  </r>
  <r>
    <x v="86"/>
    <x v="1"/>
    <b v="0"/>
    <x v="175"/>
    <n v="5"/>
  </r>
  <r>
    <x v="75"/>
    <x v="1"/>
    <b v="0"/>
    <x v="175"/>
    <n v="5"/>
  </r>
  <r>
    <x v="80"/>
    <x v="1"/>
    <b v="0"/>
    <x v="175"/>
    <n v="5"/>
  </r>
  <r>
    <x v="85"/>
    <x v="1"/>
    <b v="0"/>
    <x v="175"/>
    <n v="5"/>
  </r>
  <r>
    <x v="15"/>
    <x v="2"/>
    <b v="0"/>
    <x v="175"/>
    <n v="28.28"/>
  </r>
  <r>
    <x v="0"/>
    <x v="0"/>
    <b v="0"/>
    <x v="176"/>
    <n v="-65.94"/>
  </r>
  <r>
    <x v="16"/>
    <x v="0"/>
    <b v="0"/>
    <x v="176"/>
    <n v="-10"/>
  </r>
  <r>
    <x v="1"/>
    <x v="0"/>
    <b v="0"/>
    <x v="176"/>
    <n v="-50.53"/>
  </r>
  <r>
    <x v="13"/>
    <x v="0"/>
    <b v="0"/>
    <x v="176"/>
    <n v="-9.7449999999999992"/>
  </r>
  <r>
    <x v="88"/>
    <x v="1"/>
    <b v="0"/>
    <x v="176"/>
    <n v="5"/>
  </r>
  <r>
    <x v="12"/>
    <x v="1"/>
    <b v="0"/>
    <x v="176"/>
    <n v="5"/>
  </r>
  <r>
    <x v="70"/>
    <x v="1"/>
    <b v="0"/>
    <x v="176"/>
    <n v="5"/>
  </r>
  <r>
    <x v="89"/>
    <x v="1"/>
    <b v="0"/>
    <x v="176"/>
    <n v="0.01"/>
  </r>
  <r>
    <x v="83"/>
    <x v="1"/>
    <b v="0"/>
    <x v="176"/>
    <n v="5"/>
  </r>
  <r>
    <x v="71"/>
    <x v="1"/>
    <b v="0"/>
    <x v="176"/>
    <n v="5"/>
  </r>
  <r>
    <x v="72"/>
    <x v="1"/>
    <b v="0"/>
    <x v="176"/>
    <n v="5"/>
  </r>
  <r>
    <x v="32"/>
    <x v="1"/>
    <b v="0"/>
    <x v="176"/>
    <n v="5"/>
  </r>
  <r>
    <x v="90"/>
    <x v="1"/>
    <b v="0"/>
    <x v="176"/>
    <n v="5"/>
  </r>
  <r>
    <x v="40"/>
    <x v="1"/>
    <b v="0"/>
    <x v="176"/>
    <n v="5"/>
  </r>
  <r>
    <x v="18"/>
    <x v="1"/>
    <b v="0"/>
    <x v="176"/>
    <n v="5"/>
  </r>
  <r>
    <x v="84"/>
    <x v="1"/>
    <b v="0"/>
    <x v="176"/>
    <n v="5"/>
  </r>
  <r>
    <x v="41"/>
    <x v="1"/>
    <b v="0"/>
    <x v="176"/>
    <n v="1E-3"/>
  </r>
  <r>
    <x v="81"/>
    <x v="1"/>
    <b v="0"/>
    <x v="176"/>
    <n v="5"/>
  </r>
  <r>
    <x v="82"/>
    <x v="1"/>
    <b v="0"/>
    <x v="176"/>
    <n v="5"/>
  </r>
  <r>
    <x v="87"/>
    <x v="1"/>
    <b v="0"/>
    <x v="176"/>
    <n v="5"/>
  </r>
  <r>
    <x v="73"/>
    <x v="1"/>
    <b v="0"/>
    <x v="176"/>
    <n v="5"/>
  </r>
  <r>
    <x v="23"/>
    <x v="1"/>
    <b v="0"/>
    <x v="176"/>
    <n v="5"/>
  </r>
  <r>
    <x v="44"/>
    <x v="1"/>
    <b v="0"/>
    <x v="176"/>
    <n v="5"/>
  </r>
  <r>
    <x v="86"/>
    <x v="1"/>
    <b v="0"/>
    <x v="176"/>
    <n v="5"/>
  </r>
  <r>
    <x v="75"/>
    <x v="1"/>
    <b v="0"/>
    <x v="176"/>
    <n v="5"/>
  </r>
  <r>
    <x v="80"/>
    <x v="1"/>
    <b v="0"/>
    <x v="176"/>
    <n v="5"/>
  </r>
  <r>
    <x v="85"/>
    <x v="1"/>
    <b v="0"/>
    <x v="176"/>
    <n v="5"/>
  </r>
  <r>
    <x v="15"/>
    <x v="2"/>
    <b v="0"/>
    <x v="176"/>
    <n v="27.62"/>
  </r>
  <r>
    <x v="0"/>
    <x v="0"/>
    <b v="0"/>
    <x v="177"/>
    <n v="-76.930000000000007"/>
  </r>
  <r>
    <x v="1"/>
    <x v="0"/>
    <b v="0"/>
    <x v="177"/>
    <n v="-54.03"/>
  </r>
  <r>
    <x v="13"/>
    <x v="0"/>
    <b v="0"/>
    <x v="177"/>
    <n v="-14.744999999999999"/>
  </r>
  <r>
    <x v="88"/>
    <x v="1"/>
    <b v="0"/>
    <x v="177"/>
    <n v="5"/>
  </r>
  <r>
    <x v="12"/>
    <x v="1"/>
    <b v="0"/>
    <x v="177"/>
    <n v="5"/>
  </r>
  <r>
    <x v="70"/>
    <x v="1"/>
    <b v="0"/>
    <x v="177"/>
    <n v="5"/>
  </r>
  <r>
    <x v="89"/>
    <x v="1"/>
    <b v="0"/>
    <x v="177"/>
    <n v="5"/>
  </r>
  <r>
    <x v="83"/>
    <x v="1"/>
    <b v="0"/>
    <x v="177"/>
    <n v="5"/>
  </r>
  <r>
    <x v="71"/>
    <x v="1"/>
    <b v="0"/>
    <x v="177"/>
    <n v="5"/>
  </r>
  <r>
    <x v="72"/>
    <x v="1"/>
    <b v="0"/>
    <x v="177"/>
    <n v="5"/>
  </r>
  <r>
    <x v="32"/>
    <x v="1"/>
    <b v="0"/>
    <x v="177"/>
    <n v="5"/>
  </r>
  <r>
    <x v="90"/>
    <x v="1"/>
    <b v="0"/>
    <x v="177"/>
    <n v="5"/>
  </r>
  <r>
    <x v="40"/>
    <x v="1"/>
    <b v="0"/>
    <x v="177"/>
    <n v="5"/>
  </r>
  <r>
    <x v="18"/>
    <x v="1"/>
    <b v="0"/>
    <x v="177"/>
    <n v="5"/>
  </r>
  <r>
    <x v="84"/>
    <x v="1"/>
    <b v="0"/>
    <x v="177"/>
    <n v="5"/>
  </r>
  <r>
    <x v="41"/>
    <x v="1"/>
    <b v="0"/>
    <x v="177"/>
    <n v="1E-3"/>
  </r>
  <r>
    <x v="81"/>
    <x v="1"/>
    <b v="0"/>
    <x v="177"/>
    <n v="5"/>
  </r>
  <r>
    <x v="82"/>
    <x v="1"/>
    <b v="0"/>
    <x v="177"/>
    <n v="5"/>
  </r>
  <r>
    <x v="87"/>
    <x v="1"/>
    <b v="0"/>
    <x v="177"/>
    <n v="5"/>
  </r>
  <r>
    <x v="73"/>
    <x v="1"/>
    <b v="0"/>
    <x v="177"/>
    <n v="5"/>
  </r>
  <r>
    <x v="23"/>
    <x v="1"/>
    <b v="0"/>
    <x v="177"/>
    <n v="5"/>
  </r>
  <r>
    <x v="44"/>
    <x v="1"/>
    <b v="0"/>
    <x v="177"/>
    <n v="5"/>
  </r>
  <r>
    <x v="86"/>
    <x v="1"/>
    <b v="0"/>
    <x v="177"/>
    <n v="5"/>
  </r>
  <r>
    <x v="75"/>
    <x v="1"/>
    <b v="0"/>
    <x v="177"/>
    <n v="5"/>
  </r>
  <r>
    <x v="80"/>
    <x v="1"/>
    <b v="0"/>
    <x v="177"/>
    <n v="5"/>
  </r>
  <r>
    <x v="85"/>
    <x v="1"/>
    <b v="0"/>
    <x v="177"/>
    <n v="5"/>
  </r>
  <r>
    <x v="15"/>
    <x v="2"/>
    <b v="0"/>
    <x v="177"/>
    <n v="32.35"/>
  </r>
  <r>
    <x v="0"/>
    <x v="0"/>
    <b v="0"/>
    <x v="178"/>
    <n v="-65.94"/>
  </r>
  <r>
    <x v="1"/>
    <x v="0"/>
    <b v="0"/>
    <x v="178"/>
    <n v="-42.94"/>
  </r>
  <r>
    <x v="13"/>
    <x v="0"/>
    <b v="0"/>
    <x v="178"/>
    <n v="-5"/>
  </r>
  <r>
    <x v="20"/>
    <x v="0"/>
    <b v="0"/>
    <x v="178"/>
    <n v="-8.49"/>
  </r>
  <r>
    <x v="88"/>
    <x v="1"/>
    <b v="0"/>
    <x v="178"/>
    <n v="5"/>
  </r>
  <r>
    <x v="12"/>
    <x v="1"/>
    <b v="0"/>
    <x v="178"/>
    <n v="5"/>
  </r>
  <r>
    <x v="91"/>
    <x v="1"/>
    <b v="0"/>
    <x v="178"/>
    <n v="0.01"/>
  </r>
  <r>
    <x v="70"/>
    <x v="1"/>
    <b v="0"/>
    <x v="178"/>
    <n v="5"/>
  </r>
  <r>
    <x v="89"/>
    <x v="1"/>
    <b v="0"/>
    <x v="178"/>
    <n v="5"/>
  </r>
  <r>
    <x v="92"/>
    <x v="1"/>
    <b v="0"/>
    <x v="178"/>
    <n v="5"/>
  </r>
  <r>
    <x v="83"/>
    <x v="1"/>
    <b v="0"/>
    <x v="178"/>
    <n v="5"/>
  </r>
  <r>
    <x v="71"/>
    <x v="1"/>
    <b v="0"/>
    <x v="178"/>
    <n v="5"/>
  </r>
  <r>
    <x v="72"/>
    <x v="1"/>
    <b v="0"/>
    <x v="178"/>
    <n v="5"/>
  </r>
  <r>
    <x v="32"/>
    <x v="1"/>
    <b v="0"/>
    <x v="178"/>
    <n v="5"/>
  </r>
  <r>
    <x v="90"/>
    <x v="1"/>
    <b v="0"/>
    <x v="178"/>
    <n v="5"/>
  </r>
  <r>
    <x v="40"/>
    <x v="1"/>
    <b v="0"/>
    <x v="178"/>
    <n v="5"/>
  </r>
  <r>
    <x v="18"/>
    <x v="1"/>
    <b v="0"/>
    <x v="178"/>
    <n v="5"/>
  </r>
  <r>
    <x v="84"/>
    <x v="1"/>
    <b v="0"/>
    <x v="178"/>
    <n v="5"/>
  </r>
  <r>
    <x v="41"/>
    <x v="1"/>
    <b v="0"/>
    <x v="178"/>
    <n v="1E-3"/>
  </r>
  <r>
    <x v="81"/>
    <x v="1"/>
    <b v="0"/>
    <x v="178"/>
    <n v="5"/>
  </r>
  <r>
    <x v="82"/>
    <x v="1"/>
    <b v="0"/>
    <x v="178"/>
    <n v="5"/>
  </r>
  <r>
    <x v="87"/>
    <x v="1"/>
    <b v="0"/>
    <x v="178"/>
    <n v="5"/>
  </r>
  <r>
    <x v="73"/>
    <x v="1"/>
    <b v="0"/>
    <x v="178"/>
    <n v="5"/>
  </r>
  <r>
    <x v="23"/>
    <x v="1"/>
    <b v="0"/>
    <x v="178"/>
    <n v="5"/>
  </r>
  <r>
    <x v="44"/>
    <x v="1"/>
    <b v="0"/>
    <x v="178"/>
    <n v="5"/>
  </r>
  <r>
    <x v="86"/>
    <x v="1"/>
    <b v="0"/>
    <x v="178"/>
    <n v="5"/>
  </r>
  <r>
    <x v="75"/>
    <x v="1"/>
    <b v="0"/>
    <x v="178"/>
    <n v="5"/>
  </r>
  <r>
    <x v="80"/>
    <x v="1"/>
    <b v="0"/>
    <x v="178"/>
    <n v="5"/>
  </r>
  <r>
    <x v="85"/>
    <x v="1"/>
    <b v="0"/>
    <x v="178"/>
    <n v="5"/>
  </r>
  <r>
    <x v="15"/>
    <x v="2"/>
    <b v="0"/>
    <x v="178"/>
    <n v="32.049999999999997"/>
  </r>
  <r>
    <x v="0"/>
    <x v="0"/>
    <b v="0"/>
    <x v="179"/>
    <n v="-61.070000000000014"/>
  </r>
  <r>
    <x v="1"/>
    <x v="0"/>
    <b v="0"/>
    <x v="179"/>
    <n v="-31.96"/>
  </r>
  <r>
    <x v="13"/>
    <x v="0"/>
    <b v="0"/>
    <x v="179"/>
    <n v="-24.97"/>
  </r>
  <r>
    <x v="88"/>
    <x v="1"/>
    <b v="0"/>
    <x v="179"/>
    <n v="5"/>
  </r>
  <r>
    <x v="12"/>
    <x v="1"/>
    <b v="0"/>
    <x v="179"/>
    <n v="5"/>
  </r>
  <r>
    <x v="91"/>
    <x v="1"/>
    <b v="0"/>
    <x v="179"/>
    <n v="5"/>
  </r>
  <r>
    <x v="70"/>
    <x v="1"/>
    <b v="0"/>
    <x v="179"/>
    <n v="5"/>
  </r>
  <r>
    <x v="89"/>
    <x v="1"/>
    <b v="0"/>
    <x v="179"/>
    <n v="5"/>
  </r>
  <r>
    <x v="92"/>
    <x v="1"/>
    <b v="0"/>
    <x v="179"/>
    <n v="5"/>
  </r>
  <r>
    <x v="83"/>
    <x v="1"/>
    <b v="0"/>
    <x v="179"/>
    <n v="5"/>
  </r>
  <r>
    <x v="71"/>
    <x v="1"/>
    <b v="0"/>
    <x v="179"/>
    <n v="5"/>
  </r>
  <r>
    <x v="72"/>
    <x v="1"/>
    <b v="0"/>
    <x v="179"/>
    <n v="5"/>
  </r>
  <r>
    <x v="32"/>
    <x v="1"/>
    <b v="0"/>
    <x v="179"/>
    <n v="5"/>
  </r>
  <r>
    <x v="90"/>
    <x v="1"/>
    <b v="0"/>
    <x v="179"/>
    <n v="5"/>
  </r>
  <r>
    <x v="40"/>
    <x v="1"/>
    <b v="0"/>
    <x v="179"/>
    <n v="5"/>
  </r>
  <r>
    <x v="18"/>
    <x v="1"/>
    <b v="0"/>
    <x v="179"/>
    <n v="5"/>
  </r>
  <r>
    <x v="84"/>
    <x v="1"/>
    <b v="0"/>
    <x v="179"/>
    <n v="5"/>
  </r>
  <r>
    <x v="41"/>
    <x v="1"/>
    <b v="0"/>
    <x v="179"/>
    <n v="1E-3"/>
  </r>
  <r>
    <x v="81"/>
    <x v="1"/>
    <b v="0"/>
    <x v="179"/>
    <n v="5"/>
  </r>
  <r>
    <x v="82"/>
    <x v="1"/>
    <b v="0"/>
    <x v="179"/>
    <n v="5"/>
  </r>
  <r>
    <x v="87"/>
    <x v="1"/>
    <b v="0"/>
    <x v="179"/>
    <n v="5"/>
  </r>
  <r>
    <x v="73"/>
    <x v="1"/>
    <b v="0"/>
    <x v="179"/>
    <n v="5"/>
  </r>
  <r>
    <x v="23"/>
    <x v="1"/>
    <b v="0"/>
    <x v="179"/>
    <n v="0"/>
  </r>
  <r>
    <x v="44"/>
    <x v="1"/>
    <b v="0"/>
    <x v="179"/>
    <n v="5"/>
  </r>
  <r>
    <x v="86"/>
    <x v="1"/>
    <b v="0"/>
    <x v="179"/>
    <n v="5"/>
  </r>
  <r>
    <x v="75"/>
    <x v="1"/>
    <b v="0"/>
    <x v="179"/>
    <n v="5"/>
  </r>
  <r>
    <x v="80"/>
    <x v="1"/>
    <b v="0"/>
    <x v="179"/>
    <n v="5"/>
  </r>
  <r>
    <x v="85"/>
    <x v="1"/>
    <b v="0"/>
    <x v="179"/>
    <n v="5"/>
  </r>
  <r>
    <x v="15"/>
    <x v="2"/>
    <b v="0"/>
    <x v="179"/>
    <n v="17.229999999999997"/>
  </r>
  <r>
    <x v="0"/>
    <x v="0"/>
    <b v="0"/>
    <x v="180"/>
    <n v="-62.94"/>
  </r>
  <r>
    <x v="16"/>
    <x v="0"/>
    <b v="0"/>
    <x v="180"/>
    <n v="-9.98"/>
  </r>
  <r>
    <x v="1"/>
    <x v="0"/>
    <b v="0"/>
    <x v="180"/>
    <n v="-36.549999999999997"/>
  </r>
  <r>
    <x v="13"/>
    <x v="0"/>
    <b v="0"/>
    <x v="180"/>
    <n v="-2.5"/>
  </r>
  <r>
    <x v="88"/>
    <x v="1"/>
    <b v="0"/>
    <x v="180"/>
    <n v="5"/>
  </r>
  <r>
    <x v="12"/>
    <x v="1"/>
    <b v="0"/>
    <x v="180"/>
    <n v="5"/>
  </r>
  <r>
    <x v="70"/>
    <x v="1"/>
    <b v="0"/>
    <x v="180"/>
    <n v="5"/>
  </r>
  <r>
    <x v="89"/>
    <x v="1"/>
    <b v="0"/>
    <x v="180"/>
    <n v="5"/>
  </r>
  <r>
    <x v="92"/>
    <x v="1"/>
    <b v="0"/>
    <x v="180"/>
    <n v="5"/>
  </r>
  <r>
    <x v="71"/>
    <x v="1"/>
    <b v="0"/>
    <x v="180"/>
    <n v="5"/>
  </r>
  <r>
    <x v="72"/>
    <x v="1"/>
    <b v="0"/>
    <x v="180"/>
    <n v="5"/>
  </r>
  <r>
    <x v="32"/>
    <x v="1"/>
    <b v="0"/>
    <x v="180"/>
    <n v="5"/>
  </r>
  <r>
    <x v="90"/>
    <x v="1"/>
    <b v="0"/>
    <x v="180"/>
    <n v="5"/>
  </r>
  <r>
    <x v="40"/>
    <x v="1"/>
    <b v="0"/>
    <x v="180"/>
    <n v="5"/>
  </r>
  <r>
    <x v="18"/>
    <x v="1"/>
    <b v="0"/>
    <x v="180"/>
    <n v="0"/>
  </r>
  <r>
    <x v="84"/>
    <x v="1"/>
    <b v="0"/>
    <x v="180"/>
    <n v="5"/>
  </r>
  <r>
    <x v="41"/>
    <x v="1"/>
    <b v="0"/>
    <x v="180"/>
    <n v="1E-3"/>
  </r>
  <r>
    <x v="81"/>
    <x v="1"/>
    <b v="0"/>
    <x v="180"/>
    <n v="5"/>
  </r>
  <r>
    <x v="82"/>
    <x v="1"/>
    <b v="0"/>
    <x v="180"/>
    <n v="5"/>
  </r>
  <r>
    <x v="87"/>
    <x v="1"/>
    <b v="0"/>
    <x v="180"/>
    <n v="5"/>
  </r>
  <r>
    <x v="73"/>
    <x v="1"/>
    <b v="0"/>
    <x v="180"/>
    <n v="5"/>
  </r>
  <r>
    <x v="44"/>
    <x v="1"/>
    <b v="0"/>
    <x v="180"/>
    <n v="5"/>
  </r>
  <r>
    <x v="86"/>
    <x v="1"/>
    <b v="0"/>
    <x v="180"/>
    <n v="5"/>
  </r>
  <r>
    <x v="75"/>
    <x v="1"/>
    <b v="0"/>
    <x v="180"/>
    <n v="5"/>
  </r>
  <r>
    <x v="80"/>
    <x v="1"/>
    <b v="0"/>
    <x v="180"/>
    <n v="5"/>
  </r>
  <r>
    <x v="85"/>
    <x v="1"/>
    <b v="0"/>
    <x v="180"/>
    <n v="5"/>
  </r>
  <r>
    <x v="15"/>
    <x v="2"/>
    <b v="0"/>
    <x v="180"/>
    <n v="27.740000000000002"/>
  </r>
  <r>
    <x v="0"/>
    <x v="0"/>
    <b v="0"/>
    <x v="181"/>
    <n v="-62.94"/>
  </r>
  <r>
    <x v="1"/>
    <x v="0"/>
    <b v="0"/>
    <x v="181"/>
    <n v="-22.27"/>
  </r>
  <r>
    <x v="13"/>
    <x v="0"/>
    <b v="0"/>
    <x v="181"/>
    <n v="-2.5"/>
  </r>
  <r>
    <x v="88"/>
    <x v="1"/>
    <b v="0"/>
    <x v="181"/>
    <n v="5"/>
  </r>
  <r>
    <x v="12"/>
    <x v="1"/>
    <b v="0"/>
    <x v="181"/>
    <n v="5"/>
  </r>
  <r>
    <x v="91"/>
    <x v="1"/>
    <b v="0"/>
    <x v="181"/>
    <n v="5"/>
  </r>
  <r>
    <x v="70"/>
    <x v="1"/>
    <b v="0"/>
    <x v="181"/>
    <n v="5"/>
  </r>
  <r>
    <x v="89"/>
    <x v="1"/>
    <b v="0"/>
    <x v="181"/>
    <n v="5"/>
  </r>
  <r>
    <x v="92"/>
    <x v="1"/>
    <b v="0"/>
    <x v="181"/>
    <n v="5"/>
  </r>
  <r>
    <x v="71"/>
    <x v="1"/>
    <b v="0"/>
    <x v="181"/>
    <n v="5"/>
  </r>
  <r>
    <x v="72"/>
    <x v="1"/>
    <b v="0"/>
    <x v="181"/>
    <n v="5"/>
  </r>
  <r>
    <x v="32"/>
    <x v="1"/>
    <b v="0"/>
    <x v="181"/>
    <n v="5"/>
  </r>
  <r>
    <x v="90"/>
    <x v="1"/>
    <b v="0"/>
    <x v="181"/>
    <n v="5"/>
  </r>
  <r>
    <x v="40"/>
    <x v="1"/>
    <b v="0"/>
    <x v="181"/>
    <n v="5"/>
  </r>
  <r>
    <x v="18"/>
    <x v="1"/>
    <b v="0"/>
    <x v="181"/>
    <n v="5"/>
  </r>
  <r>
    <x v="84"/>
    <x v="1"/>
    <b v="0"/>
    <x v="181"/>
    <n v="5"/>
  </r>
  <r>
    <x v="41"/>
    <x v="1"/>
    <b v="0"/>
    <x v="181"/>
    <n v="1E-3"/>
  </r>
  <r>
    <x v="81"/>
    <x v="1"/>
    <b v="0"/>
    <x v="181"/>
    <n v="5"/>
  </r>
  <r>
    <x v="82"/>
    <x v="1"/>
    <b v="0"/>
    <x v="181"/>
    <n v="5"/>
  </r>
  <r>
    <x v="87"/>
    <x v="1"/>
    <b v="0"/>
    <x v="181"/>
    <n v="5"/>
  </r>
  <r>
    <x v="73"/>
    <x v="1"/>
    <b v="0"/>
    <x v="181"/>
    <n v="5"/>
  </r>
  <r>
    <x v="44"/>
    <x v="1"/>
    <b v="0"/>
    <x v="181"/>
    <n v="5"/>
  </r>
  <r>
    <x v="86"/>
    <x v="1"/>
    <b v="0"/>
    <x v="181"/>
    <n v="5"/>
  </r>
  <r>
    <x v="75"/>
    <x v="1"/>
    <b v="0"/>
    <x v="181"/>
    <n v="5"/>
  </r>
  <r>
    <x v="80"/>
    <x v="1"/>
    <b v="0"/>
    <x v="181"/>
    <n v="5"/>
  </r>
  <r>
    <x v="85"/>
    <x v="1"/>
    <b v="0"/>
    <x v="181"/>
    <n v="5"/>
  </r>
  <r>
    <x v="15"/>
    <x v="2"/>
    <b v="0"/>
    <x v="181"/>
    <n v="29.919999999999998"/>
  </r>
  <r>
    <x v="0"/>
    <x v="0"/>
    <b v="0"/>
    <x v="182"/>
    <n v="-62.94"/>
  </r>
  <r>
    <x v="1"/>
    <x v="0"/>
    <b v="0"/>
    <x v="182"/>
    <n v="-36.549999999999997"/>
  </r>
  <r>
    <x v="13"/>
    <x v="0"/>
    <b v="0"/>
    <x v="182"/>
    <n v="-2.5"/>
  </r>
  <r>
    <x v="20"/>
    <x v="0"/>
    <b v="0"/>
    <x v="182"/>
    <n v="-5"/>
  </r>
  <r>
    <x v="88"/>
    <x v="1"/>
    <b v="0"/>
    <x v="182"/>
    <n v="5"/>
  </r>
  <r>
    <x v="12"/>
    <x v="1"/>
    <b v="0"/>
    <x v="182"/>
    <n v="5"/>
  </r>
  <r>
    <x v="91"/>
    <x v="1"/>
    <b v="0"/>
    <x v="182"/>
    <n v="5"/>
  </r>
  <r>
    <x v="70"/>
    <x v="1"/>
    <b v="0"/>
    <x v="182"/>
    <n v="5"/>
  </r>
  <r>
    <x v="89"/>
    <x v="1"/>
    <b v="0"/>
    <x v="182"/>
    <n v="5"/>
  </r>
  <r>
    <x v="92"/>
    <x v="1"/>
    <b v="0"/>
    <x v="182"/>
    <n v="5"/>
  </r>
  <r>
    <x v="71"/>
    <x v="1"/>
    <b v="0"/>
    <x v="182"/>
    <n v="5"/>
  </r>
  <r>
    <x v="72"/>
    <x v="1"/>
    <b v="0"/>
    <x v="182"/>
    <n v="5"/>
  </r>
  <r>
    <x v="32"/>
    <x v="1"/>
    <b v="0"/>
    <x v="182"/>
    <n v="5"/>
  </r>
  <r>
    <x v="90"/>
    <x v="1"/>
    <b v="0"/>
    <x v="182"/>
    <n v="5"/>
  </r>
  <r>
    <x v="40"/>
    <x v="1"/>
    <b v="0"/>
    <x v="182"/>
    <n v="5"/>
  </r>
  <r>
    <x v="18"/>
    <x v="1"/>
    <b v="0"/>
    <x v="182"/>
    <n v="5"/>
  </r>
  <r>
    <x v="84"/>
    <x v="1"/>
    <b v="0"/>
    <x v="182"/>
    <n v="5"/>
  </r>
  <r>
    <x v="41"/>
    <x v="1"/>
    <b v="0"/>
    <x v="182"/>
    <n v="1E-3"/>
  </r>
  <r>
    <x v="81"/>
    <x v="1"/>
    <b v="0"/>
    <x v="182"/>
    <n v="5"/>
  </r>
  <r>
    <x v="82"/>
    <x v="1"/>
    <b v="0"/>
    <x v="182"/>
    <n v="5"/>
  </r>
  <r>
    <x v="87"/>
    <x v="1"/>
    <b v="0"/>
    <x v="182"/>
    <n v="5"/>
  </r>
  <r>
    <x v="73"/>
    <x v="1"/>
    <b v="0"/>
    <x v="182"/>
    <n v="5"/>
  </r>
  <r>
    <x v="44"/>
    <x v="1"/>
    <b v="0"/>
    <x v="182"/>
    <n v="5"/>
  </r>
  <r>
    <x v="86"/>
    <x v="1"/>
    <b v="0"/>
    <x v="182"/>
    <n v="5"/>
  </r>
  <r>
    <x v="75"/>
    <x v="1"/>
    <b v="0"/>
    <x v="182"/>
    <n v="5"/>
  </r>
  <r>
    <x v="80"/>
    <x v="1"/>
    <b v="0"/>
    <x v="182"/>
    <n v="5"/>
  </r>
  <r>
    <x v="85"/>
    <x v="1"/>
    <b v="0"/>
    <x v="182"/>
    <n v="5"/>
  </r>
  <r>
    <x v="15"/>
    <x v="2"/>
    <b v="0"/>
    <x v="182"/>
    <n v="30.669999999999998"/>
  </r>
  <r>
    <x v="0"/>
    <x v="0"/>
    <b v="0"/>
    <x v="183"/>
    <n v="-62.94"/>
  </r>
  <r>
    <x v="16"/>
    <x v="0"/>
    <b v="0"/>
    <x v="183"/>
    <n v="-14.51"/>
  </r>
  <r>
    <x v="1"/>
    <x v="0"/>
    <b v="0"/>
    <x v="183"/>
    <n v="-36.549999999999997"/>
  </r>
  <r>
    <x v="13"/>
    <x v="0"/>
    <b v="0"/>
    <x v="183"/>
    <n v="-27.49"/>
  </r>
  <r>
    <x v="88"/>
    <x v="1"/>
    <b v="0"/>
    <x v="183"/>
    <n v="5"/>
  </r>
  <r>
    <x v="12"/>
    <x v="1"/>
    <b v="0"/>
    <x v="183"/>
    <n v="5"/>
  </r>
  <r>
    <x v="91"/>
    <x v="1"/>
    <b v="0"/>
    <x v="183"/>
    <n v="5"/>
  </r>
  <r>
    <x v="70"/>
    <x v="1"/>
    <b v="0"/>
    <x v="183"/>
    <n v="5"/>
  </r>
  <r>
    <x v="89"/>
    <x v="1"/>
    <b v="0"/>
    <x v="183"/>
    <n v="5"/>
  </r>
  <r>
    <x v="92"/>
    <x v="1"/>
    <b v="0"/>
    <x v="183"/>
    <n v="5"/>
  </r>
  <r>
    <x v="71"/>
    <x v="1"/>
    <b v="0"/>
    <x v="183"/>
    <n v="5"/>
  </r>
  <r>
    <x v="72"/>
    <x v="1"/>
    <b v="0"/>
    <x v="183"/>
    <n v="5"/>
  </r>
  <r>
    <x v="32"/>
    <x v="1"/>
    <b v="0"/>
    <x v="183"/>
    <n v="5"/>
  </r>
  <r>
    <x v="90"/>
    <x v="1"/>
    <b v="0"/>
    <x v="183"/>
    <n v="5"/>
  </r>
  <r>
    <x v="40"/>
    <x v="1"/>
    <b v="0"/>
    <x v="183"/>
    <n v="5"/>
  </r>
  <r>
    <x v="18"/>
    <x v="1"/>
    <b v="0"/>
    <x v="183"/>
    <n v="5"/>
  </r>
  <r>
    <x v="84"/>
    <x v="1"/>
    <b v="0"/>
    <x v="183"/>
    <n v="5"/>
  </r>
  <r>
    <x v="41"/>
    <x v="1"/>
    <b v="0"/>
    <x v="183"/>
    <n v="1E-3"/>
  </r>
  <r>
    <x v="81"/>
    <x v="1"/>
    <b v="0"/>
    <x v="183"/>
    <n v="5"/>
  </r>
  <r>
    <x v="82"/>
    <x v="1"/>
    <b v="0"/>
    <x v="183"/>
    <n v="5"/>
  </r>
  <r>
    <x v="87"/>
    <x v="1"/>
    <b v="0"/>
    <x v="183"/>
    <n v="5"/>
  </r>
  <r>
    <x v="73"/>
    <x v="1"/>
    <b v="0"/>
    <x v="183"/>
    <n v="5"/>
  </r>
  <r>
    <x v="44"/>
    <x v="1"/>
    <b v="0"/>
    <x v="183"/>
    <n v="5"/>
  </r>
  <r>
    <x v="86"/>
    <x v="1"/>
    <b v="0"/>
    <x v="183"/>
    <n v="5"/>
  </r>
  <r>
    <x v="75"/>
    <x v="1"/>
    <b v="0"/>
    <x v="183"/>
    <n v="5"/>
  </r>
  <r>
    <x v="80"/>
    <x v="1"/>
    <b v="0"/>
    <x v="183"/>
    <n v="5"/>
  </r>
  <r>
    <x v="85"/>
    <x v="1"/>
    <b v="0"/>
    <x v="183"/>
    <n v="5"/>
  </r>
  <r>
    <x v="15"/>
    <x v="2"/>
    <b v="0"/>
    <x v="183"/>
    <n v="33.620000000000005"/>
  </r>
  <r>
    <x v="0"/>
    <x v="0"/>
    <b v="0"/>
    <x v="184"/>
    <n v="-89.91"/>
  </r>
  <r>
    <x v="1"/>
    <x v="0"/>
    <b v="0"/>
    <x v="184"/>
    <n v="-35.950000000000003"/>
  </r>
  <r>
    <x v="13"/>
    <x v="0"/>
    <b v="0"/>
    <x v="184"/>
    <n v="-3"/>
  </r>
  <r>
    <x v="20"/>
    <x v="0"/>
    <b v="0"/>
    <x v="184"/>
    <n v="-5"/>
  </r>
  <r>
    <x v="88"/>
    <x v="1"/>
    <b v="0"/>
    <x v="184"/>
    <n v="5"/>
  </r>
  <r>
    <x v="12"/>
    <x v="1"/>
    <b v="0"/>
    <x v="184"/>
    <n v="5"/>
  </r>
  <r>
    <x v="91"/>
    <x v="1"/>
    <b v="0"/>
    <x v="184"/>
    <n v="5"/>
  </r>
  <r>
    <x v="70"/>
    <x v="1"/>
    <b v="0"/>
    <x v="184"/>
    <n v="5"/>
  </r>
  <r>
    <x v="89"/>
    <x v="1"/>
    <b v="0"/>
    <x v="184"/>
    <n v="5"/>
  </r>
  <r>
    <x v="92"/>
    <x v="1"/>
    <b v="0"/>
    <x v="184"/>
    <n v="5"/>
  </r>
  <r>
    <x v="71"/>
    <x v="1"/>
    <b v="0"/>
    <x v="184"/>
    <n v="5"/>
  </r>
  <r>
    <x v="72"/>
    <x v="1"/>
    <b v="0"/>
    <x v="184"/>
    <n v="5"/>
  </r>
  <r>
    <x v="32"/>
    <x v="1"/>
    <b v="0"/>
    <x v="184"/>
    <n v="5"/>
  </r>
  <r>
    <x v="90"/>
    <x v="1"/>
    <b v="0"/>
    <x v="184"/>
    <n v="5"/>
  </r>
  <r>
    <x v="40"/>
    <x v="1"/>
    <b v="0"/>
    <x v="184"/>
    <n v="5"/>
  </r>
  <r>
    <x v="18"/>
    <x v="1"/>
    <b v="0"/>
    <x v="184"/>
    <n v="5"/>
  </r>
  <r>
    <x v="84"/>
    <x v="1"/>
    <b v="0"/>
    <x v="184"/>
    <n v="5"/>
  </r>
  <r>
    <x v="41"/>
    <x v="1"/>
    <b v="0"/>
    <x v="184"/>
    <n v="1E-3"/>
  </r>
  <r>
    <x v="81"/>
    <x v="1"/>
    <b v="0"/>
    <x v="184"/>
    <n v="5"/>
  </r>
  <r>
    <x v="82"/>
    <x v="1"/>
    <b v="0"/>
    <x v="184"/>
    <n v="5"/>
  </r>
  <r>
    <x v="87"/>
    <x v="1"/>
    <b v="0"/>
    <x v="184"/>
    <n v="5"/>
  </r>
  <r>
    <x v="73"/>
    <x v="1"/>
    <b v="0"/>
    <x v="184"/>
    <n v="5"/>
  </r>
  <r>
    <x v="44"/>
    <x v="1"/>
    <b v="0"/>
    <x v="184"/>
    <n v="5"/>
  </r>
  <r>
    <x v="86"/>
    <x v="1"/>
    <b v="0"/>
    <x v="184"/>
    <n v="5"/>
  </r>
  <r>
    <x v="75"/>
    <x v="1"/>
    <b v="0"/>
    <x v="184"/>
    <n v="5"/>
  </r>
  <r>
    <x v="80"/>
    <x v="1"/>
    <b v="0"/>
    <x v="184"/>
    <n v="5"/>
  </r>
  <r>
    <x v="85"/>
    <x v="1"/>
    <b v="0"/>
    <x v="184"/>
    <n v="5"/>
  </r>
  <r>
    <x v="15"/>
    <x v="2"/>
    <b v="0"/>
    <x v="184"/>
    <n v="31.1"/>
  </r>
  <r>
    <x v="0"/>
    <x v="0"/>
    <b v="0"/>
    <x v="185"/>
    <n v="-79.92"/>
  </r>
  <r>
    <x v="16"/>
    <x v="0"/>
    <b v="0"/>
    <x v="185"/>
    <n v="-5"/>
  </r>
  <r>
    <x v="1"/>
    <x v="0"/>
    <b v="0"/>
    <x v="185"/>
    <n v="-41.94"/>
  </r>
  <r>
    <x v="13"/>
    <x v="0"/>
    <b v="0"/>
    <x v="185"/>
    <n v="-22.99"/>
  </r>
  <r>
    <x v="88"/>
    <x v="1"/>
    <b v="0"/>
    <x v="185"/>
    <n v="5"/>
  </r>
  <r>
    <x v="12"/>
    <x v="1"/>
    <b v="0"/>
    <x v="185"/>
    <n v="5"/>
  </r>
  <r>
    <x v="91"/>
    <x v="1"/>
    <b v="0"/>
    <x v="185"/>
    <n v="5"/>
  </r>
  <r>
    <x v="70"/>
    <x v="1"/>
    <b v="0"/>
    <x v="185"/>
    <n v="5"/>
  </r>
  <r>
    <x v="89"/>
    <x v="1"/>
    <b v="0"/>
    <x v="185"/>
    <n v="5"/>
  </r>
  <r>
    <x v="92"/>
    <x v="1"/>
    <b v="0"/>
    <x v="185"/>
    <n v="5"/>
  </r>
  <r>
    <x v="71"/>
    <x v="1"/>
    <b v="0"/>
    <x v="185"/>
    <n v="5"/>
  </r>
  <r>
    <x v="72"/>
    <x v="1"/>
    <b v="0"/>
    <x v="185"/>
    <n v="5"/>
  </r>
  <r>
    <x v="32"/>
    <x v="1"/>
    <b v="0"/>
    <x v="185"/>
    <n v="5"/>
  </r>
  <r>
    <x v="90"/>
    <x v="1"/>
    <b v="0"/>
    <x v="185"/>
    <n v="5"/>
  </r>
  <r>
    <x v="93"/>
    <x v="1"/>
    <b v="0"/>
    <x v="185"/>
    <n v="2"/>
  </r>
  <r>
    <x v="40"/>
    <x v="1"/>
    <b v="0"/>
    <x v="185"/>
    <n v="5"/>
  </r>
  <r>
    <x v="18"/>
    <x v="1"/>
    <b v="0"/>
    <x v="185"/>
    <n v="5"/>
  </r>
  <r>
    <x v="84"/>
    <x v="1"/>
    <b v="0"/>
    <x v="185"/>
    <n v="5"/>
  </r>
  <r>
    <x v="41"/>
    <x v="1"/>
    <b v="0"/>
    <x v="185"/>
    <n v="1E-3"/>
  </r>
  <r>
    <x v="81"/>
    <x v="1"/>
    <b v="0"/>
    <x v="185"/>
    <n v="5"/>
  </r>
  <r>
    <x v="82"/>
    <x v="1"/>
    <b v="0"/>
    <x v="185"/>
    <n v="5"/>
  </r>
  <r>
    <x v="87"/>
    <x v="1"/>
    <b v="0"/>
    <x v="185"/>
    <n v="5"/>
  </r>
  <r>
    <x v="73"/>
    <x v="1"/>
    <b v="0"/>
    <x v="185"/>
    <n v="5"/>
  </r>
  <r>
    <x v="44"/>
    <x v="1"/>
    <b v="0"/>
    <x v="185"/>
    <n v="5"/>
  </r>
  <r>
    <x v="94"/>
    <x v="1"/>
    <b v="0"/>
    <x v="185"/>
    <n v="5"/>
  </r>
  <r>
    <x v="86"/>
    <x v="1"/>
    <b v="0"/>
    <x v="185"/>
    <n v="5"/>
  </r>
  <r>
    <x v="75"/>
    <x v="1"/>
    <b v="0"/>
    <x v="185"/>
    <n v="5"/>
  </r>
  <r>
    <x v="80"/>
    <x v="1"/>
    <b v="0"/>
    <x v="185"/>
    <n v="5"/>
  </r>
  <r>
    <x v="85"/>
    <x v="1"/>
    <b v="0"/>
    <x v="185"/>
    <n v="5"/>
  </r>
  <r>
    <x v="15"/>
    <x v="2"/>
    <b v="0"/>
    <x v="185"/>
    <n v="28.48"/>
  </r>
  <r>
    <x v="0"/>
    <x v="0"/>
    <b v="0"/>
    <x v="186"/>
    <n v="-68.42"/>
  </r>
  <r>
    <x v="16"/>
    <x v="0"/>
    <b v="0"/>
    <x v="186"/>
    <n v="-12.99"/>
  </r>
  <r>
    <x v="1"/>
    <x v="0"/>
    <b v="0"/>
    <x v="186"/>
    <n v="-49.93"/>
  </r>
  <r>
    <x v="88"/>
    <x v="1"/>
    <b v="0"/>
    <x v="186"/>
    <n v="5"/>
  </r>
  <r>
    <x v="12"/>
    <x v="1"/>
    <b v="0"/>
    <x v="186"/>
    <n v="5"/>
  </r>
  <r>
    <x v="91"/>
    <x v="1"/>
    <b v="0"/>
    <x v="186"/>
    <n v="0"/>
  </r>
  <r>
    <x v="70"/>
    <x v="1"/>
    <b v="0"/>
    <x v="186"/>
    <n v="5"/>
  </r>
  <r>
    <x v="89"/>
    <x v="1"/>
    <b v="0"/>
    <x v="186"/>
    <n v="5"/>
  </r>
  <r>
    <x v="92"/>
    <x v="1"/>
    <b v="0"/>
    <x v="186"/>
    <n v="5"/>
  </r>
  <r>
    <x v="71"/>
    <x v="1"/>
    <b v="0"/>
    <x v="186"/>
    <n v="5"/>
  </r>
  <r>
    <x v="72"/>
    <x v="1"/>
    <b v="0"/>
    <x v="186"/>
    <n v="5"/>
  </r>
  <r>
    <x v="32"/>
    <x v="1"/>
    <b v="0"/>
    <x v="186"/>
    <n v="0"/>
  </r>
  <r>
    <x v="90"/>
    <x v="1"/>
    <b v="0"/>
    <x v="186"/>
    <n v="5"/>
  </r>
  <r>
    <x v="93"/>
    <x v="1"/>
    <b v="0"/>
    <x v="186"/>
    <n v="5"/>
  </r>
  <r>
    <x v="40"/>
    <x v="1"/>
    <b v="0"/>
    <x v="186"/>
    <n v="5"/>
  </r>
  <r>
    <x v="18"/>
    <x v="1"/>
    <b v="0"/>
    <x v="186"/>
    <n v="5"/>
  </r>
  <r>
    <x v="84"/>
    <x v="1"/>
    <b v="0"/>
    <x v="186"/>
    <n v="5"/>
  </r>
  <r>
    <x v="41"/>
    <x v="1"/>
    <b v="0"/>
    <x v="186"/>
    <n v="1E-3"/>
  </r>
  <r>
    <x v="81"/>
    <x v="1"/>
    <b v="0"/>
    <x v="186"/>
    <n v="5"/>
  </r>
  <r>
    <x v="82"/>
    <x v="1"/>
    <b v="0"/>
    <x v="186"/>
    <n v="5"/>
  </r>
  <r>
    <x v="87"/>
    <x v="1"/>
    <b v="0"/>
    <x v="186"/>
    <n v="5"/>
  </r>
  <r>
    <x v="73"/>
    <x v="1"/>
    <b v="0"/>
    <x v="186"/>
    <n v="5"/>
  </r>
  <r>
    <x v="44"/>
    <x v="1"/>
    <b v="0"/>
    <x v="186"/>
    <n v="5"/>
  </r>
  <r>
    <x v="94"/>
    <x v="1"/>
    <b v="0"/>
    <x v="186"/>
    <n v="5"/>
  </r>
  <r>
    <x v="86"/>
    <x v="1"/>
    <b v="0"/>
    <x v="186"/>
    <n v="5"/>
  </r>
  <r>
    <x v="75"/>
    <x v="1"/>
    <b v="0"/>
    <x v="186"/>
    <n v="5"/>
  </r>
  <r>
    <x v="80"/>
    <x v="1"/>
    <b v="0"/>
    <x v="186"/>
    <n v="5"/>
  </r>
  <r>
    <x v="85"/>
    <x v="1"/>
    <b v="0"/>
    <x v="186"/>
    <n v="5"/>
  </r>
  <r>
    <x v="15"/>
    <x v="2"/>
    <b v="0"/>
    <x v="186"/>
    <n v="13.409999999999998"/>
  </r>
  <r>
    <x v="0"/>
    <x v="0"/>
    <b v="0"/>
    <x v="187"/>
    <n v="-49.95"/>
  </r>
  <r>
    <x v="16"/>
    <x v="0"/>
    <b v="0"/>
    <x v="187"/>
    <n v="-13"/>
  </r>
  <r>
    <x v="1"/>
    <x v="0"/>
    <b v="0"/>
    <x v="187"/>
    <n v="-49.93"/>
  </r>
  <r>
    <x v="13"/>
    <x v="0"/>
    <b v="0"/>
    <x v="187"/>
    <n v="-5"/>
  </r>
  <r>
    <x v="88"/>
    <x v="1"/>
    <b v="0"/>
    <x v="187"/>
    <n v="5"/>
  </r>
  <r>
    <x v="12"/>
    <x v="1"/>
    <b v="0"/>
    <x v="187"/>
    <n v="5"/>
  </r>
  <r>
    <x v="91"/>
    <x v="1"/>
    <b v="0"/>
    <x v="187"/>
    <n v="5"/>
  </r>
  <r>
    <x v="70"/>
    <x v="1"/>
    <b v="0"/>
    <x v="187"/>
    <n v="5"/>
  </r>
  <r>
    <x v="89"/>
    <x v="1"/>
    <b v="0"/>
    <x v="187"/>
    <n v="5"/>
  </r>
  <r>
    <x v="92"/>
    <x v="1"/>
    <b v="0"/>
    <x v="187"/>
    <n v="5"/>
  </r>
  <r>
    <x v="71"/>
    <x v="1"/>
    <b v="0"/>
    <x v="187"/>
    <n v="5"/>
  </r>
  <r>
    <x v="72"/>
    <x v="1"/>
    <b v="0"/>
    <x v="187"/>
    <n v="5"/>
  </r>
  <r>
    <x v="32"/>
    <x v="1"/>
    <b v="0"/>
    <x v="187"/>
    <n v="0"/>
  </r>
  <r>
    <x v="90"/>
    <x v="1"/>
    <b v="0"/>
    <x v="187"/>
    <n v="5"/>
  </r>
  <r>
    <x v="93"/>
    <x v="1"/>
    <b v="0"/>
    <x v="187"/>
    <n v="5"/>
  </r>
  <r>
    <x v="40"/>
    <x v="1"/>
    <b v="0"/>
    <x v="187"/>
    <n v="5"/>
  </r>
  <r>
    <x v="18"/>
    <x v="1"/>
    <b v="0"/>
    <x v="187"/>
    <n v="5"/>
  </r>
  <r>
    <x v="84"/>
    <x v="1"/>
    <b v="0"/>
    <x v="187"/>
    <n v="5"/>
  </r>
  <r>
    <x v="41"/>
    <x v="1"/>
    <b v="0"/>
    <x v="187"/>
    <n v="1E-3"/>
  </r>
  <r>
    <x v="82"/>
    <x v="1"/>
    <b v="0"/>
    <x v="187"/>
    <n v="5"/>
  </r>
  <r>
    <x v="87"/>
    <x v="1"/>
    <b v="0"/>
    <x v="187"/>
    <n v="5"/>
  </r>
  <r>
    <x v="73"/>
    <x v="1"/>
    <b v="0"/>
    <x v="187"/>
    <n v="5"/>
  </r>
  <r>
    <x v="44"/>
    <x v="1"/>
    <b v="0"/>
    <x v="187"/>
    <n v="5"/>
  </r>
  <r>
    <x v="94"/>
    <x v="1"/>
    <b v="0"/>
    <x v="187"/>
    <n v="5"/>
  </r>
  <r>
    <x v="86"/>
    <x v="1"/>
    <b v="0"/>
    <x v="187"/>
    <n v="5"/>
  </r>
  <r>
    <x v="75"/>
    <x v="1"/>
    <b v="0"/>
    <x v="187"/>
    <n v="5"/>
  </r>
  <r>
    <x v="80"/>
    <x v="1"/>
    <b v="0"/>
    <x v="187"/>
    <n v="5"/>
  </r>
  <r>
    <x v="85"/>
    <x v="1"/>
    <b v="0"/>
    <x v="187"/>
    <n v="5"/>
  </r>
  <r>
    <x v="15"/>
    <x v="2"/>
    <b v="0"/>
    <x v="187"/>
    <n v="21.01"/>
  </r>
  <r>
    <x v="0"/>
    <x v="0"/>
    <b v="0"/>
    <x v="188"/>
    <n v="-59.94"/>
  </r>
  <r>
    <x v="16"/>
    <x v="0"/>
    <b v="0"/>
    <x v="188"/>
    <n v="-5"/>
  </r>
  <r>
    <x v="1"/>
    <x v="0"/>
    <b v="0"/>
    <x v="188"/>
    <n v="-51.93"/>
  </r>
  <r>
    <x v="13"/>
    <x v="0"/>
    <b v="0"/>
    <x v="188"/>
    <n v="-5"/>
  </r>
  <r>
    <x v="20"/>
    <x v="0"/>
    <b v="0"/>
    <x v="188"/>
    <n v="-2.5"/>
  </r>
  <r>
    <x v="88"/>
    <x v="1"/>
    <b v="0"/>
    <x v="188"/>
    <n v="5"/>
  </r>
  <r>
    <x v="12"/>
    <x v="1"/>
    <b v="0"/>
    <x v="188"/>
    <n v="5"/>
  </r>
  <r>
    <x v="91"/>
    <x v="1"/>
    <b v="0"/>
    <x v="188"/>
    <n v="5"/>
  </r>
  <r>
    <x v="70"/>
    <x v="1"/>
    <b v="0"/>
    <x v="188"/>
    <n v="5"/>
  </r>
  <r>
    <x v="89"/>
    <x v="1"/>
    <b v="0"/>
    <x v="188"/>
    <n v="5"/>
  </r>
  <r>
    <x v="92"/>
    <x v="1"/>
    <b v="0"/>
    <x v="188"/>
    <n v="5"/>
  </r>
  <r>
    <x v="71"/>
    <x v="1"/>
    <b v="0"/>
    <x v="188"/>
    <n v="5"/>
  </r>
  <r>
    <x v="72"/>
    <x v="1"/>
    <b v="0"/>
    <x v="188"/>
    <n v="5"/>
  </r>
  <r>
    <x v="32"/>
    <x v="1"/>
    <b v="0"/>
    <x v="188"/>
    <n v="0"/>
  </r>
  <r>
    <x v="90"/>
    <x v="1"/>
    <b v="0"/>
    <x v="188"/>
    <n v="5"/>
  </r>
  <r>
    <x v="93"/>
    <x v="1"/>
    <b v="0"/>
    <x v="188"/>
    <n v="5"/>
  </r>
  <r>
    <x v="40"/>
    <x v="1"/>
    <b v="0"/>
    <x v="188"/>
    <n v="5"/>
  </r>
  <r>
    <x v="18"/>
    <x v="1"/>
    <b v="0"/>
    <x v="188"/>
    <n v="5"/>
  </r>
  <r>
    <x v="84"/>
    <x v="1"/>
    <b v="0"/>
    <x v="188"/>
    <n v="5"/>
  </r>
  <r>
    <x v="41"/>
    <x v="1"/>
    <b v="0"/>
    <x v="188"/>
    <n v="1E-3"/>
  </r>
  <r>
    <x v="82"/>
    <x v="1"/>
    <b v="0"/>
    <x v="188"/>
    <n v="5"/>
  </r>
  <r>
    <x v="87"/>
    <x v="1"/>
    <b v="0"/>
    <x v="188"/>
    <n v="5"/>
  </r>
  <r>
    <x v="73"/>
    <x v="1"/>
    <b v="0"/>
    <x v="188"/>
    <n v="5"/>
  </r>
  <r>
    <x v="44"/>
    <x v="1"/>
    <b v="0"/>
    <x v="188"/>
    <n v="5"/>
  </r>
  <r>
    <x v="94"/>
    <x v="1"/>
    <b v="0"/>
    <x v="188"/>
    <n v="5"/>
  </r>
  <r>
    <x v="86"/>
    <x v="1"/>
    <b v="0"/>
    <x v="188"/>
    <n v="5"/>
  </r>
  <r>
    <x v="75"/>
    <x v="1"/>
    <b v="0"/>
    <x v="188"/>
    <n v="5"/>
  </r>
  <r>
    <x v="80"/>
    <x v="1"/>
    <b v="0"/>
    <x v="188"/>
    <n v="5"/>
  </r>
  <r>
    <x v="85"/>
    <x v="1"/>
    <b v="0"/>
    <x v="188"/>
    <n v="5"/>
  </r>
  <r>
    <x v="15"/>
    <x v="2"/>
    <b v="0"/>
    <x v="188"/>
    <n v="19.5"/>
  </r>
  <r>
    <x v="0"/>
    <x v="0"/>
    <b v="0"/>
    <x v="189"/>
    <n v="-59.94"/>
  </r>
  <r>
    <x v="16"/>
    <x v="0"/>
    <b v="0"/>
    <x v="189"/>
    <n v="-16.990000000000002"/>
  </r>
  <r>
    <x v="1"/>
    <x v="0"/>
    <b v="0"/>
    <x v="189"/>
    <n v="-35.950000000000003"/>
  </r>
  <r>
    <x v="13"/>
    <x v="0"/>
    <b v="0"/>
    <x v="189"/>
    <n v="-2.5"/>
  </r>
  <r>
    <x v="88"/>
    <x v="1"/>
    <b v="0"/>
    <x v="189"/>
    <n v="5"/>
  </r>
  <r>
    <x v="12"/>
    <x v="1"/>
    <b v="0"/>
    <x v="189"/>
    <n v="5"/>
  </r>
  <r>
    <x v="91"/>
    <x v="1"/>
    <b v="0"/>
    <x v="189"/>
    <n v="5"/>
  </r>
  <r>
    <x v="70"/>
    <x v="1"/>
    <b v="0"/>
    <x v="189"/>
    <n v="5"/>
  </r>
  <r>
    <x v="89"/>
    <x v="1"/>
    <b v="0"/>
    <x v="189"/>
    <n v="5"/>
  </r>
  <r>
    <x v="92"/>
    <x v="1"/>
    <b v="0"/>
    <x v="189"/>
    <n v="5"/>
  </r>
  <r>
    <x v="71"/>
    <x v="1"/>
    <b v="0"/>
    <x v="189"/>
    <n v="5"/>
  </r>
  <r>
    <x v="72"/>
    <x v="1"/>
    <b v="0"/>
    <x v="189"/>
    <n v="5"/>
  </r>
  <r>
    <x v="32"/>
    <x v="1"/>
    <b v="0"/>
    <x v="189"/>
    <n v="0"/>
  </r>
  <r>
    <x v="90"/>
    <x v="1"/>
    <b v="0"/>
    <x v="189"/>
    <n v="5"/>
  </r>
  <r>
    <x v="93"/>
    <x v="1"/>
    <b v="0"/>
    <x v="189"/>
    <n v="5"/>
  </r>
  <r>
    <x v="40"/>
    <x v="1"/>
    <b v="0"/>
    <x v="189"/>
    <n v="5"/>
  </r>
  <r>
    <x v="18"/>
    <x v="1"/>
    <b v="0"/>
    <x v="189"/>
    <n v="5"/>
  </r>
  <r>
    <x v="84"/>
    <x v="1"/>
    <b v="0"/>
    <x v="189"/>
    <n v="5"/>
  </r>
  <r>
    <x v="41"/>
    <x v="1"/>
    <b v="0"/>
    <x v="189"/>
    <n v="1E-3"/>
  </r>
  <r>
    <x v="82"/>
    <x v="1"/>
    <b v="0"/>
    <x v="189"/>
    <n v="5"/>
  </r>
  <r>
    <x v="87"/>
    <x v="1"/>
    <b v="0"/>
    <x v="189"/>
    <n v="5"/>
  </r>
  <r>
    <x v="73"/>
    <x v="1"/>
    <b v="0"/>
    <x v="189"/>
    <n v="5"/>
  </r>
  <r>
    <x v="44"/>
    <x v="1"/>
    <b v="0"/>
    <x v="189"/>
    <n v="5"/>
  </r>
  <r>
    <x v="94"/>
    <x v="1"/>
    <b v="0"/>
    <x v="189"/>
    <n v="5"/>
  </r>
  <r>
    <x v="86"/>
    <x v="1"/>
    <b v="0"/>
    <x v="189"/>
    <n v="5"/>
  </r>
  <r>
    <x v="75"/>
    <x v="1"/>
    <b v="0"/>
    <x v="189"/>
    <n v="5"/>
  </r>
  <r>
    <x v="80"/>
    <x v="1"/>
    <b v="0"/>
    <x v="189"/>
    <n v="5"/>
  </r>
  <r>
    <x v="85"/>
    <x v="1"/>
    <b v="0"/>
    <x v="189"/>
    <n v="5"/>
  </r>
  <r>
    <x v="15"/>
    <x v="2"/>
    <b v="0"/>
    <x v="189"/>
    <n v="20.5"/>
  </r>
  <r>
    <x v="0"/>
    <x v="0"/>
    <b v="0"/>
    <x v="190"/>
    <n v="-79.92"/>
  </r>
  <r>
    <x v="16"/>
    <x v="0"/>
    <b v="0"/>
    <x v="190"/>
    <n v="-5"/>
  </r>
  <r>
    <x v="1"/>
    <x v="0"/>
    <b v="0"/>
    <x v="190"/>
    <n v="-29.96"/>
  </r>
  <r>
    <x v="13"/>
    <x v="0"/>
    <b v="0"/>
    <x v="190"/>
    <n v="-2.5"/>
  </r>
  <r>
    <x v="20"/>
    <x v="0"/>
    <b v="0"/>
    <x v="190"/>
    <n v="-2.5"/>
  </r>
  <r>
    <x v="88"/>
    <x v="1"/>
    <b v="0"/>
    <x v="190"/>
    <n v="5"/>
  </r>
  <r>
    <x v="12"/>
    <x v="1"/>
    <b v="0"/>
    <x v="190"/>
    <n v="5"/>
  </r>
  <r>
    <x v="91"/>
    <x v="1"/>
    <b v="0"/>
    <x v="190"/>
    <n v="5"/>
  </r>
  <r>
    <x v="70"/>
    <x v="1"/>
    <b v="0"/>
    <x v="190"/>
    <n v="5"/>
  </r>
  <r>
    <x v="89"/>
    <x v="1"/>
    <b v="0"/>
    <x v="190"/>
    <n v="5"/>
  </r>
  <r>
    <x v="92"/>
    <x v="1"/>
    <b v="0"/>
    <x v="190"/>
    <n v="5"/>
  </r>
  <r>
    <x v="71"/>
    <x v="1"/>
    <b v="0"/>
    <x v="190"/>
    <n v="5"/>
  </r>
  <r>
    <x v="72"/>
    <x v="1"/>
    <b v="0"/>
    <x v="190"/>
    <n v="5"/>
  </r>
  <r>
    <x v="32"/>
    <x v="1"/>
    <b v="0"/>
    <x v="190"/>
    <n v="5"/>
  </r>
  <r>
    <x v="90"/>
    <x v="1"/>
    <b v="0"/>
    <x v="190"/>
    <n v="5"/>
  </r>
  <r>
    <x v="93"/>
    <x v="1"/>
    <b v="0"/>
    <x v="190"/>
    <n v="5"/>
  </r>
  <r>
    <x v="40"/>
    <x v="1"/>
    <b v="0"/>
    <x v="190"/>
    <n v="5"/>
  </r>
  <r>
    <x v="18"/>
    <x v="1"/>
    <b v="0"/>
    <x v="190"/>
    <n v="5"/>
  </r>
  <r>
    <x v="84"/>
    <x v="1"/>
    <b v="0"/>
    <x v="190"/>
    <n v="5"/>
  </r>
  <r>
    <x v="41"/>
    <x v="1"/>
    <b v="0"/>
    <x v="190"/>
    <n v="1E-3"/>
  </r>
  <r>
    <x v="82"/>
    <x v="1"/>
    <b v="0"/>
    <x v="190"/>
    <n v="5"/>
  </r>
  <r>
    <x v="87"/>
    <x v="1"/>
    <b v="0"/>
    <x v="190"/>
    <n v="5"/>
  </r>
  <r>
    <x v="73"/>
    <x v="1"/>
    <b v="0"/>
    <x v="190"/>
    <n v="5"/>
  </r>
  <r>
    <x v="44"/>
    <x v="1"/>
    <b v="0"/>
    <x v="190"/>
    <n v="5"/>
  </r>
  <r>
    <x v="94"/>
    <x v="1"/>
    <b v="0"/>
    <x v="190"/>
    <n v="5"/>
  </r>
  <r>
    <x v="86"/>
    <x v="1"/>
    <b v="0"/>
    <x v="190"/>
    <n v="5"/>
  </r>
  <r>
    <x v="75"/>
    <x v="1"/>
    <b v="0"/>
    <x v="190"/>
    <n v="5"/>
  </r>
  <r>
    <x v="80"/>
    <x v="1"/>
    <b v="0"/>
    <x v="190"/>
    <n v="5"/>
  </r>
  <r>
    <x v="85"/>
    <x v="1"/>
    <b v="0"/>
    <x v="190"/>
    <n v="5"/>
  </r>
  <r>
    <x v="15"/>
    <x v="2"/>
    <b v="0"/>
    <x v="190"/>
    <n v="19.2"/>
  </r>
  <r>
    <x v="0"/>
    <x v="0"/>
    <b v="0"/>
    <x v="191"/>
    <n v="-49.95"/>
  </r>
  <r>
    <x v="16"/>
    <x v="0"/>
    <b v="0"/>
    <x v="191"/>
    <n v="-16.02"/>
  </r>
  <r>
    <x v="1"/>
    <x v="0"/>
    <b v="0"/>
    <x v="191"/>
    <n v="-35.950000000000003"/>
  </r>
  <r>
    <x v="13"/>
    <x v="0"/>
    <b v="0"/>
    <x v="191"/>
    <n v="-28.86"/>
  </r>
  <r>
    <x v="88"/>
    <x v="1"/>
    <b v="0"/>
    <x v="191"/>
    <n v="5"/>
  </r>
  <r>
    <x v="12"/>
    <x v="1"/>
    <b v="0"/>
    <x v="191"/>
    <n v="5"/>
  </r>
  <r>
    <x v="91"/>
    <x v="1"/>
    <b v="0"/>
    <x v="191"/>
    <n v="5"/>
  </r>
  <r>
    <x v="95"/>
    <x v="1"/>
    <b v="0"/>
    <x v="191"/>
    <n v="5"/>
  </r>
  <r>
    <x v="70"/>
    <x v="1"/>
    <b v="0"/>
    <x v="191"/>
    <n v="5"/>
  </r>
  <r>
    <x v="89"/>
    <x v="1"/>
    <b v="0"/>
    <x v="191"/>
    <n v="5"/>
  </r>
  <r>
    <x v="92"/>
    <x v="1"/>
    <b v="0"/>
    <x v="191"/>
    <n v="5"/>
  </r>
  <r>
    <x v="71"/>
    <x v="1"/>
    <b v="0"/>
    <x v="191"/>
    <n v="5"/>
  </r>
  <r>
    <x v="72"/>
    <x v="1"/>
    <b v="0"/>
    <x v="191"/>
    <n v="5"/>
  </r>
  <r>
    <x v="32"/>
    <x v="1"/>
    <b v="0"/>
    <x v="191"/>
    <n v="5"/>
  </r>
  <r>
    <x v="90"/>
    <x v="1"/>
    <b v="0"/>
    <x v="191"/>
    <n v="5"/>
  </r>
  <r>
    <x v="93"/>
    <x v="1"/>
    <b v="0"/>
    <x v="191"/>
    <n v="5"/>
  </r>
  <r>
    <x v="40"/>
    <x v="1"/>
    <b v="0"/>
    <x v="191"/>
    <n v="5"/>
  </r>
  <r>
    <x v="18"/>
    <x v="1"/>
    <b v="0"/>
    <x v="191"/>
    <n v="5"/>
  </r>
  <r>
    <x v="84"/>
    <x v="1"/>
    <b v="0"/>
    <x v="191"/>
    <n v="5"/>
  </r>
  <r>
    <x v="41"/>
    <x v="1"/>
    <b v="0"/>
    <x v="191"/>
    <n v="1E-3"/>
  </r>
  <r>
    <x v="82"/>
    <x v="1"/>
    <b v="0"/>
    <x v="191"/>
    <n v="5"/>
  </r>
  <r>
    <x v="87"/>
    <x v="1"/>
    <b v="0"/>
    <x v="191"/>
    <n v="5"/>
  </r>
  <r>
    <x v="73"/>
    <x v="1"/>
    <b v="0"/>
    <x v="191"/>
    <n v="5"/>
  </r>
  <r>
    <x v="44"/>
    <x v="1"/>
    <b v="0"/>
    <x v="191"/>
    <n v="5"/>
  </r>
  <r>
    <x v="94"/>
    <x v="1"/>
    <b v="0"/>
    <x v="191"/>
    <n v="5"/>
  </r>
  <r>
    <x v="86"/>
    <x v="1"/>
    <b v="0"/>
    <x v="191"/>
    <n v="5"/>
  </r>
  <r>
    <x v="75"/>
    <x v="1"/>
    <b v="0"/>
    <x v="191"/>
    <n v="5"/>
  </r>
  <r>
    <x v="80"/>
    <x v="1"/>
    <b v="0"/>
    <x v="191"/>
    <n v="5"/>
  </r>
  <r>
    <x v="85"/>
    <x v="1"/>
    <b v="0"/>
    <x v="191"/>
    <n v="5"/>
  </r>
  <r>
    <x v="15"/>
    <x v="2"/>
    <b v="0"/>
    <x v="191"/>
    <n v="21.66"/>
  </r>
  <r>
    <x v="0"/>
    <x v="0"/>
    <b v="0"/>
    <x v="192"/>
    <n v="-59.94"/>
  </r>
  <r>
    <x v="16"/>
    <x v="0"/>
    <b v="0"/>
    <x v="192"/>
    <n v="-12.49"/>
  </r>
  <r>
    <x v="1"/>
    <x v="0"/>
    <b v="0"/>
    <x v="192"/>
    <n v="-35.950000000000003"/>
  </r>
  <r>
    <x v="13"/>
    <x v="0"/>
    <b v="0"/>
    <x v="192"/>
    <n v="-2.5"/>
  </r>
  <r>
    <x v="20"/>
    <x v="0"/>
    <b v="0"/>
    <x v="192"/>
    <n v="-10.18"/>
  </r>
  <r>
    <x v="88"/>
    <x v="1"/>
    <b v="1"/>
    <x v="192"/>
    <n v="5"/>
  </r>
  <r>
    <x v="12"/>
    <x v="1"/>
    <b v="1"/>
    <x v="192"/>
    <n v="5"/>
  </r>
  <r>
    <x v="91"/>
    <x v="1"/>
    <b v="1"/>
    <x v="192"/>
    <n v="5"/>
  </r>
  <r>
    <x v="95"/>
    <x v="1"/>
    <b v="1"/>
    <x v="192"/>
    <n v="5"/>
  </r>
  <r>
    <x v="70"/>
    <x v="1"/>
    <b v="1"/>
    <x v="192"/>
    <n v="5"/>
  </r>
  <r>
    <x v="89"/>
    <x v="1"/>
    <b v="1"/>
    <x v="192"/>
    <n v="5"/>
  </r>
  <r>
    <x v="92"/>
    <x v="1"/>
    <b v="1"/>
    <x v="192"/>
    <n v="5"/>
  </r>
  <r>
    <x v="71"/>
    <x v="1"/>
    <b v="1"/>
    <x v="192"/>
    <n v="5"/>
  </r>
  <r>
    <x v="72"/>
    <x v="1"/>
    <b v="1"/>
    <x v="192"/>
    <n v="5"/>
  </r>
  <r>
    <x v="32"/>
    <x v="1"/>
    <b v="1"/>
    <x v="192"/>
    <n v="5"/>
  </r>
  <r>
    <x v="90"/>
    <x v="1"/>
    <b v="1"/>
    <x v="192"/>
    <n v="5"/>
  </r>
  <r>
    <x v="93"/>
    <x v="1"/>
    <b v="1"/>
    <x v="192"/>
    <n v="5"/>
  </r>
  <r>
    <x v="40"/>
    <x v="1"/>
    <b v="1"/>
    <x v="192"/>
    <n v="5"/>
  </r>
  <r>
    <x v="18"/>
    <x v="1"/>
    <b v="1"/>
    <x v="192"/>
    <n v="5"/>
  </r>
  <r>
    <x v="84"/>
    <x v="1"/>
    <b v="1"/>
    <x v="192"/>
    <n v="5"/>
  </r>
  <r>
    <x v="41"/>
    <x v="1"/>
    <b v="1"/>
    <x v="192"/>
    <n v="1E-3"/>
  </r>
  <r>
    <x v="87"/>
    <x v="1"/>
    <b v="1"/>
    <x v="192"/>
    <n v="5"/>
  </r>
  <r>
    <x v="73"/>
    <x v="1"/>
    <b v="1"/>
    <x v="192"/>
    <n v="5"/>
  </r>
  <r>
    <x v="44"/>
    <x v="1"/>
    <b v="1"/>
    <x v="192"/>
    <n v="5"/>
  </r>
  <r>
    <x v="94"/>
    <x v="1"/>
    <b v="1"/>
    <x v="192"/>
    <n v="5"/>
  </r>
  <r>
    <x v="86"/>
    <x v="1"/>
    <b v="1"/>
    <x v="192"/>
    <n v="5"/>
  </r>
  <r>
    <x v="75"/>
    <x v="1"/>
    <b v="1"/>
    <x v="192"/>
    <n v="5"/>
  </r>
  <r>
    <x v="80"/>
    <x v="1"/>
    <b v="1"/>
    <x v="192"/>
    <n v="5"/>
  </r>
  <r>
    <x v="85"/>
    <x v="1"/>
    <b v="1"/>
    <x v="192"/>
    <n v="5"/>
  </r>
  <r>
    <x v="15"/>
    <x v="2"/>
    <b v="1"/>
    <x v="192"/>
    <n v="27.25"/>
  </r>
  <r>
    <x v="0"/>
    <x v="0"/>
    <b v="0"/>
    <x v="193"/>
    <n v="-59.94"/>
  </r>
  <r>
    <x v="16"/>
    <x v="0"/>
    <b v="0"/>
    <x v="193"/>
    <n v="-5"/>
  </r>
  <r>
    <x v="1"/>
    <x v="0"/>
    <b v="0"/>
    <x v="193"/>
    <n v="-35.950000000000003"/>
  </r>
  <r>
    <x v="13"/>
    <x v="0"/>
    <b v="0"/>
    <x v="193"/>
    <n v="-9"/>
  </r>
  <r>
    <x v="88"/>
    <x v="1"/>
    <b v="1"/>
    <x v="193"/>
    <n v="5"/>
  </r>
  <r>
    <x v="12"/>
    <x v="1"/>
    <b v="1"/>
    <x v="193"/>
    <n v="5"/>
  </r>
  <r>
    <x v="91"/>
    <x v="1"/>
    <b v="1"/>
    <x v="193"/>
    <n v="5"/>
  </r>
  <r>
    <x v="95"/>
    <x v="1"/>
    <b v="1"/>
    <x v="193"/>
    <n v="5"/>
  </r>
  <r>
    <x v="70"/>
    <x v="1"/>
    <b v="1"/>
    <x v="193"/>
    <n v="5"/>
  </r>
  <r>
    <x v="89"/>
    <x v="1"/>
    <b v="1"/>
    <x v="193"/>
    <n v="5"/>
  </r>
  <r>
    <x v="92"/>
    <x v="1"/>
    <b v="1"/>
    <x v="193"/>
    <n v="5"/>
  </r>
  <r>
    <x v="71"/>
    <x v="1"/>
    <b v="1"/>
    <x v="193"/>
    <n v="5"/>
  </r>
  <r>
    <x v="72"/>
    <x v="1"/>
    <b v="1"/>
    <x v="193"/>
    <n v="5"/>
  </r>
  <r>
    <x v="32"/>
    <x v="1"/>
    <b v="1"/>
    <x v="193"/>
    <n v="5"/>
  </r>
  <r>
    <x v="90"/>
    <x v="1"/>
    <b v="1"/>
    <x v="193"/>
    <n v="5"/>
  </r>
  <r>
    <x v="93"/>
    <x v="1"/>
    <b v="0"/>
    <x v="193"/>
    <n v="0"/>
  </r>
  <r>
    <x v="40"/>
    <x v="1"/>
    <b v="1"/>
    <x v="193"/>
    <n v="5"/>
  </r>
  <r>
    <x v="18"/>
    <x v="1"/>
    <b v="1"/>
    <x v="193"/>
    <n v="5"/>
  </r>
  <r>
    <x v="84"/>
    <x v="1"/>
    <b v="1"/>
    <x v="193"/>
    <n v="5"/>
  </r>
  <r>
    <x v="41"/>
    <x v="1"/>
    <b v="1"/>
    <x v="193"/>
    <n v="1E-3"/>
  </r>
  <r>
    <x v="87"/>
    <x v="1"/>
    <b v="1"/>
    <x v="193"/>
    <n v="5"/>
  </r>
  <r>
    <x v="73"/>
    <x v="1"/>
    <b v="1"/>
    <x v="193"/>
    <n v="5"/>
  </r>
  <r>
    <x v="44"/>
    <x v="1"/>
    <b v="1"/>
    <x v="193"/>
    <n v="5"/>
  </r>
  <r>
    <x v="94"/>
    <x v="1"/>
    <b v="1"/>
    <x v="193"/>
    <n v="5"/>
  </r>
  <r>
    <x v="86"/>
    <x v="1"/>
    <b v="1"/>
    <x v="193"/>
    <n v="5"/>
  </r>
  <r>
    <x v="75"/>
    <x v="1"/>
    <b v="1"/>
    <x v="193"/>
    <n v="5"/>
  </r>
  <r>
    <x v="80"/>
    <x v="1"/>
    <b v="1"/>
    <x v="193"/>
    <n v="5"/>
  </r>
  <r>
    <x v="85"/>
    <x v="1"/>
    <b v="1"/>
    <x v="193"/>
    <n v="5"/>
  </r>
  <r>
    <x v="15"/>
    <x v="2"/>
    <b v="1"/>
    <x v="193"/>
    <n v="25.6"/>
  </r>
  <r>
    <x v="0"/>
    <x v="0"/>
    <b v="0"/>
    <x v="194"/>
    <n v="-59.94"/>
  </r>
  <r>
    <x v="16"/>
    <x v="0"/>
    <b v="0"/>
    <x v="194"/>
    <n v="-10"/>
  </r>
  <r>
    <x v="1"/>
    <x v="0"/>
    <b v="0"/>
    <x v="194"/>
    <n v="-35.950000000000003"/>
  </r>
  <r>
    <x v="88"/>
    <x v="1"/>
    <b v="1"/>
    <x v="194"/>
    <n v="5"/>
  </r>
  <r>
    <x v="12"/>
    <x v="1"/>
    <b v="1"/>
    <x v="194"/>
    <n v="5"/>
  </r>
  <r>
    <x v="91"/>
    <x v="1"/>
    <b v="1"/>
    <x v="194"/>
    <n v="5"/>
  </r>
  <r>
    <x v="95"/>
    <x v="1"/>
    <b v="1"/>
    <x v="194"/>
    <n v="5"/>
  </r>
  <r>
    <x v="70"/>
    <x v="1"/>
    <b v="1"/>
    <x v="194"/>
    <n v="5"/>
  </r>
  <r>
    <x v="89"/>
    <x v="1"/>
    <b v="1"/>
    <x v="194"/>
    <n v="5"/>
  </r>
  <r>
    <x v="92"/>
    <x v="1"/>
    <b v="1"/>
    <x v="194"/>
    <n v="5"/>
  </r>
  <r>
    <x v="71"/>
    <x v="1"/>
    <b v="1"/>
    <x v="194"/>
    <n v="5"/>
  </r>
  <r>
    <x v="72"/>
    <x v="1"/>
    <b v="1"/>
    <x v="194"/>
    <n v="5"/>
  </r>
  <r>
    <x v="32"/>
    <x v="1"/>
    <b v="1"/>
    <x v="194"/>
    <n v="5"/>
  </r>
  <r>
    <x v="90"/>
    <x v="1"/>
    <b v="1"/>
    <x v="194"/>
    <n v="5"/>
  </r>
  <r>
    <x v="93"/>
    <x v="1"/>
    <b v="1"/>
    <x v="194"/>
    <n v="5"/>
  </r>
  <r>
    <x v="40"/>
    <x v="1"/>
    <b v="1"/>
    <x v="194"/>
    <n v="5"/>
  </r>
  <r>
    <x v="18"/>
    <x v="1"/>
    <b v="1"/>
    <x v="194"/>
    <n v="5"/>
  </r>
  <r>
    <x v="84"/>
    <x v="1"/>
    <b v="1"/>
    <x v="194"/>
    <n v="5"/>
  </r>
  <r>
    <x v="41"/>
    <x v="1"/>
    <b v="1"/>
    <x v="194"/>
    <n v="1E-3"/>
  </r>
  <r>
    <x v="87"/>
    <x v="1"/>
    <b v="1"/>
    <x v="194"/>
    <n v="5"/>
  </r>
  <r>
    <x v="73"/>
    <x v="1"/>
    <b v="1"/>
    <x v="194"/>
    <n v="5"/>
  </r>
  <r>
    <x v="44"/>
    <x v="1"/>
    <b v="1"/>
    <x v="194"/>
    <n v="5"/>
  </r>
  <r>
    <x v="94"/>
    <x v="1"/>
    <b v="1"/>
    <x v="194"/>
    <n v="5"/>
  </r>
  <r>
    <x v="86"/>
    <x v="1"/>
    <b v="1"/>
    <x v="194"/>
    <n v="5"/>
  </r>
  <r>
    <x v="75"/>
    <x v="1"/>
    <b v="1"/>
    <x v="194"/>
    <n v="5"/>
  </r>
  <r>
    <x v="80"/>
    <x v="1"/>
    <b v="1"/>
    <x v="194"/>
    <n v="5"/>
  </r>
  <r>
    <x v="85"/>
    <x v="1"/>
    <b v="1"/>
    <x v="194"/>
    <n v="5"/>
  </r>
  <r>
    <x v="15"/>
    <x v="2"/>
    <b v="1"/>
    <x v="194"/>
    <n v="34.130000000000003"/>
  </r>
  <r>
    <x v="0"/>
    <x v="0"/>
    <b v="0"/>
    <x v="195"/>
    <n v="-59.94"/>
  </r>
  <r>
    <x v="16"/>
    <x v="0"/>
    <b v="0"/>
    <x v="195"/>
    <n v="-10"/>
  </r>
  <r>
    <x v="1"/>
    <x v="0"/>
    <b v="0"/>
    <x v="195"/>
    <n v="-49.93"/>
  </r>
  <r>
    <x v="13"/>
    <x v="0"/>
    <b v="0"/>
    <x v="195"/>
    <n v="-21.490000000000002"/>
  </r>
  <r>
    <x v="20"/>
    <x v="0"/>
    <b v="0"/>
    <x v="195"/>
    <n v="-5.29"/>
  </r>
  <r>
    <x v="88"/>
    <x v="1"/>
    <b v="1"/>
    <x v="195"/>
    <n v="5"/>
  </r>
  <r>
    <x v="12"/>
    <x v="1"/>
    <b v="1"/>
    <x v="195"/>
    <n v="5"/>
  </r>
  <r>
    <x v="91"/>
    <x v="1"/>
    <b v="0"/>
    <x v="195"/>
    <n v="0"/>
  </r>
  <r>
    <x v="95"/>
    <x v="1"/>
    <b v="1"/>
    <x v="195"/>
    <n v="5"/>
  </r>
  <r>
    <x v="70"/>
    <x v="1"/>
    <b v="1"/>
    <x v="195"/>
    <n v="5"/>
  </r>
  <r>
    <x v="89"/>
    <x v="1"/>
    <b v="1"/>
    <x v="195"/>
    <n v="5"/>
  </r>
  <r>
    <x v="92"/>
    <x v="1"/>
    <b v="1"/>
    <x v="195"/>
    <n v="5"/>
  </r>
  <r>
    <x v="71"/>
    <x v="1"/>
    <b v="1"/>
    <x v="195"/>
    <n v="5"/>
  </r>
  <r>
    <x v="72"/>
    <x v="1"/>
    <b v="1"/>
    <x v="195"/>
    <n v="5"/>
  </r>
  <r>
    <x v="32"/>
    <x v="1"/>
    <b v="1"/>
    <x v="195"/>
    <n v="5"/>
  </r>
  <r>
    <x v="90"/>
    <x v="1"/>
    <b v="1"/>
    <x v="195"/>
    <n v="5"/>
  </r>
  <r>
    <x v="93"/>
    <x v="1"/>
    <b v="1"/>
    <x v="195"/>
    <n v="5"/>
  </r>
  <r>
    <x v="40"/>
    <x v="1"/>
    <b v="1"/>
    <x v="195"/>
    <n v="5"/>
  </r>
  <r>
    <x v="18"/>
    <x v="1"/>
    <b v="1"/>
    <x v="195"/>
    <n v="5"/>
  </r>
  <r>
    <x v="84"/>
    <x v="1"/>
    <b v="1"/>
    <x v="195"/>
    <n v="5"/>
  </r>
  <r>
    <x v="41"/>
    <x v="1"/>
    <b v="1"/>
    <x v="195"/>
    <n v="1E-3"/>
  </r>
  <r>
    <x v="87"/>
    <x v="1"/>
    <b v="1"/>
    <x v="195"/>
    <n v="5"/>
  </r>
  <r>
    <x v="73"/>
    <x v="1"/>
    <b v="1"/>
    <x v="195"/>
    <n v="5"/>
  </r>
  <r>
    <x v="44"/>
    <x v="1"/>
    <b v="1"/>
    <x v="195"/>
    <n v="5"/>
  </r>
  <r>
    <x v="94"/>
    <x v="1"/>
    <b v="1"/>
    <x v="195"/>
    <n v="5"/>
  </r>
  <r>
    <x v="86"/>
    <x v="1"/>
    <b v="1"/>
    <x v="195"/>
    <n v="5"/>
  </r>
  <r>
    <x v="75"/>
    <x v="1"/>
    <b v="1"/>
    <x v="195"/>
    <n v="5"/>
  </r>
  <r>
    <x v="80"/>
    <x v="1"/>
    <b v="1"/>
    <x v="195"/>
    <n v="5"/>
  </r>
  <r>
    <x v="85"/>
    <x v="1"/>
    <b v="1"/>
    <x v="195"/>
    <n v="5"/>
  </r>
  <r>
    <x v="15"/>
    <x v="2"/>
    <b v="1"/>
    <x v="195"/>
    <n v="19.760000000000002"/>
  </r>
  <r>
    <x v="0"/>
    <x v="0"/>
    <b v="0"/>
    <x v="196"/>
    <n v="-87.92"/>
  </r>
  <r>
    <x v="16"/>
    <x v="0"/>
    <b v="0"/>
    <x v="196"/>
    <n v="-10"/>
  </r>
  <r>
    <x v="1"/>
    <x v="0"/>
    <b v="0"/>
    <x v="196"/>
    <n v="-43.94"/>
  </r>
  <r>
    <x v="88"/>
    <x v="1"/>
    <b v="1"/>
    <x v="196"/>
    <n v="5"/>
  </r>
  <r>
    <x v="12"/>
    <x v="1"/>
    <b v="1"/>
    <x v="196"/>
    <n v="5"/>
  </r>
  <r>
    <x v="91"/>
    <x v="1"/>
    <b v="0"/>
    <x v="196"/>
    <n v="0"/>
  </r>
  <r>
    <x v="95"/>
    <x v="1"/>
    <b v="1"/>
    <x v="196"/>
    <n v="5"/>
  </r>
  <r>
    <x v="70"/>
    <x v="1"/>
    <b v="1"/>
    <x v="196"/>
    <n v="5"/>
  </r>
  <r>
    <x v="89"/>
    <x v="1"/>
    <b v="1"/>
    <x v="196"/>
    <n v="5"/>
  </r>
  <r>
    <x v="92"/>
    <x v="1"/>
    <b v="1"/>
    <x v="196"/>
    <n v="5"/>
  </r>
  <r>
    <x v="71"/>
    <x v="1"/>
    <b v="1"/>
    <x v="196"/>
    <n v="5"/>
  </r>
  <r>
    <x v="72"/>
    <x v="1"/>
    <b v="1"/>
    <x v="196"/>
    <n v="5"/>
  </r>
  <r>
    <x v="32"/>
    <x v="1"/>
    <b v="1"/>
    <x v="196"/>
    <n v="5"/>
  </r>
  <r>
    <x v="90"/>
    <x v="1"/>
    <b v="1"/>
    <x v="196"/>
    <n v="5"/>
  </r>
  <r>
    <x v="93"/>
    <x v="1"/>
    <b v="1"/>
    <x v="196"/>
    <n v="5"/>
  </r>
  <r>
    <x v="40"/>
    <x v="1"/>
    <b v="1"/>
    <x v="196"/>
    <n v="5"/>
  </r>
  <r>
    <x v="18"/>
    <x v="1"/>
    <b v="1"/>
    <x v="196"/>
    <n v="0"/>
  </r>
  <r>
    <x v="84"/>
    <x v="1"/>
    <b v="1"/>
    <x v="196"/>
    <n v="5"/>
  </r>
  <r>
    <x v="41"/>
    <x v="1"/>
    <b v="1"/>
    <x v="196"/>
    <n v="1E-3"/>
  </r>
  <r>
    <x v="87"/>
    <x v="1"/>
    <b v="1"/>
    <x v="196"/>
    <n v="5"/>
  </r>
  <r>
    <x v="73"/>
    <x v="1"/>
    <b v="1"/>
    <x v="196"/>
    <n v="5"/>
  </r>
  <r>
    <x v="44"/>
    <x v="1"/>
    <b v="1"/>
    <x v="196"/>
    <n v="5"/>
  </r>
  <r>
    <x v="94"/>
    <x v="1"/>
    <b v="1"/>
    <x v="196"/>
    <n v="5"/>
  </r>
  <r>
    <x v="96"/>
    <x v="1"/>
    <b v="1"/>
    <x v="196"/>
    <n v="5"/>
  </r>
  <r>
    <x v="86"/>
    <x v="1"/>
    <b v="1"/>
    <x v="196"/>
    <n v="5"/>
  </r>
  <r>
    <x v="75"/>
    <x v="1"/>
    <b v="1"/>
    <x v="196"/>
    <n v="5"/>
  </r>
  <r>
    <x v="80"/>
    <x v="1"/>
    <b v="1"/>
    <x v="196"/>
    <n v="5"/>
  </r>
  <r>
    <x v="85"/>
    <x v="1"/>
    <b v="1"/>
    <x v="196"/>
    <n v="5"/>
  </r>
  <r>
    <x v="15"/>
    <x v="2"/>
    <b v="1"/>
    <x v="196"/>
    <n v="21.400000000000002"/>
  </r>
  <r>
    <x v="0"/>
    <x v="0"/>
    <b v="0"/>
    <x v="197"/>
    <n v="-65.34"/>
  </r>
  <r>
    <x v="16"/>
    <x v="0"/>
    <b v="0"/>
    <x v="197"/>
    <n v="-10"/>
  </r>
  <r>
    <x v="1"/>
    <x v="0"/>
    <b v="0"/>
    <x v="197"/>
    <n v="-43.94"/>
  </r>
  <r>
    <x v="13"/>
    <x v="0"/>
    <b v="0"/>
    <x v="197"/>
    <n v="-2.4900000000000002"/>
  </r>
  <r>
    <x v="88"/>
    <x v="1"/>
    <b v="1"/>
    <x v="197"/>
    <n v="5"/>
  </r>
  <r>
    <x v="12"/>
    <x v="1"/>
    <b v="1"/>
    <x v="197"/>
    <n v="5"/>
  </r>
  <r>
    <x v="91"/>
    <x v="1"/>
    <b v="0"/>
    <x v="197"/>
    <n v="0"/>
  </r>
  <r>
    <x v="95"/>
    <x v="1"/>
    <b v="1"/>
    <x v="197"/>
    <n v="5"/>
  </r>
  <r>
    <x v="70"/>
    <x v="1"/>
    <b v="1"/>
    <x v="197"/>
    <n v="5"/>
  </r>
  <r>
    <x v="89"/>
    <x v="1"/>
    <b v="1"/>
    <x v="197"/>
    <n v="5"/>
  </r>
  <r>
    <x v="92"/>
    <x v="1"/>
    <b v="1"/>
    <x v="197"/>
    <n v="5"/>
  </r>
  <r>
    <x v="71"/>
    <x v="1"/>
    <b v="1"/>
    <x v="197"/>
    <n v="5"/>
  </r>
  <r>
    <x v="72"/>
    <x v="1"/>
    <b v="1"/>
    <x v="197"/>
    <n v="5"/>
  </r>
  <r>
    <x v="32"/>
    <x v="1"/>
    <b v="1"/>
    <x v="197"/>
    <n v="5"/>
  </r>
  <r>
    <x v="90"/>
    <x v="1"/>
    <b v="1"/>
    <x v="197"/>
    <n v="5"/>
  </r>
  <r>
    <x v="93"/>
    <x v="1"/>
    <b v="1"/>
    <x v="197"/>
    <n v="5"/>
  </r>
  <r>
    <x v="40"/>
    <x v="1"/>
    <b v="1"/>
    <x v="197"/>
    <n v="5"/>
  </r>
  <r>
    <x v="18"/>
    <x v="1"/>
    <b v="1"/>
    <x v="197"/>
    <n v="5"/>
  </r>
  <r>
    <x v="84"/>
    <x v="1"/>
    <b v="1"/>
    <x v="197"/>
    <n v="5"/>
  </r>
  <r>
    <x v="41"/>
    <x v="1"/>
    <b v="1"/>
    <x v="197"/>
    <n v="1E-3"/>
  </r>
  <r>
    <x v="87"/>
    <x v="1"/>
    <b v="1"/>
    <x v="197"/>
    <n v="5"/>
  </r>
  <r>
    <x v="73"/>
    <x v="1"/>
    <b v="1"/>
    <x v="197"/>
    <n v="5"/>
  </r>
  <r>
    <x v="44"/>
    <x v="1"/>
    <b v="1"/>
    <x v="197"/>
    <n v="5"/>
  </r>
  <r>
    <x v="94"/>
    <x v="1"/>
    <b v="1"/>
    <x v="197"/>
    <n v="5"/>
  </r>
  <r>
    <x v="96"/>
    <x v="1"/>
    <b v="1"/>
    <x v="197"/>
    <n v="5"/>
  </r>
  <r>
    <x v="86"/>
    <x v="1"/>
    <b v="1"/>
    <x v="197"/>
    <n v="5"/>
  </r>
  <r>
    <x v="75"/>
    <x v="1"/>
    <b v="1"/>
    <x v="197"/>
    <n v="5"/>
  </r>
  <r>
    <x v="80"/>
    <x v="1"/>
    <b v="1"/>
    <x v="197"/>
    <n v="5"/>
  </r>
  <r>
    <x v="85"/>
    <x v="1"/>
    <b v="1"/>
    <x v="197"/>
    <n v="5"/>
  </r>
  <r>
    <x v="15"/>
    <x v="2"/>
    <b v="1"/>
    <x v="197"/>
    <n v="16.650000000000002"/>
  </r>
  <r>
    <x v="0"/>
    <x v="0"/>
    <b v="0"/>
    <x v="198"/>
    <n v="-48.39"/>
  </r>
  <r>
    <x v="16"/>
    <x v="0"/>
    <b v="0"/>
    <x v="198"/>
    <n v="-10"/>
  </r>
  <r>
    <x v="1"/>
    <x v="0"/>
    <b v="0"/>
    <x v="198"/>
    <n v="-55.92"/>
  </r>
  <r>
    <x v="13"/>
    <x v="0"/>
    <b v="0"/>
    <x v="198"/>
    <n v="-2.4900000000000002"/>
  </r>
  <r>
    <x v="20"/>
    <x v="0"/>
    <b v="0"/>
    <x v="198"/>
    <n v="-9.49"/>
  </r>
  <r>
    <x v="88"/>
    <x v="1"/>
    <b v="1"/>
    <x v="198"/>
    <n v="5"/>
  </r>
  <r>
    <x v="12"/>
    <x v="1"/>
    <b v="1"/>
    <x v="198"/>
    <n v="5"/>
  </r>
  <r>
    <x v="91"/>
    <x v="1"/>
    <b v="0"/>
    <x v="198"/>
    <n v="0"/>
  </r>
  <r>
    <x v="95"/>
    <x v="1"/>
    <b v="1"/>
    <x v="198"/>
    <n v="5"/>
  </r>
  <r>
    <x v="70"/>
    <x v="1"/>
    <b v="1"/>
    <x v="198"/>
    <n v="5"/>
  </r>
  <r>
    <x v="89"/>
    <x v="1"/>
    <b v="1"/>
    <x v="198"/>
    <n v="5"/>
  </r>
  <r>
    <x v="92"/>
    <x v="1"/>
    <b v="1"/>
    <x v="198"/>
    <n v="5"/>
  </r>
  <r>
    <x v="71"/>
    <x v="1"/>
    <b v="1"/>
    <x v="198"/>
    <n v="5"/>
  </r>
  <r>
    <x v="72"/>
    <x v="1"/>
    <b v="1"/>
    <x v="198"/>
    <n v="5"/>
  </r>
  <r>
    <x v="32"/>
    <x v="1"/>
    <b v="1"/>
    <x v="198"/>
    <n v="5"/>
  </r>
  <r>
    <x v="90"/>
    <x v="1"/>
    <b v="1"/>
    <x v="198"/>
    <n v="5"/>
  </r>
  <r>
    <x v="93"/>
    <x v="1"/>
    <b v="1"/>
    <x v="198"/>
    <n v="5"/>
  </r>
  <r>
    <x v="40"/>
    <x v="1"/>
    <b v="1"/>
    <x v="198"/>
    <n v="5"/>
  </r>
  <r>
    <x v="18"/>
    <x v="1"/>
    <b v="1"/>
    <x v="198"/>
    <n v="5"/>
  </r>
  <r>
    <x v="84"/>
    <x v="1"/>
    <b v="1"/>
    <x v="198"/>
    <n v="5"/>
  </r>
  <r>
    <x v="41"/>
    <x v="1"/>
    <b v="1"/>
    <x v="198"/>
    <n v="1E-3"/>
  </r>
  <r>
    <x v="87"/>
    <x v="1"/>
    <b v="1"/>
    <x v="198"/>
    <n v="5"/>
  </r>
  <r>
    <x v="73"/>
    <x v="1"/>
    <b v="1"/>
    <x v="198"/>
    <n v="5"/>
  </r>
  <r>
    <x v="44"/>
    <x v="1"/>
    <b v="1"/>
    <x v="198"/>
    <n v="5"/>
  </r>
  <r>
    <x v="94"/>
    <x v="1"/>
    <b v="1"/>
    <x v="198"/>
    <n v="5"/>
  </r>
  <r>
    <x v="96"/>
    <x v="1"/>
    <b v="1"/>
    <x v="198"/>
    <n v="5"/>
  </r>
  <r>
    <x v="86"/>
    <x v="1"/>
    <b v="1"/>
    <x v="198"/>
    <n v="5"/>
  </r>
  <r>
    <x v="75"/>
    <x v="1"/>
    <b v="1"/>
    <x v="198"/>
    <n v="5"/>
  </r>
  <r>
    <x v="80"/>
    <x v="1"/>
    <b v="1"/>
    <x v="198"/>
    <n v="5"/>
  </r>
  <r>
    <x v="85"/>
    <x v="1"/>
    <b v="1"/>
    <x v="198"/>
    <n v="5"/>
  </r>
  <r>
    <x v="15"/>
    <x v="2"/>
    <b v="1"/>
    <x v="198"/>
    <n v="37.919999999999995"/>
  </r>
  <r>
    <x v="0"/>
    <x v="0"/>
    <b v="0"/>
    <x v="199"/>
    <n v="-59.94"/>
  </r>
  <r>
    <x v="16"/>
    <x v="0"/>
    <b v="0"/>
    <x v="199"/>
    <n v="-10"/>
  </r>
  <r>
    <x v="1"/>
    <x v="0"/>
    <b v="0"/>
    <x v="199"/>
    <n v="-45.94"/>
  </r>
  <r>
    <x v="13"/>
    <x v="0"/>
    <b v="0"/>
    <x v="199"/>
    <n v="-1.95"/>
  </r>
  <r>
    <x v="88"/>
    <x v="1"/>
    <b v="1"/>
    <x v="199"/>
    <n v="5"/>
  </r>
  <r>
    <x v="12"/>
    <x v="1"/>
    <b v="1"/>
    <x v="199"/>
    <n v="5"/>
  </r>
  <r>
    <x v="91"/>
    <x v="1"/>
    <b v="1"/>
    <x v="199"/>
    <n v="5"/>
  </r>
  <r>
    <x v="95"/>
    <x v="1"/>
    <b v="1"/>
    <x v="199"/>
    <n v="5"/>
  </r>
  <r>
    <x v="70"/>
    <x v="1"/>
    <b v="1"/>
    <x v="199"/>
    <n v="5"/>
  </r>
  <r>
    <x v="89"/>
    <x v="1"/>
    <b v="1"/>
    <x v="199"/>
    <n v="5"/>
  </r>
  <r>
    <x v="92"/>
    <x v="1"/>
    <b v="1"/>
    <x v="199"/>
    <n v="5"/>
  </r>
  <r>
    <x v="71"/>
    <x v="1"/>
    <b v="1"/>
    <x v="199"/>
    <n v="5"/>
  </r>
  <r>
    <x v="72"/>
    <x v="1"/>
    <b v="1"/>
    <x v="199"/>
    <n v="5"/>
  </r>
  <r>
    <x v="32"/>
    <x v="1"/>
    <b v="1"/>
    <x v="199"/>
    <n v="5"/>
  </r>
  <r>
    <x v="90"/>
    <x v="1"/>
    <b v="1"/>
    <x v="199"/>
    <n v="5"/>
  </r>
  <r>
    <x v="93"/>
    <x v="1"/>
    <b v="1"/>
    <x v="199"/>
    <n v="5"/>
  </r>
  <r>
    <x v="40"/>
    <x v="1"/>
    <b v="1"/>
    <x v="199"/>
    <n v="5"/>
  </r>
  <r>
    <x v="18"/>
    <x v="1"/>
    <b v="1"/>
    <x v="199"/>
    <n v="5"/>
  </r>
  <r>
    <x v="84"/>
    <x v="1"/>
    <b v="1"/>
    <x v="199"/>
    <n v="5"/>
  </r>
  <r>
    <x v="41"/>
    <x v="1"/>
    <b v="1"/>
    <x v="199"/>
    <n v="1E-3"/>
  </r>
  <r>
    <x v="87"/>
    <x v="1"/>
    <b v="1"/>
    <x v="199"/>
    <n v="5"/>
  </r>
  <r>
    <x v="73"/>
    <x v="1"/>
    <b v="1"/>
    <x v="199"/>
    <n v="5"/>
  </r>
  <r>
    <x v="44"/>
    <x v="1"/>
    <b v="1"/>
    <x v="199"/>
    <n v="5"/>
  </r>
  <r>
    <x v="94"/>
    <x v="1"/>
    <b v="1"/>
    <x v="199"/>
    <n v="5"/>
  </r>
  <r>
    <x v="96"/>
    <x v="1"/>
    <b v="1"/>
    <x v="199"/>
    <n v="5"/>
  </r>
  <r>
    <x v="86"/>
    <x v="1"/>
    <b v="1"/>
    <x v="199"/>
    <n v="5"/>
  </r>
  <r>
    <x v="75"/>
    <x v="1"/>
    <b v="1"/>
    <x v="199"/>
    <n v="5"/>
  </r>
  <r>
    <x v="80"/>
    <x v="1"/>
    <b v="1"/>
    <x v="199"/>
    <n v="5"/>
  </r>
  <r>
    <x v="85"/>
    <x v="1"/>
    <b v="1"/>
    <x v="199"/>
    <n v="5"/>
  </r>
  <r>
    <x v="15"/>
    <x v="2"/>
    <b v="1"/>
    <x v="199"/>
    <n v="21.88"/>
  </r>
  <r>
    <x v="0"/>
    <x v="0"/>
    <b v="0"/>
    <x v="200"/>
    <n v="-59.94"/>
  </r>
  <r>
    <x v="16"/>
    <x v="0"/>
    <b v="0"/>
    <x v="200"/>
    <n v="-10"/>
  </r>
  <r>
    <x v="1"/>
    <x v="0"/>
    <b v="0"/>
    <x v="200"/>
    <n v="-43.94"/>
  </r>
  <r>
    <x v="13"/>
    <x v="0"/>
    <b v="0"/>
    <x v="200"/>
    <n v="-1.95"/>
  </r>
  <r>
    <x v="88"/>
    <x v="1"/>
    <b v="1"/>
    <x v="200"/>
    <n v="5"/>
  </r>
  <r>
    <x v="12"/>
    <x v="1"/>
    <b v="1"/>
    <x v="200"/>
    <n v="5"/>
  </r>
  <r>
    <x v="91"/>
    <x v="1"/>
    <b v="1"/>
    <x v="200"/>
    <n v="5"/>
  </r>
  <r>
    <x v="95"/>
    <x v="1"/>
    <b v="1"/>
    <x v="200"/>
    <n v="5"/>
  </r>
  <r>
    <x v="70"/>
    <x v="1"/>
    <b v="1"/>
    <x v="200"/>
    <n v="5"/>
  </r>
  <r>
    <x v="89"/>
    <x v="1"/>
    <b v="1"/>
    <x v="200"/>
    <n v="5"/>
  </r>
  <r>
    <x v="92"/>
    <x v="1"/>
    <b v="1"/>
    <x v="200"/>
    <n v="5"/>
  </r>
  <r>
    <x v="71"/>
    <x v="1"/>
    <b v="1"/>
    <x v="200"/>
    <n v="5"/>
  </r>
  <r>
    <x v="72"/>
    <x v="1"/>
    <b v="1"/>
    <x v="200"/>
    <n v="5"/>
  </r>
  <r>
    <x v="32"/>
    <x v="1"/>
    <b v="1"/>
    <x v="200"/>
    <n v="5"/>
  </r>
  <r>
    <x v="90"/>
    <x v="1"/>
    <b v="1"/>
    <x v="200"/>
    <n v="5"/>
  </r>
  <r>
    <x v="93"/>
    <x v="1"/>
    <b v="1"/>
    <x v="200"/>
    <n v="5"/>
  </r>
  <r>
    <x v="40"/>
    <x v="1"/>
    <b v="1"/>
    <x v="200"/>
    <n v="5"/>
  </r>
  <r>
    <x v="18"/>
    <x v="1"/>
    <b v="1"/>
    <x v="200"/>
    <n v="5"/>
  </r>
  <r>
    <x v="84"/>
    <x v="1"/>
    <b v="1"/>
    <x v="200"/>
    <n v="5"/>
  </r>
  <r>
    <x v="41"/>
    <x v="1"/>
    <b v="1"/>
    <x v="200"/>
    <n v="1E-3"/>
  </r>
  <r>
    <x v="87"/>
    <x v="1"/>
    <b v="1"/>
    <x v="200"/>
    <n v="5"/>
  </r>
  <r>
    <x v="73"/>
    <x v="1"/>
    <b v="1"/>
    <x v="200"/>
    <n v="5"/>
  </r>
  <r>
    <x v="44"/>
    <x v="1"/>
    <b v="1"/>
    <x v="200"/>
    <n v="5"/>
  </r>
  <r>
    <x v="94"/>
    <x v="1"/>
    <b v="1"/>
    <x v="200"/>
    <n v="5"/>
  </r>
  <r>
    <x v="96"/>
    <x v="1"/>
    <b v="1"/>
    <x v="200"/>
    <n v="5"/>
  </r>
  <r>
    <x v="86"/>
    <x v="1"/>
    <b v="1"/>
    <x v="200"/>
    <n v="5"/>
  </r>
  <r>
    <x v="75"/>
    <x v="1"/>
    <b v="1"/>
    <x v="200"/>
    <n v="5"/>
  </r>
  <r>
    <x v="80"/>
    <x v="1"/>
    <b v="1"/>
    <x v="200"/>
    <n v="5"/>
  </r>
  <r>
    <x v="85"/>
    <x v="1"/>
    <b v="1"/>
    <x v="200"/>
    <n v="5"/>
  </r>
  <r>
    <x v="15"/>
    <x v="2"/>
    <b v="1"/>
    <x v="200"/>
    <n v="22.52"/>
  </r>
  <r>
    <x v="0"/>
    <x v="0"/>
    <b v="0"/>
    <x v="201"/>
    <n v="-59.94"/>
  </r>
  <r>
    <x v="16"/>
    <x v="0"/>
    <b v="0"/>
    <x v="201"/>
    <n v="-5"/>
  </r>
  <r>
    <x v="1"/>
    <x v="0"/>
    <b v="0"/>
    <x v="201"/>
    <n v="-43.94"/>
  </r>
  <r>
    <x v="88"/>
    <x v="1"/>
    <b v="1"/>
    <x v="201"/>
    <n v="5"/>
  </r>
  <r>
    <x v="12"/>
    <x v="1"/>
    <b v="1"/>
    <x v="201"/>
    <n v="5"/>
  </r>
  <r>
    <x v="91"/>
    <x v="1"/>
    <b v="0"/>
    <x v="201"/>
    <n v="0"/>
  </r>
  <r>
    <x v="95"/>
    <x v="1"/>
    <b v="1"/>
    <x v="201"/>
    <n v="5"/>
  </r>
  <r>
    <x v="70"/>
    <x v="1"/>
    <b v="1"/>
    <x v="201"/>
    <n v="5"/>
  </r>
  <r>
    <x v="89"/>
    <x v="1"/>
    <b v="1"/>
    <x v="201"/>
    <n v="5"/>
  </r>
  <r>
    <x v="92"/>
    <x v="1"/>
    <b v="1"/>
    <x v="201"/>
    <n v="5"/>
  </r>
  <r>
    <x v="71"/>
    <x v="1"/>
    <b v="1"/>
    <x v="201"/>
    <n v="5"/>
  </r>
  <r>
    <x v="72"/>
    <x v="1"/>
    <b v="1"/>
    <x v="201"/>
    <n v="5"/>
  </r>
  <r>
    <x v="32"/>
    <x v="1"/>
    <b v="1"/>
    <x v="201"/>
    <n v="5"/>
  </r>
  <r>
    <x v="90"/>
    <x v="1"/>
    <b v="1"/>
    <x v="201"/>
    <n v="5"/>
  </r>
  <r>
    <x v="93"/>
    <x v="1"/>
    <b v="1"/>
    <x v="201"/>
    <n v="5"/>
  </r>
  <r>
    <x v="40"/>
    <x v="1"/>
    <b v="1"/>
    <x v="201"/>
    <n v="5"/>
  </r>
  <r>
    <x v="18"/>
    <x v="1"/>
    <b v="1"/>
    <x v="201"/>
    <n v="5"/>
  </r>
  <r>
    <x v="84"/>
    <x v="1"/>
    <b v="1"/>
    <x v="201"/>
    <n v="5"/>
  </r>
  <r>
    <x v="41"/>
    <x v="1"/>
    <b v="1"/>
    <x v="201"/>
    <n v="1E-3"/>
  </r>
  <r>
    <x v="87"/>
    <x v="1"/>
    <b v="1"/>
    <x v="201"/>
    <n v="5"/>
  </r>
  <r>
    <x v="73"/>
    <x v="1"/>
    <b v="1"/>
    <x v="201"/>
    <n v="5"/>
  </r>
  <r>
    <x v="44"/>
    <x v="1"/>
    <b v="1"/>
    <x v="201"/>
    <n v="5"/>
  </r>
  <r>
    <x v="94"/>
    <x v="1"/>
    <b v="1"/>
    <x v="201"/>
    <n v="5"/>
  </r>
  <r>
    <x v="96"/>
    <x v="1"/>
    <b v="1"/>
    <x v="201"/>
    <n v="5"/>
  </r>
  <r>
    <x v="86"/>
    <x v="1"/>
    <b v="1"/>
    <x v="201"/>
    <n v="5"/>
  </r>
  <r>
    <x v="75"/>
    <x v="1"/>
    <b v="1"/>
    <x v="201"/>
    <n v="5"/>
  </r>
  <r>
    <x v="80"/>
    <x v="1"/>
    <b v="1"/>
    <x v="201"/>
    <n v="5"/>
  </r>
  <r>
    <x v="85"/>
    <x v="1"/>
    <b v="1"/>
    <x v="201"/>
    <n v="5"/>
  </r>
  <r>
    <x v="15"/>
    <x v="2"/>
    <b v="1"/>
    <x v="201"/>
    <n v="23.77"/>
  </r>
  <r>
    <x v="0"/>
    <x v="0"/>
    <b v="0"/>
    <x v="202"/>
    <n v="-59.94"/>
  </r>
  <r>
    <x v="16"/>
    <x v="0"/>
    <b v="0"/>
    <x v="202"/>
    <n v="-19.18"/>
  </r>
  <r>
    <x v="1"/>
    <x v="0"/>
    <b v="0"/>
    <x v="202"/>
    <n v="-43.94"/>
  </r>
  <r>
    <x v="13"/>
    <x v="0"/>
    <b v="0"/>
    <x v="202"/>
    <n v="-1.95"/>
  </r>
  <r>
    <x v="88"/>
    <x v="1"/>
    <b v="1"/>
    <x v="202"/>
    <n v="5"/>
  </r>
  <r>
    <x v="12"/>
    <x v="1"/>
    <b v="1"/>
    <x v="202"/>
    <n v="5"/>
  </r>
  <r>
    <x v="95"/>
    <x v="1"/>
    <b v="1"/>
    <x v="202"/>
    <n v="5"/>
  </r>
  <r>
    <x v="70"/>
    <x v="1"/>
    <b v="1"/>
    <x v="202"/>
    <n v="5"/>
  </r>
  <r>
    <x v="89"/>
    <x v="1"/>
    <b v="1"/>
    <x v="202"/>
    <n v="5"/>
  </r>
  <r>
    <x v="92"/>
    <x v="1"/>
    <b v="1"/>
    <x v="202"/>
    <n v="5"/>
  </r>
  <r>
    <x v="71"/>
    <x v="1"/>
    <b v="1"/>
    <x v="202"/>
    <n v="5"/>
  </r>
  <r>
    <x v="72"/>
    <x v="1"/>
    <b v="1"/>
    <x v="202"/>
    <n v="5"/>
  </r>
  <r>
    <x v="32"/>
    <x v="1"/>
    <b v="1"/>
    <x v="202"/>
    <n v="5"/>
  </r>
  <r>
    <x v="90"/>
    <x v="1"/>
    <b v="1"/>
    <x v="202"/>
    <n v="5"/>
  </r>
  <r>
    <x v="93"/>
    <x v="1"/>
    <b v="1"/>
    <x v="202"/>
    <n v="5"/>
  </r>
  <r>
    <x v="40"/>
    <x v="1"/>
    <b v="1"/>
    <x v="202"/>
    <n v="5"/>
  </r>
  <r>
    <x v="18"/>
    <x v="1"/>
    <b v="1"/>
    <x v="202"/>
    <n v="5"/>
  </r>
  <r>
    <x v="84"/>
    <x v="1"/>
    <b v="1"/>
    <x v="202"/>
    <n v="5"/>
  </r>
  <r>
    <x v="41"/>
    <x v="1"/>
    <b v="1"/>
    <x v="202"/>
    <n v="1E-3"/>
  </r>
  <r>
    <x v="87"/>
    <x v="1"/>
    <b v="1"/>
    <x v="202"/>
    <n v="5"/>
  </r>
  <r>
    <x v="73"/>
    <x v="1"/>
    <b v="1"/>
    <x v="202"/>
    <n v="5"/>
  </r>
  <r>
    <x v="97"/>
    <x v="1"/>
    <b v="1"/>
    <x v="202"/>
    <n v="5"/>
  </r>
  <r>
    <x v="44"/>
    <x v="1"/>
    <b v="1"/>
    <x v="202"/>
    <n v="5"/>
  </r>
  <r>
    <x v="94"/>
    <x v="1"/>
    <b v="1"/>
    <x v="202"/>
    <n v="5"/>
  </r>
  <r>
    <x v="96"/>
    <x v="1"/>
    <b v="1"/>
    <x v="202"/>
    <n v="5"/>
  </r>
  <r>
    <x v="86"/>
    <x v="1"/>
    <b v="1"/>
    <x v="202"/>
    <n v="5"/>
  </r>
  <r>
    <x v="75"/>
    <x v="1"/>
    <b v="1"/>
    <x v="202"/>
    <n v="5"/>
  </r>
  <r>
    <x v="80"/>
    <x v="1"/>
    <b v="1"/>
    <x v="202"/>
    <n v="5"/>
  </r>
  <r>
    <x v="85"/>
    <x v="1"/>
    <b v="1"/>
    <x v="202"/>
    <n v="5"/>
  </r>
  <r>
    <x v="15"/>
    <x v="2"/>
    <b v="1"/>
    <x v="202"/>
    <n v="24.44"/>
  </r>
  <r>
    <x v="98"/>
    <x v="3"/>
    <b v="0"/>
    <x v="202"/>
    <n v="-120"/>
  </r>
  <r>
    <x v="0"/>
    <x v="0"/>
    <b v="0"/>
    <x v="203"/>
    <n v="-79.92"/>
  </r>
  <r>
    <x v="16"/>
    <x v="0"/>
    <b v="0"/>
    <x v="203"/>
    <n v="-5"/>
  </r>
  <r>
    <x v="1"/>
    <x v="0"/>
    <b v="0"/>
    <x v="203"/>
    <n v="-37.950000000000003"/>
  </r>
  <r>
    <x v="13"/>
    <x v="0"/>
    <b v="0"/>
    <x v="203"/>
    <n v="-1.95"/>
  </r>
  <r>
    <x v="88"/>
    <x v="1"/>
    <b v="1"/>
    <x v="203"/>
    <n v="5"/>
  </r>
  <r>
    <x v="12"/>
    <x v="1"/>
    <b v="1"/>
    <x v="203"/>
    <n v="5"/>
  </r>
  <r>
    <x v="95"/>
    <x v="1"/>
    <b v="1"/>
    <x v="203"/>
    <n v="5"/>
  </r>
  <r>
    <x v="70"/>
    <x v="1"/>
    <b v="1"/>
    <x v="203"/>
    <n v="5"/>
  </r>
  <r>
    <x v="89"/>
    <x v="1"/>
    <b v="1"/>
    <x v="203"/>
    <n v="5"/>
  </r>
  <r>
    <x v="92"/>
    <x v="1"/>
    <b v="1"/>
    <x v="203"/>
    <n v="5"/>
  </r>
  <r>
    <x v="71"/>
    <x v="1"/>
    <b v="1"/>
    <x v="203"/>
    <n v="5"/>
  </r>
  <r>
    <x v="72"/>
    <x v="1"/>
    <b v="1"/>
    <x v="203"/>
    <n v="5"/>
  </r>
  <r>
    <x v="32"/>
    <x v="1"/>
    <b v="1"/>
    <x v="203"/>
    <n v="5"/>
  </r>
  <r>
    <x v="90"/>
    <x v="1"/>
    <b v="1"/>
    <x v="203"/>
    <n v="5"/>
  </r>
  <r>
    <x v="93"/>
    <x v="1"/>
    <b v="1"/>
    <x v="203"/>
    <n v="5"/>
  </r>
  <r>
    <x v="40"/>
    <x v="1"/>
    <b v="1"/>
    <x v="203"/>
    <n v="5"/>
  </r>
  <r>
    <x v="18"/>
    <x v="1"/>
    <b v="1"/>
    <x v="203"/>
    <n v="5"/>
  </r>
  <r>
    <x v="84"/>
    <x v="1"/>
    <b v="1"/>
    <x v="203"/>
    <n v="5"/>
  </r>
  <r>
    <x v="41"/>
    <x v="1"/>
    <b v="1"/>
    <x v="203"/>
    <n v="1E-3"/>
  </r>
  <r>
    <x v="87"/>
    <x v="1"/>
    <b v="1"/>
    <x v="203"/>
    <n v="5"/>
  </r>
  <r>
    <x v="73"/>
    <x v="1"/>
    <b v="1"/>
    <x v="203"/>
    <n v="5"/>
  </r>
  <r>
    <x v="97"/>
    <x v="1"/>
    <b v="1"/>
    <x v="203"/>
    <n v="5"/>
  </r>
  <r>
    <x v="44"/>
    <x v="1"/>
    <b v="1"/>
    <x v="203"/>
    <n v="5"/>
  </r>
  <r>
    <x v="94"/>
    <x v="1"/>
    <b v="1"/>
    <x v="203"/>
    <n v="5"/>
  </r>
  <r>
    <x v="96"/>
    <x v="1"/>
    <b v="1"/>
    <x v="203"/>
    <n v="5"/>
  </r>
  <r>
    <x v="86"/>
    <x v="1"/>
    <b v="1"/>
    <x v="203"/>
    <n v="5"/>
  </r>
  <r>
    <x v="75"/>
    <x v="1"/>
    <b v="1"/>
    <x v="203"/>
    <n v="5"/>
  </r>
  <r>
    <x v="80"/>
    <x v="1"/>
    <b v="1"/>
    <x v="203"/>
    <n v="5"/>
  </r>
  <r>
    <x v="85"/>
    <x v="1"/>
    <b v="1"/>
    <x v="203"/>
    <n v="5"/>
  </r>
  <r>
    <x v="15"/>
    <x v="2"/>
    <b v="1"/>
    <x v="203"/>
    <n v="21.049999999999997"/>
  </r>
  <r>
    <x v="0"/>
    <x v="0"/>
    <b v="1"/>
    <x v="204"/>
    <n v="-39.96"/>
  </r>
  <r>
    <x v="16"/>
    <x v="0"/>
    <b v="1"/>
    <x v="204"/>
    <n v="-5"/>
  </r>
  <r>
    <x v="1"/>
    <x v="0"/>
    <b v="1"/>
    <x v="204"/>
    <n v="-29.96"/>
  </r>
  <r>
    <x v="13"/>
    <x v="0"/>
    <b v="1"/>
    <x v="204"/>
    <n v="-21"/>
  </r>
  <r>
    <x v="20"/>
    <x v="0"/>
    <b v="1"/>
    <x v="204"/>
    <n v="-5.29"/>
  </r>
  <r>
    <x v="88"/>
    <x v="1"/>
    <b v="1"/>
    <x v="204"/>
    <n v="5"/>
  </r>
  <r>
    <x v="12"/>
    <x v="1"/>
    <b v="1"/>
    <x v="204"/>
    <n v="5"/>
  </r>
  <r>
    <x v="95"/>
    <x v="1"/>
    <b v="1"/>
    <x v="204"/>
    <n v="5"/>
  </r>
  <r>
    <x v="70"/>
    <x v="1"/>
    <b v="1"/>
    <x v="204"/>
    <n v="5"/>
  </r>
  <r>
    <x v="89"/>
    <x v="1"/>
    <b v="1"/>
    <x v="204"/>
    <n v="5"/>
  </r>
  <r>
    <x v="92"/>
    <x v="1"/>
    <b v="1"/>
    <x v="204"/>
    <n v="5"/>
  </r>
  <r>
    <x v="71"/>
    <x v="1"/>
    <b v="1"/>
    <x v="204"/>
    <n v="5"/>
  </r>
  <r>
    <x v="72"/>
    <x v="1"/>
    <b v="1"/>
    <x v="204"/>
    <n v="5"/>
  </r>
  <r>
    <x v="32"/>
    <x v="1"/>
    <b v="1"/>
    <x v="204"/>
    <n v="5"/>
  </r>
  <r>
    <x v="90"/>
    <x v="1"/>
    <b v="1"/>
    <x v="204"/>
    <n v="5"/>
  </r>
  <r>
    <x v="93"/>
    <x v="1"/>
    <b v="1"/>
    <x v="204"/>
    <n v="5"/>
  </r>
  <r>
    <x v="40"/>
    <x v="1"/>
    <b v="1"/>
    <x v="204"/>
    <n v="5"/>
  </r>
  <r>
    <x v="18"/>
    <x v="1"/>
    <b v="1"/>
    <x v="204"/>
    <n v="5"/>
  </r>
  <r>
    <x v="84"/>
    <x v="1"/>
    <b v="1"/>
    <x v="204"/>
    <n v="5"/>
  </r>
  <r>
    <x v="41"/>
    <x v="1"/>
    <b v="1"/>
    <x v="204"/>
    <n v="1E-3"/>
  </r>
  <r>
    <x v="87"/>
    <x v="1"/>
    <b v="1"/>
    <x v="204"/>
    <n v="5"/>
  </r>
  <r>
    <x v="73"/>
    <x v="1"/>
    <b v="1"/>
    <x v="204"/>
    <n v="5"/>
  </r>
  <r>
    <x v="97"/>
    <x v="1"/>
    <b v="1"/>
    <x v="204"/>
    <n v="5"/>
  </r>
  <r>
    <x v="44"/>
    <x v="1"/>
    <b v="1"/>
    <x v="204"/>
    <n v="5"/>
  </r>
  <r>
    <x v="94"/>
    <x v="1"/>
    <b v="1"/>
    <x v="204"/>
    <n v="5"/>
  </r>
  <r>
    <x v="96"/>
    <x v="1"/>
    <b v="1"/>
    <x v="204"/>
    <n v="5"/>
  </r>
  <r>
    <x v="86"/>
    <x v="1"/>
    <b v="1"/>
    <x v="204"/>
    <n v="5"/>
  </r>
  <r>
    <x v="75"/>
    <x v="1"/>
    <b v="1"/>
    <x v="204"/>
    <n v="5"/>
  </r>
  <r>
    <x v="80"/>
    <x v="1"/>
    <b v="1"/>
    <x v="204"/>
    <n v="5"/>
  </r>
  <r>
    <x v="85"/>
    <x v="1"/>
    <b v="1"/>
    <x v="204"/>
    <n v="5"/>
  </r>
  <r>
    <x v="15"/>
    <x v="2"/>
    <b v="1"/>
    <x v="204"/>
    <n v="26.72"/>
  </r>
  <r>
    <x v="0"/>
    <x v="0"/>
    <b v="1"/>
    <x v="205"/>
    <n v="-39.96"/>
  </r>
  <r>
    <x v="16"/>
    <x v="0"/>
    <b v="1"/>
    <x v="205"/>
    <n v="-14.1"/>
  </r>
  <r>
    <x v="1"/>
    <x v="0"/>
    <b v="1"/>
    <x v="205"/>
    <n v="-35.950000000000003"/>
  </r>
  <r>
    <x v="13"/>
    <x v="0"/>
    <b v="1"/>
    <x v="205"/>
    <n v="-5"/>
  </r>
  <r>
    <x v="20"/>
    <x v="0"/>
    <b v="1"/>
    <x v="205"/>
    <n v="-10.58"/>
  </r>
  <r>
    <x v="88"/>
    <x v="1"/>
    <b v="1"/>
    <x v="205"/>
    <n v="5"/>
  </r>
  <r>
    <x v="12"/>
    <x v="1"/>
    <b v="1"/>
    <x v="205"/>
    <n v="5"/>
  </r>
  <r>
    <x v="95"/>
    <x v="1"/>
    <b v="1"/>
    <x v="205"/>
    <n v="5"/>
  </r>
  <r>
    <x v="70"/>
    <x v="1"/>
    <b v="1"/>
    <x v="205"/>
    <n v="5"/>
  </r>
  <r>
    <x v="89"/>
    <x v="1"/>
    <b v="1"/>
    <x v="205"/>
    <n v="5"/>
  </r>
  <r>
    <x v="92"/>
    <x v="1"/>
    <b v="1"/>
    <x v="205"/>
    <n v="5"/>
  </r>
  <r>
    <x v="71"/>
    <x v="1"/>
    <b v="1"/>
    <x v="205"/>
    <n v="5"/>
  </r>
  <r>
    <x v="72"/>
    <x v="1"/>
    <b v="1"/>
    <x v="205"/>
    <n v="5"/>
  </r>
  <r>
    <x v="32"/>
    <x v="1"/>
    <b v="1"/>
    <x v="205"/>
    <n v="5"/>
  </r>
  <r>
    <x v="90"/>
    <x v="1"/>
    <b v="1"/>
    <x v="205"/>
    <n v="5"/>
  </r>
  <r>
    <x v="93"/>
    <x v="1"/>
    <b v="1"/>
    <x v="205"/>
    <n v="5"/>
  </r>
  <r>
    <x v="40"/>
    <x v="1"/>
    <b v="1"/>
    <x v="205"/>
    <n v="5"/>
  </r>
  <r>
    <x v="18"/>
    <x v="1"/>
    <b v="1"/>
    <x v="205"/>
    <n v="5"/>
  </r>
  <r>
    <x v="84"/>
    <x v="1"/>
    <b v="1"/>
    <x v="205"/>
    <n v="5"/>
  </r>
  <r>
    <x v="41"/>
    <x v="1"/>
    <b v="1"/>
    <x v="205"/>
    <n v="1E-3"/>
  </r>
  <r>
    <x v="87"/>
    <x v="1"/>
    <b v="1"/>
    <x v="205"/>
    <n v="5"/>
  </r>
  <r>
    <x v="73"/>
    <x v="1"/>
    <b v="1"/>
    <x v="205"/>
    <n v="5"/>
  </r>
  <r>
    <x v="97"/>
    <x v="1"/>
    <b v="1"/>
    <x v="205"/>
    <n v="5"/>
  </r>
  <r>
    <x v="44"/>
    <x v="1"/>
    <b v="1"/>
    <x v="205"/>
    <n v="5"/>
  </r>
  <r>
    <x v="94"/>
    <x v="1"/>
    <b v="1"/>
    <x v="205"/>
    <n v="5"/>
  </r>
  <r>
    <x v="96"/>
    <x v="1"/>
    <b v="1"/>
    <x v="205"/>
    <n v="5"/>
  </r>
  <r>
    <x v="86"/>
    <x v="1"/>
    <b v="1"/>
    <x v="205"/>
    <n v="5"/>
  </r>
  <r>
    <x v="75"/>
    <x v="1"/>
    <b v="1"/>
    <x v="205"/>
    <n v="5"/>
  </r>
  <r>
    <x v="80"/>
    <x v="1"/>
    <b v="1"/>
    <x v="205"/>
    <n v="5"/>
  </r>
  <r>
    <x v="85"/>
    <x v="1"/>
    <b v="1"/>
    <x v="205"/>
    <n v="5"/>
  </r>
  <r>
    <x v="15"/>
    <x v="2"/>
    <b v="1"/>
    <x v="205"/>
    <n v="32.54"/>
  </r>
  <r>
    <x v="0"/>
    <x v="0"/>
    <b v="1"/>
    <x v="206"/>
    <n v="-79.92"/>
  </r>
  <r>
    <x v="16"/>
    <x v="0"/>
    <b v="1"/>
    <x v="206"/>
    <n v="-5"/>
  </r>
  <r>
    <x v="1"/>
    <x v="0"/>
    <b v="1"/>
    <x v="206"/>
    <n v="-31.96"/>
  </r>
  <r>
    <x v="20"/>
    <x v="0"/>
    <b v="1"/>
    <x v="206"/>
    <n v="-4.99"/>
  </r>
  <r>
    <x v="88"/>
    <x v="1"/>
    <b v="1"/>
    <x v="206"/>
    <n v="5"/>
  </r>
  <r>
    <x v="12"/>
    <x v="1"/>
    <b v="1"/>
    <x v="206"/>
    <n v="5"/>
  </r>
  <r>
    <x v="95"/>
    <x v="1"/>
    <b v="1"/>
    <x v="206"/>
    <n v="5"/>
  </r>
  <r>
    <x v="70"/>
    <x v="1"/>
    <b v="1"/>
    <x v="206"/>
    <n v="5"/>
  </r>
  <r>
    <x v="89"/>
    <x v="1"/>
    <b v="1"/>
    <x v="206"/>
    <n v="5"/>
  </r>
  <r>
    <x v="92"/>
    <x v="1"/>
    <b v="1"/>
    <x v="206"/>
    <n v="5"/>
  </r>
  <r>
    <x v="71"/>
    <x v="1"/>
    <b v="1"/>
    <x v="206"/>
    <n v="5"/>
  </r>
  <r>
    <x v="72"/>
    <x v="1"/>
    <b v="1"/>
    <x v="206"/>
    <n v="5"/>
  </r>
  <r>
    <x v="32"/>
    <x v="1"/>
    <b v="1"/>
    <x v="206"/>
    <n v="5"/>
  </r>
  <r>
    <x v="99"/>
    <x v="1"/>
    <b v="1"/>
    <x v="206"/>
    <n v="5"/>
  </r>
  <r>
    <x v="90"/>
    <x v="1"/>
    <b v="1"/>
    <x v="206"/>
    <n v="5"/>
  </r>
  <r>
    <x v="93"/>
    <x v="1"/>
    <b v="1"/>
    <x v="206"/>
    <n v="5"/>
  </r>
  <r>
    <x v="40"/>
    <x v="1"/>
    <b v="1"/>
    <x v="206"/>
    <n v="5"/>
  </r>
  <r>
    <x v="18"/>
    <x v="1"/>
    <b v="1"/>
    <x v="206"/>
    <n v="5"/>
  </r>
  <r>
    <x v="18"/>
    <x v="1"/>
    <b v="0"/>
    <x v="206"/>
    <n v="5"/>
  </r>
  <r>
    <x v="18"/>
    <x v="1"/>
    <b v="0"/>
    <x v="206"/>
    <n v="5"/>
  </r>
  <r>
    <x v="84"/>
    <x v="1"/>
    <b v="1"/>
    <x v="206"/>
    <n v="5"/>
  </r>
  <r>
    <x v="41"/>
    <x v="1"/>
    <b v="1"/>
    <x v="206"/>
    <n v="1E-3"/>
  </r>
  <r>
    <x v="87"/>
    <x v="1"/>
    <b v="1"/>
    <x v="206"/>
    <n v="5"/>
  </r>
  <r>
    <x v="73"/>
    <x v="1"/>
    <b v="1"/>
    <x v="206"/>
    <n v="5"/>
  </r>
  <r>
    <x v="97"/>
    <x v="1"/>
    <b v="1"/>
    <x v="206"/>
    <n v="5"/>
  </r>
  <r>
    <x v="44"/>
    <x v="1"/>
    <b v="1"/>
    <x v="206"/>
    <n v="5"/>
  </r>
  <r>
    <x v="94"/>
    <x v="1"/>
    <b v="1"/>
    <x v="206"/>
    <n v="5"/>
  </r>
  <r>
    <x v="96"/>
    <x v="1"/>
    <b v="1"/>
    <x v="206"/>
    <n v="5"/>
  </r>
  <r>
    <x v="86"/>
    <x v="1"/>
    <b v="1"/>
    <x v="206"/>
    <n v="5"/>
  </r>
  <r>
    <x v="75"/>
    <x v="1"/>
    <b v="1"/>
    <x v="206"/>
    <n v="5"/>
  </r>
  <r>
    <x v="80"/>
    <x v="1"/>
    <b v="1"/>
    <x v="206"/>
    <n v="5"/>
  </r>
  <r>
    <x v="85"/>
    <x v="1"/>
    <b v="1"/>
    <x v="206"/>
    <n v="5"/>
  </r>
  <r>
    <x v="15"/>
    <x v="2"/>
    <b v="1"/>
    <x v="206"/>
    <n v="40.659999999999997"/>
  </r>
  <r>
    <x v="0"/>
    <x v="0"/>
    <b v="1"/>
    <x v="207"/>
    <n v="-87.39"/>
  </r>
  <r>
    <x v="16"/>
    <x v="0"/>
    <b v="1"/>
    <x v="207"/>
    <n v="-5"/>
  </r>
  <r>
    <x v="1"/>
    <x v="0"/>
    <b v="1"/>
    <x v="207"/>
    <n v="-49.14"/>
  </r>
  <r>
    <x v="13"/>
    <x v="0"/>
    <b v="1"/>
    <x v="207"/>
    <n v="-4.49"/>
  </r>
  <r>
    <x v="20"/>
    <x v="0"/>
    <b v="1"/>
    <x v="207"/>
    <n v="-9.49"/>
  </r>
  <r>
    <x v="88"/>
    <x v="1"/>
    <b v="1"/>
    <x v="207"/>
    <n v="1E-3"/>
  </r>
  <r>
    <x v="12"/>
    <x v="1"/>
    <b v="1"/>
    <x v="207"/>
    <n v="5"/>
  </r>
  <r>
    <x v="91"/>
    <x v="1"/>
    <b v="1"/>
    <x v="207"/>
    <n v="1E-3"/>
  </r>
  <r>
    <x v="95"/>
    <x v="1"/>
    <b v="1"/>
    <x v="207"/>
    <n v="5"/>
  </r>
  <r>
    <x v="70"/>
    <x v="1"/>
    <b v="1"/>
    <x v="207"/>
    <n v="5"/>
  </r>
  <r>
    <x v="89"/>
    <x v="1"/>
    <b v="1"/>
    <x v="207"/>
    <n v="5"/>
  </r>
  <r>
    <x v="92"/>
    <x v="1"/>
    <b v="1"/>
    <x v="207"/>
    <n v="5"/>
  </r>
  <r>
    <x v="71"/>
    <x v="1"/>
    <b v="0"/>
    <x v="207"/>
    <n v="5"/>
  </r>
  <r>
    <x v="72"/>
    <x v="1"/>
    <b v="1"/>
    <x v="207"/>
    <n v="5"/>
  </r>
  <r>
    <x v="32"/>
    <x v="1"/>
    <b v="1"/>
    <x v="207"/>
    <n v="5"/>
  </r>
  <r>
    <x v="99"/>
    <x v="1"/>
    <b v="1"/>
    <x v="207"/>
    <n v="5"/>
  </r>
  <r>
    <x v="90"/>
    <x v="1"/>
    <b v="1"/>
    <x v="207"/>
    <n v="5"/>
  </r>
  <r>
    <x v="93"/>
    <x v="1"/>
    <b v="1"/>
    <x v="207"/>
    <n v="5"/>
  </r>
  <r>
    <x v="40"/>
    <x v="1"/>
    <b v="1"/>
    <x v="207"/>
    <n v="5"/>
  </r>
  <r>
    <x v="84"/>
    <x v="1"/>
    <b v="1"/>
    <x v="207"/>
    <n v="5"/>
  </r>
  <r>
    <x v="41"/>
    <x v="1"/>
    <b v="1"/>
    <x v="207"/>
    <n v="1E-3"/>
  </r>
  <r>
    <x v="87"/>
    <x v="1"/>
    <b v="1"/>
    <x v="207"/>
    <n v="5"/>
  </r>
  <r>
    <x v="73"/>
    <x v="1"/>
    <b v="1"/>
    <x v="207"/>
    <n v="5"/>
  </r>
  <r>
    <x v="97"/>
    <x v="1"/>
    <b v="1"/>
    <x v="207"/>
    <n v="5"/>
  </r>
  <r>
    <x v="44"/>
    <x v="1"/>
    <b v="1"/>
    <x v="207"/>
    <n v="5"/>
  </r>
  <r>
    <x v="94"/>
    <x v="1"/>
    <b v="1"/>
    <x v="207"/>
    <n v="5"/>
  </r>
  <r>
    <x v="96"/>
    <x v="1"/>
    <b v="1"/>
    <x v="207"/>
    <n v="5"/>
  </r>
  <r>
    <x v="86"/>
    <x v="1"/>
    <b v="1"/>
    <x v="207"/>
    <n v="5"/>
  </r>
  <r>
    <x v="75"/>
    <x v="1"/>
    <b v="1"/>
    <x v="207"/>
    <n v="5"/>
  </r>
  <r>
    <x v="80"/>
    <x v="1"/>
    <b v="1"/>
    <x v="207"/>
    <n v="5"/>
  </r>
  <r>
    <x v="85"/>
    <x v="1"/>
    <b v="1"/>
    <x v="207"/>
    <n v="5"/>
  </r>
  <r>
    <x v="15"/>
    <x v="2"/>
    <b v="1"/>
    <x v="207"/>
    <n v="27.900000000000002"/>
  </r>
  <r>
    <x v="0"/>
    <x v="0"/>
    <b v="1"/>
    <x v="208"/>
    <n v="-64.94"/>
  </r>
  <r>
    <x v="16"/>
    <x v="0"/>
    <b v="1"/>
    <x v="208"/>
    <n v="-16.34"/>
  </r>
  <r>
    <x v="1"/>
    <x v="0"/>
    <b v="1"/>
    <x v="208"/>
    <n v="-41.95"/>
  </r>
  <r>
    <x v="13"/>
    <x v="0"/>
    <b v="1"/>
    <x v="208"/>
    <n v="-4.49"/>
  </r>
  <r>
    <x v="20"/>
    <x v="0"/>
    <b v="1"/>
    <x v="208"/>
    <n v="-4.59"/>
  </r>
  <r>
    <x v="88"/>
    <x v="1"/>
    <b v="1"/>
    <x v="208"/>
    <n v="1E-3"/>
  </r>
  <r>
    <x v="12"/>
    <x v="1"/>
    <b v="1"/>
    <x v="208"/>
    <n v="5"/>
  </r>
  <r>
    <x v="91"/>
    <x v="1"/>
    <b v="1"/>
    <x v="208"/>
    <n v="5"/>
  </r>
  <r>
    <x v="95"/>
    <x v="1"/>
    <b v="1"/>
    <x v="208"/>
    <n v="5"/>
  </r>
  <r>
    <x v="70"/>
    <x v="1"/>
    <b v="1"/>
    <x v="208"/>
    <n v="5"/>
  </r>
  <r>
    <x v="89"/>
    <x v="1"/>
    <b v="1"/>
    <x v="208"/>
    <n v="5"/>
  </r>
  <r>
    <x v="92"/>
    <x v="1"/>
    <b v="1"/>
    <x v="208"/>
    <n v="5"/>
  </r>
  <r>
    <x v="71"/>
    <x v="1"/>
    <b v="0"/>
    <x v="208"/>
    <n v="5"/>
  </r>
  <r>
    <x v="72"/>
    <x v="1"/>
    <b v="1"/>
    <x v="208"/>
    <n v="5"/>
  </r>
  <r>
    <x v="32"/>
    <x v="1"/>
    <b v="1"/>
    <x v="208"/>
    <n v="5"/>
  </r>
  <r>
    <x v="100"/>
    <x v="1"/>
    <b v="1"/>
    <x v="208"/>
    <n v="1E-3"/>
  </r>
  <r>
    <x v="99"/>
    <x v="1"/>
    <b v="1"/>
    <x v="208"/>
    <n v="5"/>
  </r>
  <r>
    <x v="90"/>
    <x v="1"/>
    <b v="1"/>
    <x v="208"/>
    <n v="5"/>
  </r>
  <r>
    <x v="93"/>
    <x v="1"/>
    <b v="1"/>
    <x v="208"/>
    <n v="5"/>
  </r>
  <r>
    <x v="40"/>
    <x v="1"/>
    <b v="1"/>
    <x v="208"/>
    <n v="5"/>
  </r>
  <r>
    <x v="84"/>
    <x v="1"/>
    <b v="1"/>
    <x v="208"/>
    <n v="5"/>
  </r>
  <r>
    <x v="41"/>
    <x v="1"/>
    <b v="1"/>
    <x v="208"/>
    <n v="1E-3"/>
  </r>
  <r>
    <x v="87"/>
    <x v="1"/>
    <b v="1"/>
    <x v="208"/>
    <n v="5"/>
  </r>
  <r>
    <x v="73"/>
    <x v="1"/>
    <b v="1"/>
    <x v="208"/>
    <n v="5"/>
  </r>
  <r>
    <x v="97"/>
    <x v="1"/>
    <b v="1"/>
    <x v="208"/>
    <n v="5"/>
  </r>
  <r>
    <x v="44"/>
    <x v="1"/>
    <b v="1"/>
    <x v="208"/>
    <n v="5"/>
  </r>
  <r>
    <x v="94"/>
    <x v="1"/>
    <b v="1"/>
    <x v="208"/>
    <n v="5"/>
  </r>
  <r>
    <x v="96"/>
    <x v="1"/>
    <b v="1"/>
    <x v="208"/>
    <n v="5"/>
  </r>
  <r>
    <x v="86"/>
    <x v="1"/>
    <b v="1"/>
    <x v="208"/>
    <n v="5"/>
  </r>
  <r>
    <x v="75"/>
    <x v="1"/>
    <b v="1"/>
    <x v="208"/>
    <n v="5"/>
  </r>
  <r>
    <x v="75"/>
    <x v="1"/>
    <b v="1"/>
    <x v="208"/>
    <n v="5"/>
  </r>
  <r>
    <x v="80"/>
    <x v="1"/>
    <b v="1"/>
    <x v="208"/>
    <n v="5"/>
  </r>
  <r>
    <x v="85"/>
    <x v="1"/>
    <b v="1"/>
    <x v="208"/>
    <n v="5"/>
  </r>
  <r>
    <x v="15"/>
    <x v="2"/>
    <b v="1"/>
    <x v="208"/>
    <n v="23.57"/>
  </r>
  <r>
    <x v="0"/>
    <x v="0"/>
    <b v="1"/>
    <x v="209"/>
    <n v="-59.94"/>
  </r>
  <r>
    <x v="16"/>
    <x v="0"/>
    <b v="1"/>
    <x v="209"/>
    <n v="-5"/>
  </r>
  <r>
    <x v="1"/>
    <x v="0"/>
    <b v="1"/>
    <x v="209"/>
    <n v="-44.95"/>
  </r>
  <r>
    <x v="13"/>
    <x v="0"/>
    <b v="1"/>
    <x v="209"/>
    <n v="-8.98"/>
  </r>
  <r>
    <x v="20"/>
    <x v="0"/>
    <b v="1"/>
    <x v="209"/>
    <n v="-9.18"/>
  </r>
  <r>
    <x v="88"/>
    <x v="1"/>
    <b v="1"/>
    <x v="209"/>
    <n v="5"/>
  </r>
  <r>
    <x v="12"/>
    <x v="1"/>
    <b v="1"/>
    <x v="209"/>
    <n v="5"/>
  </r>
  <r>
    <x v="91"/>
    <x v="1"/>
    <b v="1"/>
    <x v="209"/>
    <n v="5"/>
  </r>
  <r>
    <x v="95"/>
    <x v="1"/>
    <b v="1"/>
    <x v="209"/>
    <n v="5"/>
  </r>
  <r>
    <x v="70"/>
    <x v="1"/>
    <b v="1"/>
    <x v="209"/>
    <n v="5"/>
  </r>
  <r>
    <x v="89"/>
    <x v="1"/>
    <b v="1"/>
    <x v="209"/>
    <n v="5"/>
  </r>
  <r>
    <x v="92"/>
    <x v="1"/>
    <b v="1"/>
    <x v="209"/>
    <n v="5"/>
  </r>
  <r>
    <x v="71"/>
    <x v="1"/>
    <b v="0"/>
    <x v="209"/>
    <n v="5"/>
  </r>
  <r>
    <x v="72"/>
    <x v="1"/>
    <b v="1"/>
    <x v="209"/>
    <n v="5"/>
  </r>
  <r>
    <x v="32"/>
    <x v="1"/>
    <b v="1"/>
    <x v="209"/>
    <n v="5"/>
  </r>
  <r>
    <x v="100"/>
    <x v="1"/>
    <b v="1"/>
    <x v="209"/>
    <n v="5"/>
  </r>
  <r>
    <x v="99"/>
    <x v="1"/>
    <b v="1"/>
    <x v="209"/>
    <n v="5"/>
  </r>
  <r>
    <x v="90"/>
    <x v="1"/>
    <b v="1"/>
    <x v="209"/>
    <n v="5"/>
  </r>
  <r>
    <x v="93"/>
    <x v="1"/>
    <b v="1"/>
    <x v="209"/>
    <n v="5"/>
  </r>
  <r>
    <x v="101"/>
    <x v="1"/>
    <b v="1"/>
    <x v="209"/>
    <n v="1E-3"/>
  </r>
  <r>
    <x v="40"/>
    <x v="1"/>
    <b v="1"/>
    <x v="209"/>
    <n v="5"/>
  </r>
  <r>
    <x v="84"/>
    <x v="1"/>
    <b v="1"/>
    <x v="209"/>
    <n v="5"/>
  </r>
  <r>
    <x v="41"/>
    <x v="1"/>
    <b v="1"/>
    <x v="209"/>
    <n v="1E-3"/>
  </r>
  <r>
    <x v="87"/>
    <x v="1"/>
    <b v="1"/>
    <x v="209"/>
    <n v="5"/>
  </r>
  <r>
    <x v="73"/>
    <x v="1"/>
    <b v="1"/>
    <x v="209"/>
    <n v="5"/>
  </r>
  <r>
    <x v="97"/>
    <x v="1"/>
    <b v="1"/>
    <x v="209"/>
    <n v="5"/>
  </r>
  <r>
    <x v="44"/>
    <x v="1"/>
    <b v="1"/>
    <x v="209"/>
    <n v="5"/>
  </r>
  <r>
    <x v="94"/>
    <x v="1"/>
    <b v="1"/>
    <x v="209"/>
    <n v="5"/>
  </r>
  <r>
    <x v="96"/>
    <x v="1"/>
    <b v="1"/>
    <x v="209"/>
    <n v="5"/>
  </r>
  <r>
    <x v="86"/>
    <x v="1"/>
    <b v="1"/>
    <x v="209"/>
    <n v="5"/>
  </r>
  <r>
    <x v="75"/>
    <x v="1"/>
    <b v="1"/>
    <x v="209"/>
    <n v="5"/>
  </r>
  <r>
    <x v="80"/>
    <x v="1"/>
    <b v="1"/>
    <x v="209"/>
    <n v="5"/>
  </r>
  <r>
    <x v="85"/>
    <x v="1"/>
    <b v="1"/>
    <x v="209"/>
    <n v="5"/>
  </r>
  <r>
    <x v="15"/>
    <x v="2"/>
    <b v="1"/>
    <x v="209"/>
    <n v="19.21"/>
  </r>
  <r>
    <x v="0"/>
    <x v="0"/>
    <b v="1"/>
    <x v="210"/>
    <n v="-59.94"/>
  </r>
  <r>
    <x v="16"/>
    <x v="0"/>
    <b v="1"/>
    <x v="210"/>
    <n v="-5"/>
  </r>
  <r>
    <x v="1"/>
    <x v="0"/>
    <b v="1"/>
    <x v="210"/>
    <n v="-50.930000000000007"/>
  </r>
  <r>
    <x v="13"/>
    <x v="0"/>
    <b v="1"/>
    <x v="210"/>
    <n v="-4.49"/>
  </r>
  <r>
    <x v="20"/>
    <x v="0"/>
    <b v="1"/>
    <x v="210"/>
    <n v="-37.459999999999994"/>
  </r>
  <r>
    <x v="88"/>
    <x v="1"/>
    <b v="1"/>
    <x v="210"/>
    <n v="5"/>
  </r>
  <r>
    <x v="12"/>
    <x v="1"/>
    <b v="1"/>
    <x v="210"/>
    <n v="5"/>
  </r>
  <r>
    <x v="91"/>
    <x v="1"/>
    <b v="1"/>
    <x v="210"/>
    <n v="5"/>
  </r>
  <r>
    <x v="95"/>
    <x v="1"/>
    <b v="1"/>
    <x v="210"/>
    <n v="5"/>
  </r>
  <r>
    <x v="70"/>
    <x v="1"/>
    <b v="1"/>
    <x v="210"/>
    <n v="5"/>
  </r>
  <r>
    <x v="89"/>
    <x v="1"/>
    <b v="1"/>
    <x v="210"/>
    <n v="5"/>
  </r>
  <r>
    <x v="92"/>
    <x v="1"/>
    <b v="1"/>
    <x v="210"/>
    <n v="5"/>
  </r>
  <r>
    <x v="72"/>
    <x v="1"/>
    <b v="1"/>
    <x v="210"/>
    <n v="5"/>
  </r>
  <r>
    <x v="32"/>
    <x v="1"/>
    <b v="1"/>
    <x v="210"/>
    <n v="5"/>
  </r>
  <r>
    <x v="100"/>
    <x v="1"/>
    <b v="1"/>
    <x v="210"/>
    <n v="5"/>
  </r>
  <r>
    <x v="99"/>
    <x v="1"/>
    <b v="1"/>
    <x v="210"/>
    <n v="5"/>
  </r>
  <r>
    <x v="90"/>
    <x v="1"/>
    <b v="1"/>
    <x v="210"/>
    <n v="5"/>
  </r>
  <r>
    <x v="93"/>
    <x v="1"/>
    <b v="1"/>
    <x v="210"/>
    <n v="5"/>
  </r>
  <r>
    <x v="101"/>
    <x v="1"/>
    <b v="1"/>
    <x v="210"/>
    <n v="4"/>
  </r>
  <r>
    <x v="40"/>
    <x v="1"/>
    <b v="1"/>
    <x v="210"/>
    <n v="5"/>
  </r>
  <r>
    <x v="40"/>
    <x v="1"/>
    <b v="0"/>
    <x v="210"/>
    <n v="5"/>
  </r>
  <r>
    <x v="40"/>
    <x v="1"/>
    <b v="0"/>
    <x v="210"/>
    <n v="5"/>
  </r>
  <r>
    <x v="84"/>
    <x v="1"/>
    <b v="1"/>
    <x v="210"/>
    <n v="5"/>
  </r>
  <r>
    <x v="41"/>
    <x v="1"/>
    <b v="1"/>
    <x v="210"/>
    <n v="1E-3"/>
  </r>
  <r>
    <x v="102"/>
    <x v="1"/>
    <b v="1"/>
    <x v="210"/>
    <n v="5"/>
  </r>
  <r>
    <x v="87"/>
    <x v="1"/>
    <b v="1"/>
    <x v="210"/>
    <n v="5"/>
  </r>
  <r>
    <x v="73"/>
    <x v="1"/>
    <b v="1"/>
    <x v="210"/>
    <n v="5"/>
  </r>
  <r>
    <x v="97"/>
    <x v="1"/>
    <b v="1"/>
    <x v="210"/>
    <n v="5"/>
  </r>
  <r>
    <x v="44"/>
    <x v="1"/>
    <b v="1"/>
    <x v="210"/>
    <n v="5"/>
  </r>
  <r>
    <x v="94"/>
    <x v="1"/>
    <b v="1"/>
    <x v="210"/>
    <n v="5"/>
  </r>
  <r>
    <x v="96"/>
    <x v="1"/>
    <b v="1"/>
    <x v="210"/>
    <n v="5"/>
  </r>
  <r>
    <x v="103"/>
    <x v="1"/>
    <b v="1"/>
    <x v="210"/>
    <n v="5"/>
  </r>
  <r>
    <x v="86"/>
    <x v="1"/>
    <b v="1"/>
    <x v="210"/>
    <n v="5"/>
  </r>
  <r>
    <x v="75"/>
    <x v="1"/>
    <b v="1"/>
    <x v="210"/>
    <n v="5"/>
  </r>
  <r>
    <x v="80"/>
    <x v="1"/>
    <b v="1"/>
    <x v="210"/>
    <n v="5"/>
  </r>
  <r>
    <x v="85"/>
    <x v="1"/>
    <b v="1"/>
    <x v="210"/>
    <n v="5"/>
  </r>
  <r>
    <x v="15"/>
    <x v="2"/>
    <b v="1"/>
    <x v="210"/>
    <n v="14.65"/>
  </r>
  <r>
    <x v="0"/>
    <x v="0"/>
    <b v="1"/>
    <x v="211"/>
    <n v="-34.96"/>
  </r>
  <r>
    <x v="16"/>
    <x v="0"/>
    <b v="1"/>
    <x v="211"/>
    <n v="-19"/>
  </r>
  <r>
    <x v="1"/>
    <x v="0"/>
    <b v="1"/>
    <x v="211"/>
    <n v="-47.14"/>
  </r>
  <r>
    <x v="13"/>
    <x v="0"/>
    <b v="1"/>
    <x v="211"/>
    <n v="-29.47"/>
  </r>
  <r>
    <x v="20"/>
    <x v="0"/>
    <b v="1"/>
    <x v="211"/>
    <n v="-5.98"/>
  </r>
  <r>
    <x v="88"/>
    <x v="1"/>
    <b v="1"/>
    <x v="211"/>
    <n v="5"/>
  </r>
  <r>
    <x v="12"/>
    <x v="1"/>
    <b v="1"/>
    <x v="211"/>
    <n v="5"/>
  </r>
  <r>
    <x v="91"/>
    <x v="1"/>
    <b v="1"/>
    <x v="211"/>
    <n v="5"/>
  </r>
  <r>
    <x v="95"/>
    <x v="1"/>
    <b v="1"/>
    <x v="211"/>
    <n v="5"/>
  </r>
  <r>
    <x v="70"/>
    <x v="1"/>
    <b v="1"/>
    <x v="211"/>
    <n v="5"/>
  </r>
  <r>
    <x v="89"/>
    <x v="1"/>
    <b v="1"/>
    <x v="211"/>
    <n v="5"/>
  </r>
  <r>
    <x v="92"/>
    <x v="1"/>
    <b v="1"/>
    <x v="211"/>
    <n v="5"/>
  </r>
  <r>
    <x v="72"/>
    <x v="1"/>
    <b v="1"/>
    <x v="211"/>
    <n v="5"/>
  </r>
  <r>
    <x v="32"/>
    <x v="1"/>
    <b v="1"/>
    <x v="211"/>
    <n v="5"/>
  </r>
  <r>
    <x v="100"/>
    <x v="1"/>
    <b v="1"/>
    <x v="211"/>
    <n v="5"/>
  </r>
  <r>
    <x v="99"/>
    <x v="1"/>
    <b v="1"/>
    <x v="211"/>
    <n v="15"/>
  </r>
  <r>
    <x v="90"/>
    <x v="1"/>
    <b v="1"/>
    <x v="211"/>
    <n v="5"/>
  </r>
  <r>
    <x v="93"/>
    <x v="1"/>
    <b v="1"/>
    <x v="211"/>
    <n v="5"/>
  </r>
  <r>
    <x v="101"/>
    <x v="1"/>
    <b v="1"/>
    <x v="211"/>
    <n v="5"/>
  </r>
  <r>
    <x v="84"/>
    <x v="1"/>
    <b v="1"/>
    <x v="211"/>
    <n v="5"/>
  </r>
  <r>
    <x v="41"/>
    <x v="1"/>
    <b v="1"/>
    <x v="211"/>
    <n v="1E-3"/>
  </r>
  <r>
    <x v="102"/>
    <x v="1"/>
    <b v="1"/>
    <x v="211"/>
    <n v="5"/>
  </r>
  <r>
    <x v="87"/>
    <x v="1"/>
    <b v="1"/>
    <x v="211"/>
    <n v="5"/>
  </r>
  <r>
    <x v="73"/>
    <x v="1"/>
    <b v="1"/>
    <x v="211"/>
    <n v="5"/>
  </r>
  <r>
    <x v="97"/>
    <x v="1"/>
    <b v="1"/>
    <x v="211"/>
    <n v="5"/>
  </r>
  <r>
    <x v="44"/>
    <x v="1"/>
    <b v="1"/>
    <x v="211"/>
    <n v="5"/>
  </r>
  <r>
    <x v="94"/>
    <x v="1"/>
    <b v="1"/>
    <x v="211"/>
    <n v="5"/>
  </r>
  <r>
    <x v="96"/>
    <x v="1"/>
    <b v="1"/>
    <x v="211"/>
    <n v="5"/>
  </r>
  <r>
    <x v="103"/>
    <x v="1"/>
    <b v="1"/>
    <x v="211"/>
    <n v="5"/>
  </r>
  <r>
    <x v="86"/>
    <x v="1"/>
    <b v="1"/>
    <x v="211"/>
    <n v="5"/>
  </r>
  <r>
    <x v="75"/>
    <x v="1"/>
    <b v="1"/>
    <x v="211"/>
    <n v="5"/>
  </r>
  <r>
    <x v="80"/>
    <x v="1"/>
    <b v="1"/>
    <x v="211"/>
    <n v="5"/>
  </r>
  <r>
    <x v="85"/>
    <x v="1"/>
    <b v="1"/>
    <x v="211"/>
    <n v="5"/>
  </r>
  <r>
    <x v="15"/>
    <x v="2"/>
    <b v="1"/>
    <x v="211"/>
    <n v="18.5"/>
  </r>
  <r>
    <x v="0"/>
    <x v="0"/>
    <b v="1"/>
    <x v="212"/>
    <n v="-34.96"/>
  </r>
  <r>
    <x v="16"/>
    <x v="0"/>
    <b v="1"/>
    <x v="212"/>
    <n v="-5"/>
  </r>
  <r>
    <x v="1"/>
    <x v="0"/>
    <b v="1"/>
    <x v="212"/>
    <n v="-30.369999999999997"/>
  </r>
  <r>
    <x v="13"/>
    <x v="0"/>
    <b v="1"/>
    <x v="212"/>
    <n v="-4.49"/>
  </r>
  <r>
    <x v="20"/>
    <x v="0"/>
    <b v="1"/>
    <x v="212"/>
    <n v="-11.96"/>
  </r>
  <r>
    <x v="88"/>
    <x v="1"/>
    <b v="1"/>
    <x v="212"/>
    <n v="5"/>
  </r>
  <r>
    <x v="12"/>
    <x v="1"/>
    <b v="1"/>
    <x v="212"/>
    <n v="5"/>
  </r>
  <r>
    <x v="91"/>
    <x v="1"/>
    <b v="1"/>
    <x v="212"/>
    <n v="5"/>
  </r>
  <r>
    <x v="95"/>
    <x v="1"/>
    <b v="1"/>
    <x v="212"/>
    <n v="5"/>
  </r>
  <r>
    <x v="70"/>
    <x v="1"/>
    <b v="1"/>
    <x v="212"/>
    <n v="5"/>
  </r>
  <r>
    <x v="89"/>
    <x v="1"/>
    <b v="1"/>
    <x v="212"/>
    <n v="5"/>
  </r>
  <r>
    <x v="92"/>
    <x v="1"/>
    <b v="1"/>
    <x v="212"/>
    <n v="5"/>
  </r>
  <r>
    <x v="72"/>
    <x v="1"/>
    <b v="1"/>
    <x v="212"/>
    <n v="5"/>
  </r>
  <r>
    <x v="32"/>
    <x v="1"/>
    <b v="1"/>
    <x v="212"/>
    <n v="5"/>
  </r>
  <r>
    <x v="100"/>
    <x v="1"/>
    <b v="1"/>
    <x v="212"/>
    <n v="5"/>
  </r>
  <r>
    <x v="104"/>
    <x v="1"/>
    <b v="1"/>
    <x v="212"/>
    <n v="5"/>
  </r>
  <r>
    <x v="90"/>
    <x v="1"/>
    <b v="1"/>
    <x v="212"/>
    <n v="5"/>
  </r>
  <r>
    <x v="93"/>
    <x v="1"/>
    <b v="1"/>
    <x v="212"/>
    <n v="5"/>
  </r>
  <r>
    <x v="101"/>
    <x v="1"/>
    <b v="1"/>
    <x v="212"/>
    <n v="5"/>
  </r>
  <r>
    <x v="84"/>
    <x v="1"/>
    <b v="1"/>
    <x v="212"/>
    <n v="5"/>
  </r>
  <r>
    <x v="41"/>
    <x v="1"/>
    <b v="1"/>
    <x v="212"/>
    <n v="1E-3"/>
  </r>
  <r>
    <x v="102"/>
    <x v="1"/>
    <b v="1"/>
    <x v="212"/>
    <n v="5"/>
  </r>
  <r>
    <x v="87"/>
    <x v="1"/>
    <b v="1"/>
    <x v="212"/>
    <n v="5"/>
  </r>
  <r>
    <x v="73"/>
    <x v="1"/>
    <b v="1"/>
    <x v="212"/>
    <n v="5"/>
  </r>
  <r>
    <x v="97"/>
    <x v="1"/>
    <b v="1"/>
    <x v="212"/>
    <n v="5"/>
  </r>
  <r>
    <x v="44"/>
    <x v="1"/>
    <b v="1"/>
    <x v="212"/>
    <n v="5"/>
  </r>
  <r>
    <x v="94"/>
    <x v="1"/>
    <b v="1"/>
    <x v="212"/>
    <n v="5"/>
  </r>
  <r>
    <x v="96"/>
    <x v="1"/>
    <b v="1"/>
    <x v="212"/>
    <n v="5"/>
  </r>
  <r>
    <x v="103"/>
    <x v="1"/>
    <b v="1"/>
    <x v="212"/>
    <n v="5"/>
  </r>
  <r>
    <x v="86"/>
    <x v="1"/>
    <b v="1"/>
    <x v="212"/>
    <n v="5"/>
  </r>
  <r>
    <x v="75"/>
    <x v="1"/>
    <b v="1"/>
    <x v="212"/>
    <n v="5"/>
  </r>
  <r>
    <x v="80"/>
    <x v="1"/>
    <b v="1"/>
    <x v="212"/>
    <n v="5"/>
  </r>
  <r>
    <x v="85"/>
    <x v="1"/>
    <b v="1"/>
    <x v="212"/>
    <n v="5"/>
  </r>
  <r>
    <x v="15"/>
    <x v="2"/>
    <b v="1"/>
    <x v="212"/>
    <n v="14.26"/>
  </r>
  <r>
    <x v="0"/>
    <x v="0"/>
    <b v="1"/>
    <x v="213"/>
    <n v="-79.760000000000005"/>
  </r>
  <r>
    <x v="16"/>
    <x v="0"/>
    <b v="1"/>
    <x v="213"/>
    <n v="-21.97"/>
  </r>
  <r>
    <x v="1"/>
    <x v="0"/>
    <b v="1"/>
    <x v="213"/>
    <n v="-66.460000000000008"/>
  </r>
  <r>
    <x v="13"/>
    <x v="0"/>
    <b v="1"/>
    <x v="213"/>
    <n v="-2.99"/>
  </r>
  <r>
    <x v="20"/>
    <x v="0"/>
    <b v="1"/>
    <x v="213"/>
    <n v="-16.47"/>
  </r>
  <r>
    <x v="88"/>
    <x v="1"/>
    <b v="1"/>
    <x v="213"/>
    <n v="5"/>
  </r>
  <r>
    <x v="12"/>
    <x v="1"/>
    <b v="1"/>
    <x v="213"/>
    <n v="5"/>
  </r>
  <r>
    <x v="91"/>
    <x v="1"/>
    <b v="1"/>
    <x v="213"/>
    <n v="5"/>
  </r>
  <r>
    <x v="95"/>
    <x v="1"/>
    <b v="1"/>
    <x v="213"/>
    <n v="5"/>
  </r>
  <r>
    <x v="70"/>
    <x v="1"/>
    <b v="1"/>
    <x v="213"/>
    <n v="5"/>
  </r>
  <r>
    <x v="89"/>
    <x v="1"/>
    <b v="1"/>
    <x v="213"/>
    <n v="5"/>
  </r>
  <r>
    <x v="92"/>
    <x v="1"/>
    <b v="1"/>
    <x v="213"/>
    <n v="5"/>
  </r>
  <r>
    <x v="105"/>
    <x v="1"/>
    <b v="1"/>
    <x v="213"/>
    <n v="2.5"/>
  </r>
  <r>
    <x v="72"/>
    <x v="1"/>
    <b v="1"/>
    <x v="213"/>
    <n v="5"/>
  </r>
  <r>
    <x v="32"/>
    <x v="1"/>
    <b v="1"/>
    <x v="213"/>
    <n v="5"/>
  </r>
  <r>
    <x v="100"/>
    <x v="1"/>
    <b v="1"/>
    <x v="213"/>
    <n v="5"/>
  </r>
  <r>
    <x v="104"/>
    <x v="1"/>
    <b v="1"/>
    <x v="213"/>
    <n v="5"/>
  </r>
  <r>
    <x v="90"/>
    <x v="1"/>
    <b v="1"/>
    <x v="213"/>
    <n v="5"/>
  </r>
  <r>
    <x v="93"/>
    <x v="1"/>
    <b v="1"/>
    <x v="213"/>
    <n v="5"/>
  </r>
  <r>
    <x v="101"/>
    <x v="1"/>
    <b v="1"/>
    <x v="213"/>
    <n v="5"/>
  </r>
  <r>
    <x v="84"/>
    <x v="1"/>
    <b v="1"/>
    <x v="213"/>
    <n v="5"/>
  </r>
  <r>
    <x v="41"/>
    <x v="1"/>
    <b v="1"/>
    <x v="213"/>
    <n v="1E-3"/>
  </r>
  <r>
    <x v="102"/>
    <x v="1"/>
    <b v="1"/>
    <x v="213"/>
    <n v="5"/>
  </r>
  <r>
    <x v="87"/>
    <x v="1"/>
    <b v="1"/>
    <x v="213"/>
    <n v="5"/>
  </r>
  <r>
    <x v="73"/>
    <x v="1"/>
    <b v="1"/>
    <x v="213"/>
    <n v="5"/>
  </r>
  <r>
    <x v="97"/>
    <x v="1"/>
    <b v="1"/>
    <x v="213"/>
    <n v="5"/>
  </r>
  <r>
    <x v="44"/>
    <x v="1"/>
    <b v="1"/>
    <x v="213"/>
    <n v="5"/>
  </r>
  <r>
    <x v="94"/>
    <x v="1"/>
    <b v="1"/>
    <x v="213"/>
    <n v="5"/>
  </r>
  <r>
    <x v="96"/>
    <x v="1"/>
    <b v="1"/>
    <x v="213"/>
    <n v="5"/>
  </r>
  <r>
    <x v="103"/>
    <x v="1"/>
    <b v="1"/>
    <x v="213"/>
    <n v="5"/>
  </r>
  <r>
    <x v="86"/>
    <x v="1"/>
    <b v="1"/>
    <x v="213"/>
    <n v="5"/>
  </r>
  <r>
    <x v="75"/>
    <x v="1"/>
    <b v="1"/>
    <x v="213"/>
    <n v="5"/>
  </r>
  <r>
    <x v="80"/>
    <x v="1"/>
    <b v="1"/>
    <x v="213"/>
    <n v="5"/>
  </r>
  <r>
    <x v="85"/>
    <x v="1"/>
    <b v="1"/>
    <x v="213"/>
    <n v="5"/>
  </r>
  <r>
    <x v="15"/>
    <x v="2"/>
    <b v="1"/>
    <x v="213"/>
    <n v="20.900000000000002"/>
  </r>
  <r>
    <x v="0"/>
    <x v="0"/>
    <b v="1"/>
    <x v="214"/>
    <n v="-78.319999999999993"/>
  </r>
  <r>
    <x v="16"/>
    <x v="0"/>
    <b v="1"/>
    <x v="214"/>
    <n v="-13.99"/>
  </r>
  <r>
    <x v="1"/>
    <x v="0"/>
    <b v="1"/>
    <x v="214"/>
    <n v="-69.789999999999992"/>
  </r>
  <r>
    <x v="13"/>
    <x v="0"/>
    <b v="1"/>
    <x v="214"/>
    <n v="-3.98"/>
  </r>
  <r>
    <x v="20"/>
    <x v="0"/>
    <b v="1"/>
    <x v="214"/>
    <n v="-2.99"/>
  </r>
  <r>
    <x v="88"/>
    <x v="1"/>
    <b v="1"/>
    <x v="214"/>
    <n v="5"/>
  </r>
  <r>
    <x v="12"/>
    <x v="1"/>
    <b v="1"/>
    <x v="214"/>
    <n v="5"/>
  </r>
  <r>
    <x v="91"/>
    <x v="1"/>
    <b v="1"/>
    <x v="214"/>
    <n v="5"/>
  </r>
  <r>
    <x v="95"/>
    <x v="1"/>
    <b v="1"/>
    <x v="214"/>
    <n v="5"/>
  </r>
  <r>
    <x v="70"/>
    <x v="1"/>
    <b v="1"/>
    <x v="214"/>
    <n v="5"/>
  </r>
  <r>
    <x v="89"/>
    <x v="1"/>
    <b v="1"/>
    <x v="214"/>
    <n v="5"/>
  </r>
  <r>
    <x v="92"/>
    <x v="1"/>
    <b v="1"/>
    <x v="214"/>
    <n v="5"/>
  </r>
  <r>
    <x v="105"/>
    <x v="1"/>
    <b v="1"/>
    <x v="214"/>
    <n v="5"/>
  </r>
  <r>
    <x v="106"/>
    <x v="1"/>
    <b v="1"/>
    <x v="214"/>
    <n v="5"/>
  </r>
  <r>
    <x v="72"/>
    <x v="1"/>
    <b v="1"/>
    <x v="214"/>
    <n v="5"/>
  </r>
  <r>
    <x v="32"/>
    <x v="1"/>
    <b v="1"/>
    <x v="214"/>
    <n v="5"/>
  </r>
  <r>
    <x v="100"/>
    <x v="1"/>
    <b v="1"/>
    <x v="214"/>
    <n v="5"/>
  </r>
  <r>
    <x v="104"/>
    <x v="1"/>
    <b v="1"/>
    <x v="214"/>
    <n v="5"/>
  </r>
  <r>
    <x v="90"/>
    <x v="1"/>
    <b v="1"/>
    <x v="214"/>
    <n v="5"/>
  </r>
  <r>
    <x v="93"/>
    <x v="1"/>
    <b v="1"/>
    <x v="214"/>
    <n v="5"/>
  </r>
  <r>
    <x v="101"/>
    <x v="1"/>
    <b v="1"/>
    <x v="214"/>
    <n v="5"/>
  </r>
  <r>
    <x v="84"/>
    <x v="1"/>
    <b v="1"/>
    <x v="214"/>
    <n v="5"/>
  </r>
  <r>
    <x v="41"/>
    <x v="1"/>
    <b v="1"/>
    <x v="214"/>
    <n v="1E-3"/>
  </r>
  <r>
    <x v="102"/>
    <x v="1"/>
    <b v="1"/>
    <x v="214"/>
    <n v="5"/>
  </r>
  <r>
    <x v="87"/>
    <x v="1"/>
    <b v="1"/>
    <x v="214"/>
    <n v="5"/>
  </r>
  <r>
    <x v="73"/>
    <x v="1"/>
    <b v="1"/>
    <x v="214"/>
    <n v="5"/>
  </r>
  <r>
    <x v="97"/>
    <x v="1"/>
    <b v="1"/>
    <x v="214"/>
    <n v="5"/>
  </r>
  <r>
    <x v="44"/>
    <x v="1"/>
    <b v="1"/>
    <x v="214"/>
    <n v="5"/>
  </r>
  <r>
    <x v="94"/>
    <x v="1"/>
    <b v="1"/>
    <x v="214"/>
    <n v="5"/>
  </r>
  <r>
    <x v="96"/>
    <x v="1"/>
    <b v="1"/>
    <x v="214"/>
    <n v="5"/>
  </r>
  <r>
    <x v="103"/>
    <x v="1"/>
    <b v="1"/>
    <x v="214"/>
    <n v="5"/>
  </r>
  <r>
    <x v="86"/>
    <x v="1"/>
    <b v="1"/>
    <x v="214"/>
    <n v="5"/>
  </r>
  <r>
    <x v="75"/>
    <x v="1"/>
    <b v="1"/>
    <x v="214"/>
    <n v="5"/>
  </r>
  <r>
    <x v="80"/>
    <x v="1"/>
    <b v="1"/>
    <x v="214"/>
    <n v="5"/>
  </r>
  <r>
    <x v="85"/>
    <x v="1"/>
    <b v="1"/>
    <x v="214"/>
    <n v="5"/>
  </r>
  <r>
    <x v="15"/>
    <x v="2"/>
    <b v="1"/>
    <x v="214"/>
    <n v="18.52"/>
  </r>
  <r>
    <x v="98"/>
    <x v="3"/>
    <b v="0"/>
    <x v="214"/>
    <n v="-145"/>
  </r>
  <r>
    <x v="0"/>
    <x v="0"/>
    <b v="1"/>
    <x v="215"/>
    <n v="-19.96"/>
  </r>
  <r>
    <x v="16"/>
    <x v="0"/>
    <b v="1"/>
    <x v="215"/>
    <n v="-5"/>
  </r>
  <r>
    <x v="1"/>
    <x v="0"/>
    <b v="1"/>
    <x v="215"/>
    <n v="-47.129999999999995"/>
  </r>
  <r>
    <x v="88"/>
    <x v="1"/>
    <b v="1"/>
    <x v="215"/>
    <n v="5"/>
  </r>
  <r>
    <x v="12"/>
    <x v="1"/>
    <b v="1"/>
    <x v="215"/>
    <n v="5"/>
  </r>
  <r>
    <x v="91"/>
    <x v="1"/>
    <b v="1"/>
    <x v="215"/>
    <n v="5"/>
  </r>
  <r>
    <x v="95"/>
    <x v="1"/>
    <b v="1"/>
    <x v="215"/>
    <n v="5"/>
  </r>
  <r>
    <x v="70"/>
    <x v="1"/>
    <b v="1"/>
    <x v="215"/>
    <n v="5"/>
  </r>
  <r>
    <x v="89"/>
    <x v="1"/>
    <b v="1"/>
    <x v="215"/>
    <n v="5"/>
  </r>
  <r>
    <x v="92"/>
    <x v="1"/>
    <b v="1"/>
    <x v="215"/>
    <n v="5"/>
  </r>
  <r>
    <x v="105"/>
    <x v="1"/>
    <b v="1"/>
    <x v="215"/>
    <n v="5"/>
  </r>
  <r>
    <x v="106"/>
    <x v="1"/>
    <b v="1"/>
    <x v="215"/>
    <n v="5"/>
  </r>
  <r>
    <x v="72"/>
    <x v="1"/>
    <b v="1"/>
    <x v="215"/>
    <n v="5"/>
  </r>
  <r>
    <x v="32"/>
    <x v="1"/>
    <b v="1"/>
    <x v="215"/>
    <n v="5"/>
  </r>
  <r>
    <x v="100"/>
    <x v="1"/>
    <b v="1"/>
    <x v="215"/>
    <n v="5"/>
  </r>
  <r>
    <x v="104"/>
    <x v="1"/>
    <b v="1"/>
    <x v="215"/>
    <n v="5"/>
  </r>
  <r>
    <x v="90"/>
    <x v="1"/>
    <b v="1"/>
    <x v="215"/>
    <n v="5"/>
  </r>
  <r>
    <x v="93"/>
    <x v="1"/>
    <b v="1"/>
    <x v="215"/>
    <n v="5"/>
  </r>
  <r>
    <x v="101"/>
    <x v="1"/>
    <b v="1"/>
    <x v="215"/>
    <n v="5"/>
  </r>
  <r>
    <x v="84"/>
    <x v="1"/>
    <b v="1"/>
    <x v="215"/>
    <n v="5"/>
  </r>
  <r>
    <x v="41"/>
    <x v="1"/>
    <b v="1"/>
    <x v="215"/>
    <n v="1E-3"/>
  </r>
  <r>
    <x v="102"/>
    <x v="1"/>
    <b v="1"/>
    <x v="215"/>
    <n v="5"/>
  </r>
  <r>
    <x v="87"/>
    <x v="1"/>
    <b v="1"/>
    <x v="215"/>
    <n v="5"/>
  </r>
  <r>
    <x v="73"/>
    <x v="1"/>
    <b v="1"/>
    <x v="215"/>
    <n v="5"/>
  </r>
  <r>
    <x v="97"/>
    <x v="1"/>
    <b v="1"/>
    <x v="215"/>
    <n v="5"/>
  </r>
  <r>
    <x v="44"/>
    <x v="1"/>
    <b v="1"/>
    <x v="215"/>
    <n v="5"/>
  </r>
  <r>
    <x v="94"/>
    <x v="1"/>
    <b v="1"/>
    <x v="215"/>
    <n v="5"/>
  </r>
  <r>
    <x v="96"/>
    <x v="1"/>
    <b v="1"/>
    <x v="215"/>
    <n v="5"/>
  </r>
  <r>
    <x v="103"/>
    <x v="1"/>
    <b v="1"/>
    <x v="215"/>
    <n v="5"/>
  </r>
  <r>
    <x v="86"/>
    <x v="1"/>
    <b v="1"/>
    <x v="215"/>
    <n v="5"/>
  </r>
  <r>
    <x v="75"/>
    <x v="1"/>
    <b v="1"/>
    <x v="215"/>
    <n v="5"/>
  </r>
  <r>
    <x v="80"/>
    <x v="1"/>
    <b v="1"/>
    <x v="215"/>
    <n v="5"/>
  </r>
  <r>
    <x v="85"/>
    <x v="1"/>
    <b v="1"/>
    <x v="215"/>
    <n v="5"/>
  </r>
  <r>
    <x v="15"/>
    <x v="2"/>
    <b v="1"/>
    <x v="215"/>
    <n v="11.91"/>
  </r>
  <r>
    <x v="0"/>
    <x v="0"/>
    <b v="1"/>
    <x v="216"/>
    <n v="-78.319999999999993"/>
  </r>
  <r>
    <x v="16"/>
    <x v="0"/>
    <b v="1"/>
    <x v="216"/>
    <n v="-5"/>
  </r>
  <r>
    <x v="1"/>
    <x v="0"/>
    <b v="1"/>
    <x v="216"/>
    <n v="-27.14"/>
  </r>
  <r>
    <x v="13"/>
    <x v="0"/>
    <b v="1"/>
    <x v="216"/>
    <n v="-3.98"/>
  </r>
  <r>
    <x v="20"/>
    <x v="0"/>
    <b v="1"/>
    <x v="216"/>
    <n v="-12.29"/>
  </r>
  <r>
    <x v="88"/>
    <x v="1"/>
    <b v="0"/>
    <x v="216"/>
    <n v="5"/>
  </r>
  <r>
    <x v="12"/>
    <x v="1"/>
    <b v="1"/>
    <x v="216"/>
    <n v="5"/>
  </r>
  <r>
    <x v="91"/>
    <x v="1"/>
    <b v="1"/>
    <x v="216"/>
    <n v="5"/>
  </r>
  <r>
    <x v="95"/>
    <x v="1"/>
    <b v="1"/>
    <x v="216"/>
    <n v="5"/>
  </r>
  <r>
    <x v="70"/>
    <x v="1"/>
    <b v="1"/>
    <x v="216"/>
    <n v="5"/>
  </r>
  <r>
    <x v="89"/>
    <x v="1"/>
    <b v="1"/>
    <x v="216"/>
    <n v="5"/>
  </r>
  <r>
    <x v="92"/>
    <x v="1"/>
    <b v="1"/>
    <x v="216"/>
    <n v="5"/>
  </r>
  <r>
    <x v="105"/>
    <x v="1"/>
    <b v="0"/>
    <x v="216"/>
    <n v="5"/>
  </r>
  <r>
    <x v="106"/>
    <x v="1"/>
    <b v="1"/>
    <x v="216"/>
    <n v="5"/>
  </r>
  <r>
    <x v="72"/>
    <x v="1"/>
    <b v="1"/>
    <x v="216"/>
    <n v="5"/>
  </r>
  <r>
    <x v="32"/>
    <x v="1"/>
    <b v="1"/>
    <x v="216"/>
    <n v="5"/>
  </r>
  <r>
    <x v="100"/>
    <x v="1"/>
    <b v="1"/>
    <x v="216"/>
    <n v="5"/>
  </r>
  <r>
    <x v="104"/>
    <x v="1"/>
    <b v="1"/>
    <x v="216"/>
    <n v="5"/>
  </r>
  <r>
    <x v="90"/>
    <x v="1"/>
    <b v="1"/>
    <x v="216"/>
    <n v="5"/>
  </r>
  <r>
    <x v="93"/>
    <x v="1"/>
    <b v="1"/>
    <x v="216"/>
    <n v="5"/>
  </r>
  <r>
    <x v="101"/>
    <x v="1"/>
    <b v="1"/>
    <x v="216"/>
    <n v="5"/>
  </r>
  <r>
    <x v="84"/>
    <x v="1"/>
    <b v="1"/>
    <x v="216"/>
    <n v="5"/>
  </r>
  <r>
    <x v="41"/>
    <x v="1"/>
    <b v="1"/>
    <x v="216"/>
    <n v="1E-3"/>
  </r>
  <r>
    <x v="102"/>
    <x v="1"/>
    <b v="1"/>
    <x v="216"/>
    <n v="5"/>
  </r>
  <r>
    <x v="87"/>
    <x v="1"/>
    <b v="1"/>
    <x v="216"/>
    <n v="5"/>
  </r>
  <r>
    <x v="73"/>
    <x v="1"/>
    <b v="1"/>
    <x v="216"/>
    <n v="5"/>
  </r>
  <r>
    <x v="97"/>
    <x v="1"/>
    <b v="1"/>
    <x v="216"/>
    <n v="1.0000000000000001E-5"/>
  </r>
  <r>
    <x v="44"/>
    <x v="1"/>
    <b v="1"/>
    <x v="216"/>
    <n v="5"/>
  </r>
  <r>
    <x v="94"/>
    <x v="1"/>
    <b v="1"/>
    <x v="216"/>
    <n v="5"/>
  </r>
  <r>
    <x v="96"/>
    <x v="1"/>
    <b v="1"/>
    <x v="216"/>
    <n v="5"/>
  </r>
  <r>
    <x v="103"/>
    <x v="1"/>
    <b v="1"/>
    <x v="216"/>
    <n v="5"/>
  </r>
  <r>
    <x v="86"/>
    <x v="1"/>
    <b v="0"/>
    <x v="216"/>
    <n v="5"/>
  </r>
  <r>
    <x v="75"/>
    <x v="1"/>
    <b v="1"/>
    <x v="216"/>
    <n v="5"/>
  </r>
  <r>
    <x v="80"/>
    <x v="1"/>
    <b v="1"/>
    <x v="216"/>
    <n v="5"/>
  </r>
  <r>
    <x v="85"/>
    <x v="1"/>
    <b v="1"/>
    <x v="216"/>
    <n v="5"/>
  </r>
  <r>
    <x v="15"/>
    <x v="2"/>
    <b v="1"/>
    <x v="216"/>
    <n v="13.110000000000001"/>
  </r>
  <r>
    <x v="0"/>
    <x v="0"/>
    <b v="1"/>
    <x v="217"/>
    <n v="-78.319999999999993"/>
  </r>
  <r>
    <x v="16"/>
    <x v="0"/>
    <b v="1"/>
    <x v="217"/>
    <n v="-13.98"/>
  </r>
  <r>
    <x v="1"/>
    <x v="0"/>
    <b v="1"/>
    <x v="217"/>
    <n v="-66.760000000000005"/>
  </r>
  <r>
    <x v="13"/>
    <x v="0"/>
    <b v="1"/>
    <x v="217"/>
    <n v="-28.490000000000002"/>
  </r>
  <r>
    <x v="20"/>
    <x v="0"/>
    <b v="1"/>
    <x v="217"/>
    <n v="-2.69"/>
  </r>
  <r>
    <x v="88"/>
    <x v="1"/>
    <b v="0"/>
    <x v="217"/>
    <n v="5"/>
  </r>
  <r>
    <x v="12"/>
    <x v="1"/>
    <b v="1"/>
    <x v="217"/>
    <n v="5"/>
  </r>
  <r>
    <x v="91"/>
    <x v="1"/>
    <b v="1"/>
    <x v="217"/>
    <n v="5"/>
  </r>
  <r>
    <x v="95"/>
    <x v="1"/>
    <b v="1"/>
    <x v="217"/>
    <n v="5"/>
  </r>
  <r>
    <x v="70"/>
    <x v="1"/>
    <b v="1"/>
    <x v="217"/>
    <n v="5"/>
  </r>
  <r>
    <x v="89"/>
    <x v="1"/>
    <b v="1"/>
    <x v="217"/>
    <n v="5"/>
  </r>
  <r>
    <x v="92"/>
    <x v="1"/>
    <b v="1"/>
    <x v="217"/>
    <n v="5"/>
  </r>
  <r>
    <x v="105"/>
    <x v="1"/>
    <b v="0"/>
    <x v="217"/>
    <n v="5"/>
  </r>
  <r>
    <x v="106"/>
    <x v="1"/>
    <b v="1"/>
    <x v="217"/>
    <n v="5"/>
  </r>
  <r>
    <x v="72"/>
    <x v="1"/>
    <b v="1"/>
    <x v="217"/>
    <n v="5"/>
  </r>
  <r>
    <x v="32"/>
    <x v="1"/>
    <b v="1"/>
    <x v="217"/>
    <n v="5"/>
  </r>
  <r>
    <x v="100"/>
    <x v="1"/>
    <b v="1"/>
    <x v="217"/>
    <n v="5"/>
  </r>
  <r>
    <x v="104"/>
    <x v="1"/>
    <b v="1"/>
    <x v="217"/>
    <n v="5"/>
  </r>
  <r>
    <x v="90"/>
    <x v="1"/>
    <b v="1"/>
    <x v="217"/>
    <n v="5"/>
  </r>
  <r>
    <x v="93"/>
    <x v="1"/>
    <b v="1"/>
    <x v="217"/>
    <n v="5"/>
  </r>
  <r>
    <x v="101"/>
    <x v="1"/>
    <b v="1"/>
    <x v="217"/>
    <n v="5"/>
  </r>
  <r>
    <x v="84"/>
    <x v="1"/>
    <b v="1"/>
    <x v="217"/>
    <n v="5"/>
  </r>
  <r>
    <x v="41"/>
    <x v="1"/>
    <b v="1"/>
    <x v="217"/>
    <n v="1E-3"/>
  </r>
  <r>
    <x v="102"/>
    <x v="1"/>
    <b v="1"/>
    <x v="217"/>
    <n v="5"/>
  </r>
  <r>
    <x v="87"/>
    <x v="1"/>
    <b v="1"/>
    <x v="217"/>
    <n v="5"/>
  </r>
  <r>
    <x v="73"/>
    <x v="1"/>
    <b v="1"/>
    <x v="217"/>
    <n v="5"/>
  </r>
  <r>
    <x v="97"/>
    <x v="1"/>
    <b v="0"/>
    <x v="217"/>
    <n v="5"/>
  </r>
  <r>
    <x v="44"/>
    <x v="1"/>
    <b v="0"/>
    <x v="217"/>
    <n v="5"/>
  </r>
  <r>
    <x v="94"/>
    <x v="1"/>
    <b v="1"/>
    <x v="217"/>
    <n v="5"/>
  </r>
  <r>
    <x v="96"/>
    <x v="1"/>
    <b v="1"/>
    <x v="217"/>
    <n v="5"/>
  </r>
  <r>
    <x v="103"/>
    <x v="1"/>
    <b v="1"/>
    <x v="217"/>
    <n v="5"/>
  </r>
  <r>
    <x v="86"/>
    <x v="1"/>
    <b v="0"/>
    <x v="217"/>
    <n v="5"/>
  </r>
  <r>
    <x v="75"/>
    <x v="1"/>
    <b v="1"/>
    <x v="217"/>
    <n v="5"/>
  </r>
  <r>
    <x v="80"/>
    <x v="1"/>
    <b v="1"/>
    <x v="217"/>
    <n v="5"/>
  </r>
  <r>
    <x v="85"/>
    <x v="1"/>
    <b v="1"/>
    <x v="217"/>
    <n v="5"/>
  </r>
  <r>
    <x v="15"/>
    <x v="2"/>
    <b v="1"/>
    <x v="217"/>
    <n v="14.350000000000001"/>
  </r>
  <r>
    <x v="0"/>
    <x v="0"/>
    <b v="1"/>
    <x v="218"/>
    <n v="-74.319999999999993"/>
  </r>
  <r>
    <x v="16"/>
    <x v="0"/>
    <b v="1"/>
    <x v="218"/>
    <n v="-10"/>
  </r>
  <r>
    <x v="1"/>
    <x v="0"/>
    <b v="1"/>
    <x v="218"/>
    <n v="-61.22"/>
  </r>
  <r>
    <x v="13"/>
    <x v="0"/>
    <b v="1"/>
    <x v="218"/>
    <n v="-5.98"/>
  </r>
  <r>
    <x v="20"/>
    <x v="0"/>
    <b v="1"/>
    <x v="218"/>
    <n v="-4.6900000000000004"/>
  </r>
  <r>
    <x v="88"/>
    <x v="1"/>
    <b v="0"/>
    <x v="218"/>
    <n v="5"/>
  </r>
  <r>
    <x v="12"/>
    <x v="1"/>
    <b v="1"/>
    <x v="218"/>
    <n v="5"/>
  </r>
  <r>
    <x v="91"/>
    <x v="1"/>
    <b v="1"/>
    <x v="218"/>
    <n v="5"/>
  </r>
  <r>
    <x v="95"/>
    <x v="1"/>
    <b v="1"/>
    <x v="218"/>
    <n v="5"/>
  </r>
  <r>
    <x v="70"/>
    <x v="1"/>
    <b v="1"/>
    <x v="218"/>
    <n v="5"/>
  </r>
  <r>
    <x v="89"/>
    <x v="1"/>
    <b v="1"/>
    <x v="218"/>
    <n v="5"/>
  </r>
  <r>
    <x v="92"/>
    <x v="1"/>
    <b v="1"/>
    <x v="218"/>
    <n v="5"/>
  </r>
  <r>
    <x v="105"/>
    <x v="1"/>
    <b v="0"/>
    <x v="218"/>
    <n v="5"/>
  </r>
  <r>
    <x v="106"/>
    <x v="1"/>
    <b v="1"/>
    <x v="218"/>
    <n v="5"/>
  </r>
  <r>
    <x v="72"/>
    <x v="1"/>
    <b v="1"/>
    <x v="218"/>
    <n v="5"/>
  </r>
  <r>
    <x v="32"/>
    <x v="1"/>
    <b v="1"/>
    <x v="218"/>
    <n v="5"/>
  </r>
  <r>
    <x v="100"/>
    <x v="1"/>
    <b v="1"/>
    <x v="218"/>
    <n v="5"/>
  </r>
  <r>
    <x v="104"/>
    <x v="1"/>
    <b v="1"/>
    <x v="218"/>
    <n v="5"/>
  </r>
  <r>
    <x v="90"/>
    <x v="1"/>
    <b v="1"/>
    <x v="218"/>
    <n v="5"/>
  </r>
  <r>
    <x v="93"/>
    <x v="1"/>
    <b v="1"/>
    <x v="218"/>
    <n v="5"/>
  </r>
  <r>
    <x v="101"/>
    <x v="1"/>
    <b v="1"/>
    <x v="218"/>
    <n v="5"/>
  </r>
  <r>
    <x v="84"/>
    <x v="1"/>
    <b v="1"/>
    <x v="218"/>
    <n v="5"/>
  </r>
  <r>
    <x v="41"/>
    <x v="1"/>
    <b v="1"/>
    <x v="218"/>
    <n v="1E-3"/>
  </r>
  <r>
    <x v="102"/>
    <x v="1"/>
    <b v="1"/>
    <x v="218"/>
    <n v="5"/>
  </r>
  <r>
    <x v="87"/>
    <x v="1"/>
    <b v="1"/>
    <x v="218"/>
    <n v="5"/>
  </r>
  <r>
    <x v="73"/>
    <x v="1"/>
    <b v="1"/>
    <x v="218"/>
    <n v="5"/>
  </r>
  <r>
    <x v="97"/>
    <x v="1"/>
    <b v="0"/>
    <x v="218"/>
    <n v="5"/>
  </r>
  <r>
    <x v="44"/>
    <x v="1"/>
    <b v="0"/>
    <x v="218"/>
    <n v="5"/>
  </r>
  <r>
    <x v="94"/>
    <x v="1"/>
    <b v="1"/>
    <x v="218"/>
    <n v="5"/>
  </r>
  <r>
    <x v="96"/>
    <x v="1"/>
    <b v="1"/>
    <x v="218"/>
    <n v="5"/>
  </r>
  <r>
    <x v="103"/>
    <x v="1"/>
    <b v="1"/>
    <x v="218"/>
    <n v="5"/>
  </r>
  <r>
    <x v="86"/>
    <x v="1"/>
    <b v="0"/>
    <x v="218"/>
    <n v="5"/>
  </r>
  <r>
    <x v="75"/>
    <x v="1"/>
    <b v="1"/>
    <x v="218"/>
    <n v="5"/>
  </r>
  <r>
    <x v="80"/>
    <x v="1"/>
    <b v="1"/>
    <x v="218"/>
    <n v="5"/>
  </r>
  <r>
    <x v="85"/>
    <x v="1"/>
    <b v="1"/>
    <x v="218"/>
    <n v="5"/>
  </r>
  <r>
    <x v="15"/>
    <x v="2"/>
    <b v="1"/>
    <x v="218"/>
    <n v="18.740000000000002"/>
  </r>
  <r>
    <x v="16"/>
    <x v="0"/>
    <b v="1"/>
    <x v="219"/>
    <n v="-16.189999999999998"/>
  </r>
  <r>
    <x v="1"/>
    <x v="0"/>
    <b v="1"/>
    <x v="219"/>
    <n v="-19.410000000000004"/>
  </r>
  <r>
    <x v="13"/>
    <x v="0"/>
    <b v="1"/>
    <x v="219"/>
    <n v="-8.7200000000000006"/>
  </r>
  <r>
    <x v="20"/>
    <x v="0"/>
    <b v="1"/>
    <x v="219"/>
    <n v="-5.78"/>
  </r>
  <r>
    <x v="88"/>
    <x v="1"/>
    <b v="0"/>
    <x v="219"/>
    <n v="5"/>
  </r>
  <r>
    <x v="12"/>
    <x v="1"/>
    <b v="1"/>
    <x v="219"/>
    <n v="5"/>
  </r>
  <r>
    <x v="91"/>
    <x v="1"/>
    <b v="1"/>
    <x v="219"/>
    <n v="5"/>
  </r>
  <r>
    <x v="95"/>
    <x v="1"/>
    <b v="1"/>
    <x v="219"/>
    <n v="5"/>
  </r>
  <r>
    <x v="70"/>
    <x v="1"/>
    <b v="1"/>
    <x v="219"/>
    <n v="5"/>
  </r>
  <r>
    <x v="89"/>
    <x v="1"/>
    <b v="1"/>
    <x v="219"/>
    <n v="5"/>
  </r>
  <r>
    <x v="92"/>
    <x v="1"/>
    <b v="1"/>
    <x v="219"/>
    <n v="5"/>
  </r>
  <r>
    <x v="106"/>
    <x v="1"/>
    <b v="1"/>
    <x v="219"/>
    <n v="5"/>
  </r>
  <r>
    <x v="72"/>
    <x v="1"/>
    <b v="1"/>
    <x v="219"/>
    <n v="5"/>
  </r>
  <r>
    <x v="32"/>
    <x v="1"/>
    <b v="1"/>
    <x v="219"/>
    <n v="5"/>
  </r>
  <r>
    <x v="100"/>
    <x v="1"/>
    <b v="1"/>
    <x v="219"/>
    <n v="5"/>
  </r>
  <r>
    <x v="104"/>
    <x v="1"/>
    <b v="1"/>
    <x v="219"/>
    <n v="5"/>
  </r>
  <r>
    <x v="90"/>
    <x v="1"/>
    <b v="1"/>
    <x v="219"/>
    <n v="5"/>
  </r>
  <r>
    <x v="93"/>
    <x v="1"/>
    <b v="1"/>
    <x v="219"/>
    <n v="5"/>
  </r>
  <r>
    <x v="101"/>
    <x v="1"/>
    <b v="0"/>
    <x v="219"/>
    <n v="5"/>
  </r>
  <r>
    <x v="84"/>
    <x v="1"/>
    <b v="1"/>
    <x v="219"/>
    <n v="5"/>
  </r>
  <r>
    <x v="41"/>
    <x v="1"/>
    <b v="1"/>
    <x v="219"/>
    <n v="1E-3"/>
  </r>
  <r>
    <x v="102"/>
    <x v="1"/>
    <b v="1"/>
    <x v="219"/>
    <n v="5"/>
  </r>
  <r>
    <x v="87"/>
    <x v="1"/>
    <b v="1"/>
    <x v="219"/>
    <n v="5"/>
  </r>
  <r>
    <x v="73"/>
    <x v="1"/>
    <b v="1"/>
    <x v="219"/>
    <n v="5"/>
  </r>
  <r>
    <x v="94"/>
    <x v="1"/>
    <b v="1"/>
    <x v="219"/>
    <n v="5"/>
  </r>
  <r>
    <x v="96"/>
    <x v="1"/>
    <b v="1"/>
    <x v="219"/>
    <n v="5"/>
  </r>
  <r>
    <x v="103"/>
    <x v="1"/>
    <b v="1"/>
    <x v="219"/>
    <n v="5"/>
  </r>
  <r>
    <x v="86"/>
    <x v="1"/>
    <b v="0"/>
    <x v="219"/>
    <n v="5"/>
  </r>
  <r>
    <x v="75"/>
    <x v="1"/>
    <b v="1"/>
    <x v="219"/>
    <n v="5"/>
  </r>
  <r>
    <x v="80"/>
    <x v="1"/>
    <b v="1"/>
    <x v="219"/>
    <n v="5"/>
  </r>
  <r>
    <x v="85"/>
    <x v="1"/>
    <b v="1"/>
    <x v="219"/>
    <n v="5"/>
  </r>
  <r>
    <x v="15"/>
    <x v="2"/>
    <b v="1"/>
    <x v="219"/>
    <n v="20.2"/>
  </r>
  <r>
    <x v="0"/>
    <x v="0"/>
    <b v="1"/>
    <x v="220"/>
    <n v="-74.319999999999993"/>
  </r>
  <r>
    <x v="16"/>
    <x v="0"/>
    <b v="1"/>
    <x v="220"/>
    <n v="-5"/>
  </r>
  <r>
    <x v="1"/>
    <x v="0"/>
    <b v="1"/>
    <x v="220"/>
    <n v="-80"/>
  </r>
  <r>
    <x v="13"/>
    <x v="0"/>
    <b v="1"/>
    <x v="220"/>
    <n v="-5.98"/>
  </r>
  <r>
    <x v="20"/>
    <x v="0"/>
    <b v="1"/>
    <x v="220"/>
    <n v="-14.68"/>
  </r>
  <r>
    <x v="12"/>
    <x v="1"/>
    <b v="0"/>
    <x v="220"/>
    <n v="5"/>
  </r>
  <r>
    <x v="91"/>
    <x v="1"/>
    <b v="1"/>
    <x v="220"/>
    <n v="5"/>
  </r>
  <r>
    <x v="95"/>
    <x v="1"/>
    <b v="1"/>
    <x v="220"/>
    <n v="5"/>
  </r>
  <r>
    <x v="70"/>
    <x v="1"/>
    <b v="1"/>
    <x v="220"/>
    <n v="5"/>
  </r>
  <r>
    <x v="89"/>
    <x v="1"/>
    <b v="1"/>
    <x v="220"/>
    <n v="5"/>
  </r>
  <r>
    <x v="92"/>
    <x v="1"/>
    <b v="1"/>
    <x v="220"/>
    <n v="5"/>
  </r>
  <r>
    <x v="106"/>
    <x v="1"/>
    <b v="1"/>
    <x v="220"/>
    <n v="5"/>
  </r>
  <r>
    <x v="72"/>
    <x v="1"/>
    <b v="1"/>
    <x v="220"/>
    <n v="5"/>
  </r>
  <r>
    <x v="32"/>
    <x v="1"/>
    <b v="1"/>
    <x v="220"/>
    <n v="5"/>
  </r>
  <r>
    <x v="100"/>
    <x v="1"/>
    <b v="0"/>
    <x v="220"/>
    <n v="5"/>
  </r>
  <r>
    <x v="104"/>
    <x v="1"/>
    <b v="0"/>
    <x v="220"/>
    <n v="5"/>
  </r>
  <r>
    <x v="90"/>
    <x v="1"/>
    <b v="1"/>
    <x v="220"/>
    <n v="5"/>
  </r>
  <r>
    <x v="93"/>
    <x v="1"/>
    <b v="1"/>
    <x v="220"/>
    <n v="5"/>
  </r>
  <r>
    <x v="101"/>
    <x v="1"/>
    <b v="0"/>
    <x v="220"/>
    <n v="5"/>
  </r>
  <r>
    <x v="84"/>
    <x v="1"/>
    <b v="1"/>
    <x v="220"/>
    <n v="5"/>
  </r>
  <r>
    <x v="41"/>
    <x v="1"/>
    <b v="1"/>
    <x v="220"/>
    <n v="1E-3"/>
  </r>
  <r>
    <x v="102"/>
    <x v="1"/>
    <b v="0"/>
    <x v="220"/>
    <n v="5"/>
  </r>
  <r>
    <x v="87"/>
    <x v="1"/>
    <b v="1"/>
    <x v="220"/>
    <n v="5"/>
  </r>
  <r>
    <x v="73"/>
    <x v="1"/>
    <b v="1"/>
    <x v="220"/>
    <n v="5"/>
  </r>
  <r>
    <x v="94"/>
    <x v="1"/>
    <b v="1"/>
    <x v="220"/>
    <n v="5"/>
  </r>
  <r>
    <x v="96"/>
    <x v="1"/>
    <b v="1"/>
    <x v="220"/>
    <n v="5"/>
  </r>
  <r>
    <x v="103"/>
    <x v="1"/>
    <b v="1"/>
    <x v="220"/>
    <n v="5"/>
  </r>
  <r>
    <x v="75"/>
    <x v="1"/>
    <b v="1"/>
    <x v="220"/>
    <n v="5"/>
  </r>
  <r>
    <x v="80"/>
    <x v="1"/>
    <b v="1"/>
    <x v="220"/>
    <n v="5"/>
  </r>
  <r>
    <x v="85"/>
    <x v="1"/>
    <b v="1"/>
    <x v="220"/>
    <n v="5"/>
  </r>
  <r>
    <x v="15"/>
    <x v="2"/>
    <b v="1"/>
    <x v="220"/>
    <n v="19.75"/>
  </r>
  <r>
    <x v="0"/>
    <x v="0"/>
    <b v="1"/>
    <x v="221"/>
    <n v="-62.45"/>
  </r>
  <r>
    <x v="16"/>
    <x v="0"/>
    <b v="1"/>
    <x v="221"/>
    <n v="-15.98"/>
  </r>
  <r>
    <x v="1"/>
    <x v="0"/>
    <b v="1"/>
    <x v="221"/>
    <n v="-58.23"/>
  </r>
  <r>
    <x v="13"/>
    <x v="0"/>
    <b v="1"/>
    <x v="221"/>
    <n v="-7.98"/>
  </r>
  <r>
    <x v="13"/>
    <x v="0"/>
    <b v="1"/>
    <x v="221"/>
    <n v="-2.99"/>
  </r>
  <r>
    <x v="12"/>
    <x v="1"/>
    <b v="0"/>
    <x v="221"/>
    <n v="5"/>
  </r>
  <r>
    <x v="91"/>
    <x v="1"/>
    <b v="1"/>
    <x v="221"/>
    <n v="5"/>
  </r>
  <r>
    <x v="95"/>
    <x v="1"/>
    <b v="1"/>
    <x v="221"/>
    <n v="5"/>
  </r>
  <r>
    <x v="70"/>
    <x v="1"/>
    <b v="1"/>
    <x v="221"/>
    <n v="5"/>
  </r>
  <r>
    <x v="89"/>
    <x v="1"/>
    <b v="1"/>
    <x v="221"/>
    <n v="5"/>
  </r>
  <r>
    <x v="92"/>
    <x v="1"/>
    <b v="1"/>
    <x v="221"/>
    <n v="5"/>
  </r>
  <r>
    <x v="106"/>
    <x v="1"/>
    <b v="1"/>
    <x v="221"/>
    <n v="5"/>
  </r>
  <r>
    <x v="72"/>
    <x v="1"/>
    <b v="1"/>
    <x v="221"/>
    <n v="5"/>
  </r>
  <r>
    <x v="32"/>
    <x v="1"/>
    <b v="1"/>
    <x v="221"/>
    <n v="5"/>
  </r>
  <r>
    <x v="104"/>
    <x v="1"/>
    <b v="0"/>
    <x v="221"/>
    <n v="5"/>
  </r>
  <r>
    <x v="100"/>
    <x v="1"/>
    <b v="0"/>
    <x v="221"/>
    <n v="5"/>
  </r>
  <r>
    <x v="90"/>
    <x v="1"/>
    <b v="1"/>
    <x v="221"/>
    <n v="5"/>
  </r>
  <r>
    <x v="101"/>
    <x v="1"/>
    <b v="0"/>
    <x v="221"/>
    <n v="5"/>
  </r>
  <r>
    <x v="93"/>
    <x v="1"/>
    <b v="1"/>
    <x v="221"/>
    <n v="5"/>
  </r>
  <r>
    <x v="84"/>
    <x v="1"/>
    <b v="1"/>
    <x v="221"/>
    <n v="5"/>
  </r>
  <r>
    <x v="102"/>
    <x v="1"/>
    <b v="0"/>
    <x v="221"/>
    <n v="5"/>
  </r>
  <r>
    <x v="41"/>
    <x v="1"/>
    <b v="1"/>
    <x v="221"/>
    <n v="1E-3"/>
  </r>
  <r>
    <x v="87"/>
    <x v="1"/>
    <b v="1"/>
    <x v="221"/>
    <n v="5"/>
  </r>
  <r>
    <x v="73"/>
    <x v="1"/>
    <b v="1"/>
    <x v="221"/>
    <n v="5"/>
  </r>
  <r>
    <x v="94"/>
    <x v="1"/>
    <b v="1"/>
    <x v="221"/>
    <n v="5"/>
  </r>
  <r>
    <x v="96"/>
    <x v="1"/>
    <b v="0"/>
    <x v="221"/>
    <n v="1"/>
  </r>
  <r>
    <x v="103"/>
    <x v="1"/>
    <b v="1"/>
    <x v="221"/>
    <n v="5"/>
  </r>
  <r>
    <x v="75"/>
    <x v="1"/>
    <b v="1"/>
    <x v="221"/>
    <n v="5"/>
  </r>
  <r>
    <x v="80"/>
    <x v="1"/>
    <b v="1"/>
    <x v="221"/>
    <n v="5"/>
  </r>
  <r>
    <x v="85"/>
    <x v="1"/>
    <b v="1"/>
    <x v="221"/>
    <n v="5"/>
  </r>
  <r>
    <x v="15"/>
    <x v="2"/>
    <b v="1"/>
    <x v="221"/>
    <n v="7.95"/>
  </r>
  <r>
    <x v="16"/>
    <x v="0"/>
    <b v="1"/>
    <x v="222"/>
    <n v="-5"/>
  </r>
  <r>
    <x v="1"/>
    <x v="0"/>
    <b v="1"/>
    <x v="222"/>
    <n v="-67.949999999999989"/>
  </r>
  <r>
    <x v="20"/>
    <x v="0"/>
    <b v="1"/>
    <x v="222"/>
    <n v="-3.99"/>
  </r>
  <r>
    <x v="12"/>
    <x v="1"/>
    <b v="0"/>
    <x v="222"/>
    <n v="5"/>
  </r>
  <r>
    <x v="91"/>
    <x v="1"/>
    <b v="1"/>
    <x v="222"/>
    <n v="5"/>
  </r>
  <r>
    <x v="95"/>
    <x v="1"/>
    <b v="1"/>
    <x v="222"/>
    <n v="5"/>
  </r>
  <r>
    <x v="70"/>
    <x v="1"/>
    <b v="1"/>
    <x v="222"/>
    <n v="5"/>
  </r>
  <r>
    <x v="89"/>
    <x v="1"/>
    <b v="1"/>
    <x v="222"/>
    <n v="5"/>
  </r>
  <r>
    <x v="92"/>
    <x v="1"/>
    <b v="1"/>
    <x v="222"/>
    <n v="5"/>
  </r>
  <r>
    <x v="106"/>
    <x v="1"/>
    <b v="1"/>
    <x v="222"/>
    <n v="5"/>
  </r>
  <r>
    <x v="72"/>
    <x v="1"/>
    <b v="1"/>
    <x v="222"/>
    <n v="5"/>
  </r>
  <r>
    <x v="32"/>
    <x v="1"/>
    <b v="1"/>
    <x v="222"/>
    <n v="5"/>
  </r>
  <r>
    <x v="90"/>
    <x v="1"/>
    <b v="1"/>
    <x v="222"/>
    <n v="5"/>
  </r>
  <r>
    <x v="93"/>
    <x v="1"/>
    <b v="1"/>
    <x v="222"/>
    <n v="5"/>
  </r>
  <r>
    <x v="84"/>
    <x v="1"/>
    <b v="1"/>
    <x v="222"/>
    <n v="5"/>
  </r>
  <r>
    <x v="41"/>
    <x v="1"/>
    <b v="1"/>
    <x v="222"/>
    <n v="1E-3"/>
  </r>
  <r>
    <x v="87"/>
    <x v="1"/>
    <b v="1"/>
    <x v="222"/>
    <n v="5"/>
  </r>
  <r>
    <x v="73"/>
    <x v="1"/>
    <b v="1"/>
    <x v="222"/>
    <n v="5"/>
  </r>
  <r>
    <x v="102"/>
    <x v="1"/>
    <b v="0"/>
    <x v="222"/>
    <n v="5"/>
  </r>
  <r>
    <x v="94"/>
    <x v="1"/>
    <b v="1"/>
    <x v="222"/>
    <n v="5"/>
  </r>
  <r>
    <x v="96"/>
    <x v="1"/>
    <b v="1"/>
    <x v="222"/>
    <n v="5"/>
  </r>
  <r>
    <x v="103"/>
    <x v="1"/>
    <b v="1"/>
    <x v="222"/>
    <n v="5"/>
  </r>
  <r>
    <x v="75"/>
    <x v="1"/>
    <b v="1"/>
    <x v="222"/>
    <n v="5"/>
  </r>
  <r>
    <x v="80"/>
    <x v="1"/>
    <b v="1"/>
    <x v="222"/>
    <n v="5"/>
  </r>
  <r>
    <x v="85"/>
    <x v="1"/>
    <b v="1"/>
    <x v="222"/>
    <n v="5"/>
  </r>
  <r>
    <x v="15"/>
    <x v="2"/>
    <b v="1"/>
    <x v="222"/>
    <n v="15.1"/>
  </r>
  <r>
    <x v="0"/>
    <x v="0"/>
    <b v="1"/>
    <x v="223"/>
    <n v="-77.52"/>
  </r>
  <r>
    <x v="16"/>
    <x v="0"/>
    <b v="1"/>
    <x v="223"/>
    <n v="-5"/>
  </r>
  <r>
    <x v="1"/>
    <x v="0"/>
    <b v="1"/>
    <x v="223"/>
    <n v="-15"/>
  </r>
  <r>
    <x v="91"/>
    <x v="1"/>
    <b v="1"/>
    <x v="223"/>
    <n v="5"/>
  </r>
  <r>
    <x v="95"/>
    <x v="1"/>
    <b v="1"/>
    <x v="223"/>
    <n v="5"/>
  </r>
  <r>
    <x v="70"/>
    <x v="1"/>
    <b v="1"/>
    <x v="223"/>
    <n v="5"/>
  </r>
  <r>
    <x v="89"/>
    <x v="1"/>
    <b v="1"/>
    <x v="223"/>
    <n v="5"/>
  </r>
  <r>
    <x v="92"/>
    <x v="1"/>
    <b v="1"/>
    <x v="223"/>
    <n v="5"/>
  </r>
  <r>
    <x v="106"/>
    <x v="1"/>
    <b v="1"/>
    <x v="223"/>
    <n v="5"/>
  </r>
  <r>
    <x v="72"/>
    <x v="1"/>
    <b v="1"/>
    <x v="223"/>
    <n v="5"/>
  </r>
  <r>
    <x v="32"/>
    <x v="1"/>
    <b v="1"/>
    <x v="223"/>
    <n v="5"/>
  </r>
  <r>
    <x v="90"/>
    <x v="1"/>
    <b v="1"/>
    <x v="223"/>
    <n v="5"/>
  </r>
  <r>
    <x v="93"/>
    <x v="1"/>
    <b v="1"/>
    <x v="223"/>
    <n v="5"/>
  </r>
  <r>
    <x v="84"/>
    <x v="1"/>
    <b v="1"/>
    <x v="223"/>
    <n v="5"/>
  </r>
  <r>
    <x v="41"/>
    <x v="1"/>
    <b v="1"/>
    <x v="223"/>
    <n v="1E-3"/>
  </r>
  <r>
    <x v="87"/>
    <x v="1"/>
    <b v="1"/>
    <x v="223"/>
    <n v="5"/>
  </r>
  <r>
    <x v="73"/>
    <x v="1"/>
    <b v="1"/>
    <x v="223"/>
    <n v="5"/>
  </r>
  <r>
    <x v="94"/>
    <x v="1"/>
    <b v="1"/>
    <x v="223"/>
    <n v="5"/>
  </r>
  <r>
    <x v="96"/>
    <x v="1"/>
    <b v="1"/>
    <x v="223"/>
    <n v="5"/>
  </r>
  <r>
    <x v="103"/>
    <x v="1"/>
    <b v="1"/>
    <x v="223"/>
    <n v="5"/>
  </r>
  <r>
    <x v="107"/>
    <x v="1"/>
    <b v="1"/>
    <x v="223"/>
    <n v="5"/>
  </r>
  <r>
    <x v="75"/>
    <x v="1"/>
    <b v="1"/>
    <x v="223"/>
    <n v="5"/>
  </r>
  <r>
    <x v="80"/>
    <x v="1"/>
    <b v="1"/>
    <x v="223"/>
    <n v="5"/>
  </r>
  <r>
    <x v="85"/>
    <x v="1"/>
    <b v="1"/>
    <x v="223"/>
    <n v="5"/>
  </r>
  <r>
    <x v="15"/>
    <x v="2"/>
    <b v="1"/>
    <x v="223"/>
    <n v="8.26"/>
  </r>
  <r>
    <x v="0"/>
    <x v="0"/>
    <b v="1"/>
    <x v="224"/>
    <n v="-71.92"/>
  </r>
  <r>
    <x v="16"/>
    <x v="0"/>
    <b v="1"/>
    <x v="224"/>
    <n v="-5"/>
  </r>
  <r>
    <x v="1"/>
    <x v="0"/>
    <b v="1"/>
    <x v="224"/>
    <n v="-12"/>
  </r>
  <r>
    <x v="1"/>
    <x v="0"/>
    <b v="1"/>
    <x v="224"/>
    <n v="-35.159999999999997"/>
  </r>
  <r>
    <x v="1"/>
    <x v="0"/>
    <b v="1"/>
    <x v="224"/>
    <n v="-11.98"/>
  </r>
  <r>
    <x v="13"/>
    <x v="0"/>
    <b v="1"/>
    <x v="224"/>
    <n v="-7.98"/>
  </r>
  <r>
    <x v="13"/>
    <x v="0"/>
    <b v="1"/>
    <x v="224"/>
    <n v="-2.99"/>
  </r>
  <r>
    <x v="91"/>
    <x v="1"/>
    <b v="1"/>
    <x v="224"/>
    <n v="5"/>
  </r>
  <r>
    <x v="95"/>
    <x v="1"/>
    <b v="1"/>
    <x v="224"/>
    <n v="5"/>
  </r>
  <r>
    <x v="70"/>
    <x v="1"/>
    <b v="1"/>
    <x v="224"/>
    <n v="5"/>
  </r>
  <r>
    <x v="89"/>
    <x v="1"/>
    <b v="1"/>
    <x v="224"/>
    <n v="5"/>
  </r>
  <r>
    <x v="92"/>
    <x v="1"/>
    <b v="1"/>
    <x v="224"/>
    <n v="5"/>
  </r>
  <r>
    <x v="106"/>
    <x v="1"/>
    <b v="1"/>
    <x v="224"/>
    <n v="5"/>
  </r>
  <r>
    <x v="72"/>
    <x v="1"/>
    <b v="1"/>
    <x v="224"/>
    <n v="5"/>
  </r>
  <r>
    <x v="32"/>
    <x v="1"/>
    <b v="1"/>
    <x v="224"/>
    <n v="5"/>
  </r>
  <r>
    <x v="104"/>
    <x v="1"/>
    <b v="1"/>
    <x v="224"/>
    <n v="5"/>
  </r>
  <r>
    <x v="90"/>
    <x v="1"/>
    <b v="1"/>
    <x v="224"/>
    <n v="5"/>
  </r>
  <r>
    <x v="93"/>
    <x v="1"/>
    <b v="1"/>
    <x v="224"/>
    <n v="5"/>
  </r>
  <r>
    <x v="84"/>
    <x v="1"/>
    <b v="1"/>
    <x v="224"/>
    <n v="5"/>
  </r>
  <r>
    <x v="41"/>
    <x v="1"/>
    <b v="1"/>
    <x v="224"/>
    <n v="1E-3"/>
  </r>
  <r>
    <x v="108"/>
    <x v="1"/>
    <b v="1"/>
    <x v="224"/>
    <n v="5"/>
  </r>
  <r>
    <x v="102"/>
    <x v="1"/>
    <b v="1"/>
    <x v="224"/>
    <n v="5"/>
  </r>
  <r>
    <x v="87"/>
    <x v="1"/>
    <b v="1"/>
    <x v="224"/>
    <n v="5"/>
  </r>
  <r>
    <x v="73"/>
    <x v="1"/>
    <b v="1"/>
    <x v="224"/>
    <n v="5"/>
  </r>
  <r>
    <x v="94"/>
    <x v="1"/>
    <b v="1"/>
    <x v="224"/>
    <n v="5"/>
  </r>
  <r>
    <x v="96"/>
    <x v="1"/>
    <b v="1"/>
    <x v="224"/>
    <n v="5"/>
  </r>
  <r>
    <x v="103"/>
    <x v="1"/>
    <b v="1"/>
    <x v="224"/>
    <n v="5"/>
  </r>
  <r>
    <x v="107"/>
    <x v="1"/>
    <b v="1"/>
    <x v="224"/>
    <n v="5"/>
  </r>
  <r>
    <x v="75"/>
    <x v="1"/>
    <b v="1"/>
    <x v="224"/>
    <n v="5"/>
  </r>
  <r>
    <x v="80"/>
    <x v="1"/>
    <b v="1"/>
    <x v="224"/>
    <n v="5"/>
  </r>
  <r>
    <x v="85"/>
    <x v="1"/>
    <b v="1"/>
    <x v="224"/>
    <n v="5"/>
  </r>
  <r>
    <x v="15"/>
    <x v="2"/>
    <b v="1"/>
    <x v="224"/>
    <n v="14.3"/>
  </r>
  <r>
    <x v="16"/>
    <x v="0"/>
    <b v="1"/>
    <x v="225"/>
    <n v="-5"/>
  </r>
  <r>
    <x v="1"/>
    <x v="0"/>
    <b v="1"/>
    <x v="225"/>
    <n v="-3"/>
  </r>
  <r>
    <x v="91"/>
    <x v="1"/>
    <b v="1"/>
    <x v="225"/>
    <n v="5"/>
  </r>
  <r>
    <x v="95"/>
    <x v="1"/>
    <b v="1"/>
    <x v="225"/>
    <n v="5"/>
  </r>
  <r>
    <x v="70"/>
    <x v="1"/>
    <b v="1"/>
    <x v="225"/>
    <n v="5"/>
  </r>
  <r>
    <x v="89"/>
    <x v="1"/>
    <b v="1"/>
    <x v="225"/>
    <n v="5"/>
  </r>
  <r>
    <x v="92"/>
    <x v="1"/>
    <b v="1"/>
    <x v="225"/>
    <n v="5"/>
  </r>
  <r>
    <x v="106"/>
    <x v="1"/>
    <b v="1"/>
    <x v="225"/>
    <n v="5"/>
  </r>
  <r>
    <x v="72"/>
    <x v="1"/>
    <b v="1"/>
    <x v="225"/>
    <n v="5"/>
  </r>
  <r>
    <x v="32"/>
    <x v="1"/>
    <b v="1"/>
    <x v="225"/>
    <n v="5"/>
  </r>
  <r>
    <x v="104"/>
    <x v="1"/>
    <b v="1"/>
    <x v="225"/>
    <n v="5"/>
  </r>
  <r>
    <x v="90"/>
    <x v="1"/>
    <b v="1"/>
    <x v="225"/>
    <n v="5"/>
  </r>
  <r>
    <x v="93"/>
    <x v="1"/>
    <b v="1"/>
    <x v="225"/>
    <n v="5"/>
  </r>
  <r>
    <x v="41"/>
    <x v="1"/>
    <b v="1"/>
    <x v="225"/>
    <n v="1E-3"/>
  </r>
  <r>
    <x v="108"/>
    <x v="1"/>
    <b v="1"/>
    <x v="225"/>
    <n v="5"/>
  </r>
  <r>
    <x v="87"/>
    <x v="1"/>
    <b v="1"/>
    <x v="225"/>
    <n v="5"/>
  </r>
  <r>
    <x v="73"/>
    <x v="1"/>
    <b v="1"/>
    <x v="225"/>
    <n v="5"/>
  </r>
  <r>
    <x v="94"/>
    <x v="1"/>
    <b v="1"/>
    <x v="225"/>
    <n v="5"/>
  </r>
  <r>
    <x v="96"/>
    <x v="1"/>
    <b v="1"/>
    <x v="225"/>
    <n v="5"/>
  </r>
  <r>
    <x v="103"/>
    <x v="1"/>
    <b v="1"/>
    <x v="225"/>
    <n v="5"/>
  </r>
  <r>
    <x v="107"/>
    <x v="1"/>
    <b v="1"/>
    <x v="225"/>
    <n v="5"/>
  </r>
  <r>
    <x v="75"/>
    <x v="1"/>
    <b v="1"/>
    <x v="225"/>
    <n v="5"/>
  </r>
  <r>
    <x v="80"/>
    <x v="1"/>
    <b v="1"/>
    <x v="225"/>
    <n v="5"/>
  </r>
  <r>
    <x v="85"/>
    <x v="1"/>
    <b v="1"/>
    <x v="225"/>
    <n v="5"/>
  </r>
  <r>
    <x v="15"/>
    <x v="2"/>
    <b v="1"/>
    <x v="225"/>
    <n v="4.25"/>
  </r>
  <r>
    <x v="16"/>
    <x v="0"/>
    <b v="1"/>
    <x v="226"/>
    <n v="-5"/>
  </r>
  <r>
    <x v="91"/>
    <x v="1"/>
    <b v="1"/>
    <x v="226"/>
    <n v="5"/>
  </r>
  <r>
    <x v="32"/>
    <x v="1"/>
    <b v="1"/>
    <x v="226"/>
    <n v="5"/>
  </r>
  <r>
    <x v="104"/>
    <x v="1"/>
    <b v="1"/>
    <x v="226"/>
    <n v="5"/>
  </r>
  <r>
    <x v="93"/>
    <x v="1"/>
    <b v="1"/>
    <x v="226"/>
    <n v="5"/>
  </r>
  <r>
    <x v="41"/>
    <x v="1"/>
    <b v="1"/>
    <x v="226"/>
    <n v="1E-3"/>
  </r>
  <r>
    <x v="108"/>
    <x v="1"/>
    <b v="1"/>
    <x v="226"/>
    <n v="5"/>
  </r>
  <r>
    <x v="87"/>
    <x v="1"/>
    <b v="1"/>
    <x v="226"/>
    <n v="5"/>
  </r>
  <r>
    <x v="73"/>
    <x v="1"/>
    <b v="1"/>
    <x v="226"/>
    <n v="5"/>
  </r>
  <r>
    <x v="96"/>
    <x v="1"/>
    <b v="1"/>
    <x v="226"/>
    <n v="5"/>
  </r>
  <r>
    <x v="107"/>
    <x v="1"/>
    <b v="1"/>
    <x v="226"/>
    <n v="5"/>
  </r>
  <r>
    <x v="75"/>
    <x v="1"/>
    <b v="1"/>
    <x v="226"/>
    <n v="5"/>
  </r>
  <r>
    <x v="80"/>
    <x v="1"/>
    <b v="1"/>
    <x v="226"/>
    <n v="5"/>
  </r>
  <r>
    <x v="15"/>
    <x v="2"/>
    <b v="1"/>
    <x v="226"/>
    <n v="0"/>
  </r>
  <r>
    <x v="16"/>
    <x v="0"/>
    <b v="1"/>
    <x v="227"/>
    <n v="-5"/>
  </r>
  <r>
    <x v="32"/>
    <x v="1"/>
    <b v="1"/>
    <x v="227"/>
    <n v="5"/>
  </r>
  <r>
    <x v="104"/>
    <x v="1"/>
    <b v="1"/>
    <x v="227"/>
    <n v="5"/>
  </r>
  <r>
    <x v="93"/>
    <x v="1"/>
    <b v="1"/>
    <x v="227"/>
    <n v="5"/>
  </r>
  <r>
    <x v="41"/>
    <x v="1"/>
    <b v="1"/>
    <x v="227"/>
    <n v="1E-3"/>
  </r>
  <r>
    <x v="108"/>
    <x v="1"/>
    <b v="1"/>
    <x v="227"/>
    <n v="5"/>
  </r>
  <r>
    <x v="87"/>
    <x v="1"/>
    <b v="1"/>
    <x v="227"/>
    <n v="5"/>
  </r>
  <r>
    <x v="15"/>
    <x v="2"/>
    <b v="1"/>
    <x v="227"/>
    <n v="0"/>
  </r>
  <r>
    <x v="16"/>
    <x v="0"/>
    <b v="1"/>
    <x v="228"/>
    <n v="-5"/>
  </r>
  <r>
    <x v="32"/>
    <x v="1"/>
    <b v="1"/>
    <x v="228"/>
    <n v="5"/>
  </r>
  <r>
    <x v="41"/>
    <x v="1"/>
    <b v="1"/>
    <x v="228"/>
    <n v="1E-3"/>
  </r>
  <r>
    <x v="15"/>
    <x v="2"/>
    <b v="1"/>
    <x v="228"/>
    <n v="0"/>
  </r>
  <r>
    <x v="16"/>
    <x v="0"/>
    <b v="1"/>
    <x v="229"/>
    <n v="-5"/>
  </r>
  <r>
    <x v="32"/>
    <x v="1"/>
    <b v="1"/>
    <x v="229"/>
    <n v="5"/>
  </r>
  <r>
    <x v="41"/>
    <x v="1"/>
    <b v="1"/>
    <x v="229"/>
    <n v="1E-3"/>
  </r>
  <r>
    <x v="15"/>
    <x v="2"/>
    <b v="1"/>
    <x v="229"/>
    <n v="0"/>
  </r>
  <r>
    <x v="41"/>
    <x v="1"/>
    <b v="1"/>
    <x v="230"/>
    <n v="1E-3"/>
  </r>
  <r>
    <x v="16"/>
    <x v="0"/>
    <b v="1"/>
    <x v="231"/>
    <n v="-5"/>
  </r>
  <r>
    <x v="15"/>
    <x v="2"/>
    <b v="1"/>
    <x v="231"/>
    <n v="0"/>
  </r>
  <r>
    <x v="109"/>
    <x v="4"/>
    <m/>
    <x v="23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5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chartFormat="5" rowHeaderCaption="Commodity" colHeaderCaption="Dates">
  <location ref="A6:R15" firstHeaderRow="1" firstDataRow="3" firstDataCol="1"/>
  <pivotFields count="6">
    <pivotField axis="axisRow" showAll="0">
      <items count="112">
        <item x="0"/>
        <item x="1"/>
        <item x="13"/>
        <item x="20"/>
        <item x="16"/>
        <item h="1" x="2"/>
        <item h="1" x="3"/>
        <item h="1" x="4"/>
        <item h="1" x="6"/>
        <item h="1" x="7"/>
        <item h="1" x="5"/>
        <item h="1" x="8"/>
        <item h="1" x="9"/>
        <item h="1" x="10"/>
        <item h="1" x="11"/>
        <item h="1" x="12"/>
        <item h="1" x="14"/>
        <item h="1" x="15"/>
        <item h="1" x="17"/>
        <item h="1" x="18"/>
        <item h="1" x="19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70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9"/>
        <item h="1" x="109"/>
        <item x="98"/>
        <item h="1" x="100"/>
        <item h="1" x="101"/>
        <item h="1" m="1" x="110"/>
        <item h="1" x="102"/>
        <item h="1" x="103"/>
        <item h="1" x="104"/>
        <item h="1" x="105"/>
        <item h="1" x="106"/>
        <item h="1" x="107"/>
        <item h="1" x="108"/>
        <item t="default"/>
      </items>
    </pivotField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showAll="0" defaultSubtotal="0">
      <items count="10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100"/>
    </i>
    <i t="grand">
      <x/>
    </i>
  </rowItems>
  <colFields count="2">
    <field x="5"/>
    <field x="3"/>
  </colFields>
  <colItems count="17">
    <i>
      <x v="18"/>
      <x v="11"/>
    </i>
    <i r="1">
      <x v="12"/>
    </i>
    <i>
      <x v="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0"/>
      <x v="1"/>
    </i>
    <i r="1">
      <x v="2"/>
    </i>
    <i>
      <x v="1020"/>
      <x v="3"/>
    </i>
  </colItems>
  <dataFields count="1">
    <dataField name="Expense" fld="4" baseField="0" baseItem="1" numFmtId="2"/>
  </dataFields>
  <formats count="24">
    <format dxfId="1177">
      <pivotArea field="0" type="button" dataOnly="0" labelOnly="1" outline="0" axis="axisRow" fieldPosition="0"/>
    </format>
    <format dxfId="1176">
      <pivotArea type="all" dataOnly="0" outline="0" fieldPosition="0"/>
    </format>
    <format dxfId="1175">
      <pivotArea type="origin" dataOnly="0" labelOnly="1" outline="0" fieldPosition="0"/>
    </format>
    <format dxfId="1174">
      <pivotArea field="0" type="button" dataOnly="0" labelOnly="1" outline="0" axis="axisRow" fieldPosition="0"/>
    </format>
    <format dxfId="1173">
      <pivotArea dataOnly="0" labelOnly="1" fieldPosition="0">
        <references count="1">
          <reference field="0" count="0"/>
        </references>
      </pivotArea>
    </format>
    <format dxfId="1172">
      <pivotArea dataOnly="0" labelOnly="1" grandRow="1" outline="0" fieldPosition="0"/>
    </format>
    <format dxfId="1171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1170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1169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1168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1167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1166">
      <pivotArea outline="0" collapsedLevelsAreSubtotals="1" fieldPosition="0"/>
    </format>
    <format dxfId="1165">
      <pivotArea field="5" type="button" dataOnly="0" labelOnly="1" outline="0" axis="axisCol" fieldPosition="0"/>
    </format>
    <format dxfId="1164">
      <pivotArea field="3" type="button" dataOnly="0" labelOnly="1" outline="0" axis="axisCol" fieldPosition="1"/>
    </format>
    <format dxfId="1163">
      <pivotArea type="topRight" dataOnly="0" labelOnly="1" outline="0" fieldPosition="0"/>
    </format>
    <format dxfId="1162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1161">
      <pivotArea dataOnly="0" labelOnly="1" fieldPosition="0">
        <references count="2">
          <reference field="3" count="6"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1160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1159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1158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1157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1156">
      <pivotArea dataOnly="0" labelOnly="1" fieldPosition="0">
        <references count="1">
          <reference field="5" count="1">
            <x v="19"/>
          </reference>
        </references>
      </pivotArea>
    </format>
    <format dxfId="1155">
      <pivotArea dataOnly="0" labelOnly="1" fieldPosition="0">
        <references count="1">
          <reference field="5" count="1">
            <x v="19"/>
          </reference>
        </references>
      </pivotArea>
    </format>
    <format dxfId="1154">
      <pivotArea dataOnly="0" labelOnly="1" fieldPosition="0">
        <references count="1">
          <reference field="5" count="1">
            <x v="18"/>
          </reference>
        </references>
      </pivotArea>
    </format>
  </formats>
  <pivotTableStyleInfo name="PivotStyleLight16" showRowHeaders="1" showColHeaders="1" showRowStripes="0" showColStripes="0" showLastColumn="1"/>
  <filters count="1">
    <filter fld="3" type="dateNewerThan" evalOrder="-1" id="126">
      <autoFilter ref="A1">
        <filterColumn colId="0">
          <customFilters>
            <customFilter operator="greaterThan" val="4340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9D744-8F7B-48E5-A8B6-FD66B5F72BE9}" name="PivotTable1" cacheId="5" applyNumberFormats="0" applyBorderFormats="0" applyFontFormats="0" applyPatternFormats="0" applyAlignmentFormats="0" applyWidthHeightFormats="1" dataCaption="Values" grandTotalCaption="Income Total" updatedVersion="6" minRefreshableVersion="3" showDrill="0" colGrandTotals="0" itemPrintTitles="1" createdVersion="6" indent="0" outline="1" outlineData="1" multipleFieldFilters="0" rowHeaderCaption="Member" colHeaderCaption="Dates">
  <location ref="A17:R45" firstHeaderRow="1" firstDataRow="3" firstDataCol="1"/>
  <pivotFields count="6">
    <pivotField axis="axisRow" subtotalTop="0" showAll="0">
      <items count="112">
        <item x="15"/>
        <item x="52"/>
        <item x="24"/>
        <item x="17"/>
        <item x="19"/>
        <item x="2"/>
        <item x="10"/>
        <item x="3"/>
        <item x="11"/>
        <item x="47"/>
        <item x="77"/>
        <item x="4"/>
        <item x="14"/>
        <item x="21"/>
        <item x="28"/>
        <item x="31"/>
        <item x="5"/>
        <item x="22"/>
        <item h="1" x="88"/>
        <item h="1" x="12"/>
        <item x="69"/>
        <item x="53"/>
        <item x="6"/>
        <item x="48"/>
        <item x="34"/>
        <item x="51"/>
        <item x="29"/>
        <item x="26"/>
        <item x="7"/>
        <item x="91"/>
        <item x="59"/>
        <item x="60"/>
        <item h="1" x="0"/>
        <item x="95"/>
        <item h="1" x="16"/>
        <item x="78"/>
        <item h="1" x="1"/>
        <item x="76"/>
        <item x="46"/>
        <item x="70"/>
        <item x="89"/>
        <item x="92"/>
        <item x="42"/>
        <item x="43"/>
        <item x="49"/>
        <item x="83"/>
        <item x="66"/>
        <item x="30"/>
        <item x="37"/>
        <item h="1" x="105"/>
        <item x="106"/>
        <item x="8"/>
        <item h="1" x="71"/>
        <item x="72"/>
        <item x="32"/>
        <item h="1" x="100"/>
        <item h="1" x="99"/>
        <item x="104"/>
        <item x="63"/>
        <item x="68"/>
        <item x="90"/>
        <item x="56"/>
        <item x="9"/>
        <item x="93"/>
        <item x="57"/>
        <item h="1" x="101"/>
        <item x="54"/>
        <item h="1" x="40"/>
        <item x="65"/>
        <item x="50"/>
        <item x="58"/>
        <item x="36"/>
        <item h="1" x="18"/>
        <item x="35"/>
        <item x="27"/>
        <item x="61"/>
        <item x="55"/>
        <item x="38"/>
        <item x="84"/>
        <item h="1" x="98"/>
        <item x="41"/>
        <item x="33"/>
        <item x="79"/>
        <item x="108"/>
        <item x="64"/>
        <item x="81"/>
        <item x="82"/>
        <item x="102"/>
        <item h="1" m="1" x="110"/>
        <item x="87"/>
        <item x="73"/>
        <item h="1" x="97"/>
        <item h="1" x="13"/>
        <item x="67"/>
        <item h="1" x="20"/>
        <item x="23"/>
        <item h="1" x="44"/>
        <item x="62"/>
        <item x="94"/>
        <item x="96"/>
        <item x="103"/>
        <item x="25"/>
        <item x="45"/>
        <item h="1" x="86"/>
        <item x="107"/>
        <item x="74"/>
        <item x="39"/>
        <item x="75"/>
        <item x="80"/>
        <item x="85"/>
        <item x="109"/>
        <item t="default"/>
      </items>
    </pivotField>
    <pivotField subtotalTop="0" showAll="0"/>
    <pivotField subtotalTop="0" showAll="0"/>
    <pivotField axis="axisCol" numFmtId="165" subtotalTop="0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dataField="1" subtotalTop="0" showAll="0"/>
    <pivotField axis="axisCol" subtotalTop="0" showAll="0" defaultSubtotal="0">
      <items count="10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</items>
    </pivotField>
  </pivotFields>
  <rowFields count="1">
    <field x="0"/>
  </rowFields>
  <rowItems count="26">
    <i>
      <x/>
    </i>
    <i>
      <x v="29"/>
    </i>
    <i>
      <x v="33"/>
    </i>
    <i>
      <x v="39"/>
    </i>
    <i>
      <x v="40"/>
    </i>
    <i>
      <x v="41"/>
    </i>
    <i>
      <x v="50"/>
    </i>
    <i>
      <x v="53"/>
    </i>
    <i>
      <x v="54"/>
    </i>
    <i>
      <x v="57"/>
    </i>
    <i>
      <x v="60"/>
    </i>
    <i>
      <x v="63"/>
    </i>
    <i>
      <x v="78"/>
    </i>
    <i>
      <x v="80"/>
    </i>
    <i>
      <x v="83"/>
    </i>
    <i>
      <x v="87"/>
    </i>
    <i>
      <x v="89"/>
    </i>
    <i>
      <x v="90"/>
    </i>
    <i>
      <x v="98"/>
    </i>
    <i>
      <x v="99"/>
    </i>
    <i>
      <x v="100"/>
    </i>
    <i>
      <x v="104"/>
    </i>
    <i>
      <x v="107"/>
    </i>
    <i>
      <x v="108"/>
    </i>
    <i>
      <x v="109"/>
    </i>
    <i t="grand">
      <x/>
    </i>
  </rowItems>
  <colFields count="2">
    <field x="5"/>
    <field x="3"/>
  </colFields>
  <colItems count="17">
    <i>
      <x v="18"/>
      <x v="10"/>
    </i>
    <i r="1">
      <x v="11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0"/>
      <x/>
    </i>
    <i r="1">
      <x v="1"/>
    </i>
    <i r="1">
      <x v="2"/>
    </i>
  </colItems>
  <dataFields count="1">
    <dataField name="Income" fld="4" baseField="0" baseItem="0" numFmtId="164"/>
  </dataFields>
  <formats count="64">
    <format dxfId="1241">
      <pivotArea type="all" dataOnly="0" outline="0" fieldPosition="0"/>
    </format>
    <format dxfId="1240">
      <pivotArea outline="0" collapsedLevelsAreSubtotals="1" fieldPosition="0"/>
    </format>
    <format dxfId="1239">
      <pivotArea type="origin" dataOnly="0" labelOnly="1" outline="0" fieldPosition="0"/>
    </format>
    <format dxfId="1238">
      <pivotArea field="3" type="button" dataOnly="0" labelOnly="1" outline="0" axis="axisCol" fieldPosition="1"/>
    </format>
    <format dxfId="1237">
      <pivotArea type="topRight" dataOnly="0" labelOnly="1" outline="0" fieldPosition="0"/>
    </format>
    <format dxfId="1236">
      <pivotArea field="0" type="button" dataOnly="0" labelOnly="1" outline="0" axis="axisRow" fieldPosition="0"/>
    </format>
    <format dxfId="1235">
      <pivotArea dataOnly="0" labelOnly="1" fieldPosition="0">
        <references count="1">
          <reference field="0" count="28">
            <x v="0"/>
            <x v="18"/>
            <x v="19"/>
            <x v="29"/>
            <x v="33"/>
            <x v="39"/>
            <x v="40"/>
            <x v="41"/>
            <x v="52"/>
            <x v="53"/>
            <x v="54"/>
            <x v="56"/>
            <x v="60"/>
            <x v="63"/>
            <x v="67"/>
            <x v="72"/>
            <x v="78"/>
            <x v="80"/>
            <x v="89"/>
            <x v="90"/>
            <x v="91"/>
            <x v="96"/>
            <x v="98"/>
            <x v="99"/>
            <x v="103"/>
            <x v="107"/>
            <x v="108"/>
            <x v="109"/>
          </reference>
        </references>
      </pivotArea>
    </format>
    <format dxfId="1234">
      <pivotArea dataOnly="0" labelOnly="1" grandRow="1" outline="0" fieldPosition="0"/>
    </format>
    <format dxfId="1233">
      <pivotArea collapsedLevelsAreSubtotals="1" fieldPosition="0">
        <references count="3">
          <reference field="0" count="1">
            <x v="18"/>
          </reference>
          <reference field="3" count="1" selected="0">
            <x v="3"/>
          </reference>
          <reference field="5" count="1" selected="0">
            <x v="18"/>
          </reference>
        </references>
      </pivotArea>
    </format>
    <format dxfId="1232">
      <pivotArea collapsedLevelsAreSubtotals="1" fieldPosition="0">
        <references count="3">
          <reference field="0" count="1">
            <x v="19"/>
          </reference>
          <reference field="3" count="1" selected="0">
            <x v="3"/>
          </reference>
          <reference field="5" count="1" selected="0">
            <x v="18"/>
          </reference>
        </references>
      </pivotArea>
    </format>
    <format dxfId="1231">
      <pivotArea type="all" dataOnly="0" outline="0" fieldPosition="0"/>
    </format>
    <format dxfId="1230">
      <pivotArea type="origin" dataOnly="0" labelOnly="1" outline="0" fieldPosition="0"/>
    </format>
    <format dxfId="1229">
      <pivotArea dataOnly="0" labelOnly="1" fieldPosition="0">
        <references count="1">
          <reference field="0" count="27">
            <x v="0"/>
            <x v="18"/>
            <x v="19"/>
            <x v="33"/>
            <x v="39"/>
            <x v="40"/>
            <x v="41"/>
            <x v="52"/>
            <x v="53"/>
            <x v="54"/>
            <x v="56"/>
            <x v="60"/>
            <x v="63"/>
            <x v="67"/>
            <x v="72"/>
            <x v="78"/>
            <x v="80"/>
            <x v="89"/>
            <x v="90"/>
            <x v="91"/>
            <x v="96"/>
            <x v="98"/>
            <x v="99"/>
            <x v="103"/>
            <x v="107"/>
            <x v="108"/>
            <x v="109"/>
          </reference>
        </references>
      </pivotArea>
    </format>
    <format dxfId="1228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1227">
      <pivotArea dataOnly="0" labelOnly="1" fieldPosition="0">
        <references count="2">
          <reference field="3" count="9"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7"/>
          </reference>
        </references>
      </pivotArea>
    </format>
    <format dxfId="1226">
      <pivotArea dataOnly="0" labelOnly="1" fieldPosition="0">
        <references count="2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8"/>
          </reference>
        </references>
      </pivotArea>
    </format>
    <format dxfId="1225">
      <pivotArea type="origin" dataOnly="0" labelOnly="1" outline="0" offset="A2" fieldPosition="0"/>
    </format>
    <format dxfId="1224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1223">
      <pivotArea dataOnly="0" labelOnly="1" fieldPosition="0">
        <references count="2">
          <reference field="3" count="9"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7"/>
          </reference>
        </references>
      </pivotArea>
    </format>
    <format dxfId="1222">
      <pivotArea dataOnly="0" labelOnly="1" fieldPosition="0">
        <references count="2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8"/>
          </reference>
        </references>
      </pivotArea>
    </format>
    <format dxfId="1221">
      <pivotArea type="origin" dataOnly="0" labelOnly="1" outline="0" offset="A2" fieldPosition="0"/>
    </format>
    <format dxfId="1220">
      <pivotArea collapsedLevelsAreSubtotals="1" fieldPosition="0">
        <references count="1">
          <reference field="0" count="1">
            <x v="0"/>
          </reference>
        </references>
      </pivotArea>
    </format>
    <format dxfId="1219">
      <pivotArea collapsedLevelsAreSubtotals="1" fieldPosition="0">
        <references count="3">
          <reference field="0" count="1">
            <x v="96"/>
          </reference>
          <reference field="3" count="1" selected="0">
            <x v="6"/>
          </reference>
          <reference field="5" count="1" selected="0">
            <x v="18"/>
          </reference>
        </references>
      </pivotArea>
    </format>
    <format dxfId="1218">
      <pivotArea collapsedLevelsAreSubtotals="1" fieldPosition="0">
        <references count="3">
          <reference field="0" count="1">
            <x v="96"/>
          </reference>
          <reference field="3" count="1" selected="0">
            <x v="6"/>
          </reference>
          <reference field="5" count="1" selected="0">
            <x v="18"/>
          </reference>
        </references>
      </pivotArea>
    </format>
    <format dxfId="1217">
      <pivotArea collapsedLevelsAreSubtotals="1" fieldPosition="0">
        <references count="3">
          <reference field="0" count="1">
            <x v="65"/>
          </reference>
          <reference field="3" count="4" selected="0">
            <x v="8"/>
            <x v="9"/>
            <x v="10"/>
            <x v="11"/>
          </reference>
          <reference field="5" count="1" selected="0">
            <x v="18"/>
          </reference>
        </references>
      </pivotArea>
    </format>
    <format dxfId="1216">
      <pivotArea collapsedLevelsAreSubtotals="1" fieldPosition="0">
        <references count="3">
          <reference field="0" count="1">
            <x v="65"/>
          </reference>
          <reference field="3" count="1" selected="0">
            <x v="8"/>
          </reference>
          <reference field="5" count="1" selected="0">
            <x v="18"/>
          </reference>
        </references>
      </pivotArea>
    </format>
    <format dxfId="1215">
      <pivotArea collapsedLevelsAreSubtotals="1" fieldPosition="0">
        <references count="3">
          <reference field="0" count="1">
            <x v="65"/>
          </reference>
          <reference field="3" count="1" selected="0">
            <x v="8"/>
          </reference>
          <reference field="5" count="1" selected="0">
            <x v="18"/>
          </reference>
        </references>
      </pivotArea>
    </format>
    <format dxfId="1214">
      <pivotArea grandRow="1" outline="0" collapsedLevelsAreSubtotals="1" fieldPosition="0"/>
    </format>
    <format dxfId="1213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1212">
      <pivotArea dataOnly="0" labelOnly="1" fieldPosition="0">
        <references count="2">
          <reference field="3" count="6">
            <x v="6"/>
            <x v="7"/>
            <x v="8"/>
            <x v="9"/>
            <x v="10"/>
            <x v="11"/>
          </reference>
          <reference field="5" count="1" selected="0">
            <x v="17"/>
          </reference>
        </references>
      </pivotArea>
    </format>
    <format dxfId="1211">
      <pivotArea dataOnly="0" labelOnly="1" fieldPosition="0">
        <references count="2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8"/>
          </reference>
        </references>
      </pivotArea>
    </format>
    <format dxfId="1210">
      <pivotArea dataOnly="0" labelOnly="1" fieldPosition="0">
        <references count="2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8"/>
          </reference>
        </references>
      </pivotArea>
    </format>
    <format dxfId="1209">
      <pivotArea collapsedLevelsAreSubtotals="1" fieldPosition="0">
        <references count="3">
          <reference field="0" count="1">
            <x v="65"/>
          </reference>
          <reference field="3" count="1" selected="0">
            <x v="9"/>
          </reference>
          <reference field="5" count="1" selected="0">
            <x v="18"/>
          </reference>
        </references>
      </pivotArea>
    </format>
    <format dxfId="1208">
      <pivotArea collapsedLevelsAreSubtotals="1" fieldPosition="0">
        <references count="3">
          <reference field="0" count="1">
            <x v="65"/>
          </reference>
          <reference field="3" count="1" selected="0">
            <x v="10"/>
          </reference>
          <reference field="5" count="1" selected="0">
            <x v="18"/>
          </reference>
        </references>
      </pivotArea>
    </format>
    <format dxfId="1207">
      <pivotArea collapsedLevelsAreSubtotals="1" fieldPosition="0">
        <references count="3">
          <reference field="0" count="1">
            <x v="65"/>
          </reference>
          <reference field="3" count="1" selected="0">
            <x v="11"/>
          </reference>
          <reference field="5" count="1" selected="0">
            <x v="18"/>
          </reference>
        </references>
      </pivotArea>
    </format>
    <format dxfId="1206">
      <pivotArea dataOnly="0" outline="0" fieldPosition="0">
        <references count="2">
          <reference field="3" count="0" defaultSubtotal="1" sumSubtotal="1" countASubtotal="1" avgSubtotal="1" maxSubtotal="1" minSubtotal="1" productSubtotal="1" countSubtotal="1" stdDevSubtotal="1" stdDevPSubtotal="1" varSubtotal="1" varPSubtotal="1"/>
          <reference field="5" count="1">
            <x v="18"/>
          </reference>
        </references>
      </pivotArea>
    </format>
    <format dxfId="1205">
      <pivotArea dataOnly="0" labelOnly="1" fieldPosition="0">
        <references count="1">
          <reference field="5" count="1">
            <x v="19"/>
          </reference>
        </references>
      </pivotArea>
    </format>
    <format dxfId="1204">
      <pivotArea dataOnly="0" labelOnly="1" fieldPosition="0">
        <references count="1">
          <reference field="5" count="1">
            <x v="19"/>
          </reference>
        </references>
      </pivotArea>
    </format>
    <format dxfId="1203">
      <pivotArea dataOnly="0" labelOnly="1" fieldPosition="0">
        <references count="1">
          <reference field="5" count="1">
            <x v="19"/>
          </reference>
        </references>
      </pivotArea>
    </format>
    <format dxfId="1202">
      <pivotArea dataOnly="0" labelOnly="1" fieldPosition="0">
        <references count="2">
          <reference field="3" count="7">
            <x v="0"/>
            <x v="1"/>
            <x v="2"/>
            <x v="3"/>
            <x v="4"/>
            <x v="5"/>
            <x v="6"/>
          </reference>
          <reference field="5" count="1" selected="0">
            <x v="19"/>
          </reference>
        </references>
      </pivotArea>
    </format>
    <format dxfId="1201">
      <pivotArea dataOnly="0" labelOnly="1" fieldPosition="0">
        <references count="1">
          <reference field="5" count="1">
            <x v="18"/>
          </reference>
        </references>
      </pivotArea>
    </format>
    <format dxfId="1200">
      <pivotArea dataOnly="0" labelOnly="1" fieldPosition="0">
        <references count="1">
          <reference field="5" count="1">
            <x v="18"/>
          </reference>
        </references>
      </pivotArea>
    </format>
    <format dxfId="1199">
      <pivotArea dataOnly="0" labelOnly="1" fieldPosition="0">
        <references count="1">
          <reference field="5" count="1">
            <x v="18"/>
          </reference>
        </references>
      </pivotArea>
    </format>
    <format dxfId="1198">
      <pivotArea dataOnly="0" labelOnly="1" fieldPosition="0">
        <references count="1">
          <reference field="5" count="1">
            <x v="18"/>
          </reference>
        </references>
      </pivotArea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5" type="button" dataOnly="0" labelOnly="1" outline="0" axis="axisCol" fieldPosition="0"/>
    </format>
    <format dxfId="1193">
      <pivotArea field="3" type="button" dataOnly="0" labelOnly="1" outline="0" axis="axisCol" fieldPosition="1"/>
    </format>
    <format dxfId="1192">
      <pivotArea type="topRight" dataOnly="0" labelOnly="1" outline="0" fieldPosition="0"/>
    </format>
    <format dxfId="1191">
      <pivotArea field="0" type="button" dataOnly="0" labelOnly="1" outline="0" axis="axisRow" fieldPosition="0"/>
    </format>
    <format dxfId="1190">
      <pivotArea dataOnly="0" labelOnly="1" fieldPosition="0">
        <references count="1">
          <reference field="0" count="24">
            <x v="0"/>
            <x v="19"/>
            <x v="29"/>
            <x v="33"/>
            <x v="39"/>
            <x v="40"/>
            <x v="41"/>
            <x v="50"/>
            <x v="53"/>
            <x v="54"/>
            <x v="55"/>
            <x v="60"/>
            <x v="63"/>
            <x v="78"/>
            <x v="80"/>
            <x v="87"/>
            <x v="89"/>
            <x v="90"/>
            <x v="98"/>
            <x v="99"/>
            <x v="100"/>
            <x v="107"/>
            <x v="108"/>
            <x v="109"/>
          </reference>
        </references>
      </pivotArea>
    </format>
    <format dxfId="1189">
      <pivotArea dataOnly="0" labelOnly="1" grandRow="1" outline="0" fieldPosition="0"/>
    </format>
    <format dxfId="1188">
      <pivotArea dataOnly="0" labelOnly="1" fieldPosition="0">
        <references count="1">
          <reference field="5" count="3">
            <x v="18"/>
            <x v="19"/>
            <x v="20"/>
          </reference>
        </references>
      </pivotArea>
    </format>
    <format dxfId="1187">
      <pivotArea dataOnly="0" labelOnly="1" fieldPosition="0">
        <references count="2">
          <reference field="3" count="6">
            <x v="6"/>
            <x v="7"/>
            <x v="8"/>
            <x v="9"/>
            <x v="10"/>
            <x v="11"/>
          </reference>
          <reference field="5" count="1" selected="0">
            <x v="18"/>
          </reference>
        </references>
      </pivotArea>
    </format>
    <format dxfId="1186">
      <pivotArea dataOnly="0" labelOnly="1" fieldPosition="0">
        <references count="2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1" selected="0">
            <x v="19"/>
          </reference>
        </references>
      </pivotArea>
    </format>
    <format dxfId="1185">
      <pivotArea dataOnly="0" labelOnly="1" fieldPosition="0">
        <references count="2">
          <reference field="3" count="2">
            <x v="0"/>
            <x v="1"/>
          </reference>
          <reference field="5" count="1" selected="0">
            <x v="20"/>
          </reference>
        </references>
      </pivotArea>
    </format>
    <format dxfId="1184">
      <pivotArea dataOnly="0" labelOnly="1" fieldPosition="0">
        <references count="1">
          <reference field="0" count="2">
            <x v="99"/>
            <x v="100"/>
          </reference>
        </references>
      </pivotArea>
    </format>
    <format dxfId="1183">
      <pivotArea dataOnly="0" labelOnly="1" fieldPosition="0">
        <references count="1">
          <reference field="0" count="2">
            <x v="99"/>
            <x v="100"/>
          </reference>
        </references>
      </pivotArea>
    </format>
    <format dxfId="1182">
      <pivotArea dataOnly="0" labelOnly="1" fieldPosition="0">
        <references count="1">
          <reference field="0" count="2">
            <x v="99"/>
            <x v="100"/>
          </reference>
        </references>
      </pivotArea>
    </format>
    <format dxfId="1181">
      <pivotArea dataOnly="0" labelOnly="1" fieldPosition="0">
        <references count="1">
          <reference field="0" count="2">
            <x v="99"/>
            <x v="100"/>
          </reference>
        </references>
      </pivotArea>
    </format>
    <format dxfId="1180">
      <pivotArea dataOnly="0" labelOnly="1" fieldPosition="0">
        <references count="1">
          <reference field="0" count="1">
            <x v="90"/>
          </reference>
        </references>
      </pivotArea>
    </format>
    <format dxfId="1179">
      <pivotArea dataOnly="0" labelOnly="1" fieldPosition="0">
        <references count="1">
          <reference field="0" count="1">
            <x v="90"/>
          </reference>
        </references>
      </pivotArea>
    </format>
    <format dxfId="1178">
      <pivotArea dataOnly="0" labelOnly="1" fieldPosition="0">
        <references count="1">
          <reference field="0" count="1">
            <x v="99"/>
          </reference>
        </references>
      </pivotArea>
    </format>
  </formats>
  <conditionalFormats count="5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4">
              <x v="29"/>
              <x v="33"/>
              <x v="39"/>
              <x v="40"/>
              <x v="41"/>
              <x v="50"/>
              <x v="53"/>
              <x v="54"/>
              <x v="57"/>
              <x v="60"/>
              <x v="63"/>
              <x v="78"/>
              <x v="80"/>
              <x v="83"/>
              <x v="87"/>
              <x v="89"/>
              <x v="90"/>
              <x v="98"/>
              <x v="99"/>
              <x v="100"/>
              <x v="104"/>
              <x v="107"/>
              <x v="108"/>
              <x v="109"/>
            </reference>
          </references>
        </pivotArea>
      </pivotAreas>
    </conditionalFormat>
    <conditionalFormat priority="7">
      <pivotAreas count="6">
        <pivotArea type="data" collapsedLevelsAreSubtotals="1" fieldPosition="0">
          <references count="2">
            <reference field="4294967294" count="1" selected="0">
              <x v="0"/>
            </reference>
            <reference field="0" count="9">
              <x v="18"/>
              <x v="19"/>
              <x v="29"/>
              <x v="33"/>
              <x v="39"/>
              <x v="40"/>
              <x v="41"/>
              <x v="53"/>
              <x v="5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5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2">
              <x v="60"/>
              <x v="6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3">
              <x v="67"/>
              <x v="78"/>
              <x v="8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6">
              <x v="89"/>
              <x v="90"/>
              <x v="91"/>
              <x v="96"/>
              <x v="98"/>
              <x v="9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4">
              <x v="103"/>
              <x v="107"/>
              <x v="108"/>
              <x v="109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80"/>
            </reference>
          </references>
        </pivotArea>
      </pivotAreas>
    </conditionalFormat>
    <conditionalFormat priority="5">
      <pivotAreas count="2">
        <pivotArea type="data" collapsedLevelsAreSubtotals="1" fieldPosition="0">
          <references count="4">
            <reference field="4294967294" count="1" selected="0">
              <x v="0"/>
            </reference>
            <reference field="0" count="10">
              <x v="18"/>
              <x v="19"/>
              <x v="29"/>
              <x v="33"/>
              <x v="39"/>
              <x v="40"/>
              <x v="41"/>
              <x v="52"/>
              <x v="53"/>
              <x v="54"/>
            </reference>
            <reference field="3" count="1" selected="0">
              <x v="3"/>
            </reference>
            <reference field="5" count="1" selected="0">
              <x v="18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6">
              <x v="56"/>
              <x v="60"/>
              <x v="63"/>
              <x v="67"/>
              <x v="78"/>
              <x v="80"/>
              <x v="89"/>
              <x v="90"/>
              <x v="91"/>
              <x v="96"/>
              <x v="98"/>
              <x v="99"/>
              <x v="103"/>
              <x v="107"/>
              <x v="108"/>
              <x v="109"/>
            </reference>
            <reference field="3" count="1" selected="0">
              <x v="3"/>
            </reference>
            <reference field="5" count="1" selected="0">
              <x v="18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0"/>
            </reference>
          </references>
        </pivotArea>
      </pivotAreas>
    </conditionalFormat>
  </conditionalFormats>
  <pivotTableStyleInfo name="PivotStyleLight19" showRowHeaders="1" showColHeaders="1" showRowStripes="1" showColStripes="0" showLastColumn="1"/>
  <filters count="1">
    <filter fld="3" type="dateBetween" evalOrder="-1" id="66">
      <autoFilter ref="A1">
        <filterColumn colId="0">
          <customFilters and="1">
            <customFilter operator="greaterThanOrEqual" val="43405"/>
            <customFilter operator="lessThanOrEqual" val="4419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D2073-B2BD-4683-81C6-66286FFD65FC}" name="PivotTable3" cacheId="5" applyNumberFormats="0" applyBorderFormats="0" applyFontFormats="0" applyPatternFormats="0" applyAlignmentFormats="0" applyWidthHeightFormats="1" dataCaption="Values" updatedVersion="6" minRefreshableVersion="3" showDrill="0" colGrandTotals="0" itemPrintTitles="1" createdVersion="6" indent="0" showHeaders="0" outline="1" outlineData="1" multipleFieldFilters="0">
  <location ref="A59:R61" firstHeaderRow="0" firstDataRow="2" firstDataCol="1" rowPageCount="1" colPageCount="1"/>
  <pivotFields count="6">
    <pivotField showAll="0"/>
    <pivotField axis="axisPage" multipleItemSelectionAllowed="1" showAll="0">
      <items count="6">
        <item h="1" x="0"/>
        <item x="1"/>
        <item h="1" x="2"/>
        <item h="1" x="3"/>
        <item h="1" x="4"/>
        <item t="default"/>
      </items>
    </pivotField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showAll="0" defaultSubtotal="0">
      <items count="102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</items>
    </pivotField>
  </pivotFields>
  <rowItems count="1">
    <i/>
  </rowItems>
  <colFields count="2">
    <field x="5"/>
    <field x="3"/>
  </colFields>
  <colItems count="17">
    <i>
      <x v="18"/>
      <x v="11"/>
    </i>
    <i r="1">
      <x v="12"/>
    </i>
    <i>
      <x v="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0"/>
      <x v="1"/>
    </i>
    <i r="1">
      <x v="2"/>
    </i>
    <i r="1">
      <x v="3"/>
    </i>
  </colItems>
  <pageFields count="1">
    <pageField fld="1" hier="-1"/>
  </pageFields>
  <dataFields count="1">
    <dataField name="Count of Paid" fld="4" subtotal="count" baseField="0" baseItem="2"/>
  </dataFields>
  <formats count="3">
    <format dxfId="1244">
      <pivotArea outline="0" collapsedLevelsAreSubtotals="1" fieldPosition="0"/>
    </format>
    <format dxfId="1243">
      <pivotArea dataOnly="0" labelOnly="1" outline="0" fieldPosition="0">
        <references count="1">
          <reference field="1" count="0"/>
        </references>
      </pivotArea>
    </format>
    <format dxfId="1242">
      <pivotArea dataOnly="0" labelOnly="1" fieldPosition="0">
        <references count="1">
          <reference field="5" count="2">
            <x v="17"/>
            <x v="18"/>
          </reference>
        </references>
      </pivotArea>
    </format>
  </formats>
  <pivotTableStyleInfo name="PivotStyleLight16" showRowHeaders="1" showColHeaders="1" showRowStripes="0" showColStripes="0" showLastColumn="1"/>
  <filters count="1">
    <filter fld="3" type="dateNewerThan" evalOrder="-1" id="100">
      <autoFilter ref="A1">
        <filterColumn colId="0">
          <customFilters>
            <customFilter operator="greaterThan" val="4340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6F42BFC-9526-424D-A4A2-72FEF0DF1D61}" autoFormatId="16" applyNumberFormats="0" applyBorderFormats="0" applyFontFormats="0" applyPatternFormats="0" applyAlignmentFormats="0" applyWidthHeightFormats="0">
  <queryTableRefresh nextId="5">
    <queryTableFields count="3">
      <queryTableField id="1" name="Name" tableColumnId="1"/>
      <queryTableField id="2" name="Paid" tableColumnId="2"/>
      <queryTableField id="4" name="Paid Thru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CD7C1-D805-49D1-ADED-913C41193456}" name="Memberlist" displayName="Memberlist" ref="O4:Q28" tableType="queryTable" totalsRowShown="0" headerRowDxfId="1153" dataDxfId="1152">
  <tableColumns count="3">
    <tableColumn id="1" xr3:uid="{51163C11-CB3A-4297-96C8-79DE5410DC27}" uniqueName="1" name="Name" queryTableFieldId="1" dataDxfId="1151"/>
    <tableColumn id="2" xr3:uid="{5CA3BDDD-7ADE-4BFC-AFF6-0BF6607E541D}" uniqueName="2" name="Paid" queryTableFieldId="2" dataDxfId="1150"/>
    <tableColumn id="3" xr3:uid="{80C1ED42-82D2-46D4-9775-FC12A2FC2442}" uniqueName="3" name="Paid Thru" queryTableFieldId="4" dataDxfId="114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5921" dT="2019-03-18T14:05:38.31" personId="{39DA3125-DD15-42FD-84FF-095A683381A1}" id="{FCB8D291-76AF-4D9F-9149-024F297E18C6}">
    <text>Comp'd Cary White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sernasa@sfwmd.gov" TargetMode="External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O6190"/>
  <sheetViews>
    <sheetView topLeftCell="A6118" zoomScale="85" zoomScaleNormal="85" workbookViewId="0">
      <selection activeCell="G6139" sqref="G6139"/>
    </sheetView>
  </sheetViews>
  <sheetFormatPr defaultRowHeight="15" x14ac:dyDescent="0.25"/>
  <cols>
    <col min="1" max="1" width="22.7109375" bestFit="1" customWidth="1"/>
    <col min="2" max="2" width="22.7109375" style="11" customWidth="1"/>
    <col min="3" max="3" width="8.85546875" customWidth="1"/>
    <col min="4" max="4" width="13.28515625" customWidth="1"/>
    <col min="6" max="15" width="12.85546875" style="11" customWidth="1"/>
  </cols>
  <sheetData>
    <row r="1" spans="1:15" s="39" customFormat="1" x14ac:dyDescent="0.25">
      <c r="A1" s="39" t="s">
        <v>9</v>
      </c>
      <c r="B1" s="40" t="s">
        <v>116</v>
      </c>
      <c r="C1" s="39" t="s">
        <v>118</v>
      </c>
      <c r="D1" s="39" t="s">
        <v>110</v>
      </c>
      <c r="E1" s="39" t="s">
        <v>111</v>
      </c>
      <c r="F1" s="41" t="s">
        <v>150</v>
      </c>
      <c r="G1" s="41" t="s">
        <v>151</v>
      </c>
      <c r="H1" s="41" t="s">
        <v>152</v>
      </c>
      <c r="I1" s="41" t="s">
        <v>153</v>
      </c>
      <c r="J1" s="41" t="s">
        <v>154</v>
      </c>
      <c r="K1" s="42">
        <v>1</v>
      </c>
      <c r="L1" s="42">
        <v>0.25</v>
      </c>
      <c r="M1" s="42">
        <v>0.1</v>
      </c>
      <c r="N1" s="42">
        <v>0.05</v>
      </c>
      <c r="O1" s="42">
        <v>0.01</v>
      </c>
    </row>
    <row r="2" spans="1:15" hidden="1" x14ac:dyDescent="0.25">
      <c r="A2" t="s">
        <v>100</v>
      </c>
      <c r="B2" t="s">
        <v>117</v>
      </c>
      <c r="C2" t="b">
        <v>0</v>
      </c>
      <c r="D2" s="1">
        <v>36892</v>
      </c>
      <c r="E2" s="2">
        <v>-107.11</v>
      </c>
      <c r="F2"/>
      <c r="G2"/>
      <c r="H2"/>
      <c r="I2"/>
      <c r="J2"/>
      <c r="K2"/>
      <c r="L2"/>
      <c r="M2"/>
      <c r="N2"/>
      <c r="O2"/>
    </row>
    <row r="3" spans="1:15" hidden="1" x14ac:dyDescent="0.25">
      <c r="A3" t="s">
        <v>102</v>
      </c>
      <c r="B3" t="s">
        <v>117</v>
      </c>
      <c r="C3" t="b">
        <v>0</v>
      </c>
      <c r="D3" s="1">
        <v>36892</v>
      </c>
      <c r="E3" s="2">
        <v>-32.4</v>
      </c>
      <c r="F3"/>
      <c r="G3"/>
      <c r="H3"/>
      <c r="I3"/>
      <c r="J3"/>
      <c r="K3"/>
      <c r="L3"/>
      <c r="M3"/>
      <c r="N3"/>
      <c r="O3"/>
    </row>
    <row r="4" spans="1:15" hidden="1" x14ac:dyDescent="0.25">
      <c r="A4" t="s">
        <v>13</v>
      </c>
      <c r="B4" t="s">
        <v>115</v>
      </c>
      <c r="C4" t="b">
        <v>0</v>
      </c>
      <c r="D4" s="1">
        <v>36892</v>
      </c>
      <c r="E4">
        <v>4</v>
      </c>
      <c r="F4"/>
      <c r="G4"/>
      <c r="H4"/>
      <c r="I4"/>
      <c r="J4"/>
      <c r="K4"/>
      <c r="L4"/>
      <c r="M4"/>
      <c r="N4"/>
      <c r="O4"/>
    </row>
    <row r="5" spans="1:15" hidden="1" x14ac:dyDescent="0.25">
      <c r="A5" t="s">
        <v>14</v>
      </c>
      <c r="B5" t="s">
        <v>115</v>
      </c>
      <c r="C5" t="b">
        <v>0</v>
      </c>
      <c r="D5" s="1">
        <v>36892</v>
      </c>
      <c r="E5">
        <v>2</v>
      </c>
      <c r="F5"/>
      <c r="G5"/>
      <c r="H5"/>
      <c r="I5"/>
      <c r="J5"/>
      <c r="K5"/>
      <c r="L5"/>
      <c r="M5"/>
      <c r="N5"/>
      <c r="O5"/>
    </row>
    <row r="6" spans="1:15" hidden="1" x14ac:dyDescent="0.25">
      <c r="A6" t="s">
        <v>16</v>
      </c>
      <c r="B6" t="s">
        <v>115</v>
      </c>
      <c r="C6" t="b">
        <v>0</v>
      </c>
      <c r="D6" s="1">
        <v>36892</v>
      </c>
      <c r="E6">
        <v>2</v>
      </c>
      <c r="F6"/>
      <c r="G6"/>
      <c r="H6"/>
      <c r="I6"/>
      <c r="J6"/>
      <c r="K6"/>
      <c r="L6"/>
      <c r="M6"/>
      <c r="N6"/>
      <c r="O6"/>
    </row>
    <row r="7" spans="1:15" hidden="1" x14ac:dyDescent="0.25">
      <c r="A7" t="s">
        <v>106</v>
      </c>
      <c r="B7" t="s">
        <v>115</v>
      </c>
      <c r="C7" t="b">
        <v>0</v>
      </c>
      <c r="D7" s="1">
        <v>36892</v>
      </c>
      <c r="E7">
        <v>2</v>
      </c>
      <c r="F7"/>
      <c r="G7"/>
      <c r="H7"/>
      <c r="I7"/>
      <c r="J7"/>
      <c r="K7"/>
      <c r="L7"/>
      <c r="M7"/>
      <c r="N7"/>
      <c r="O7"/>
    </row>
    <row r="8" spans="1:15" hidden="1" x14ac:dyDescent="0.25">
      <c r="A8" t="s">
        <v>106</v>
      </c>
      <c r="B8" t="s">
        <v>115</v>
      </c>
      <c r="C8" t="b">
        <v>0</v>
      </c>
      <c r="D8" s="1">
        <v>36892</v>
      </c>
      <c r="E8">
        <v>2</v>
      </c>
      <c r="F8"/>
      <c r="G8"/>
      <c r="H8"/>
      <c r="I8"/>
      <c r="J8"/>
      <c r="K8"/>
      <c r="L8"/>
      <c r="M8"/>
      <c r="N8"/>
      <c r="O8"/>
    </row>
    <row r="9" spans="1:15" hidden="1" x14ac:dyDescent="0.25">
      <c r="A9" t="s">
        <v>106</v>
      </c>
      <c r="B9" t="s">
        <v>115</v>
      </c>
      <c r="C9" t="b">
        <v>0</v>
      </c>
      <c r="D9" s="1">
        <v>36892</v>
      </c>
      <c r="E9">
        <v>2</v>
      </c>
      <c r="F9"/>
      <c r="G9"/>
      <c r="H9"/>
      <c r="I9"/>
      <c r="J9"/>
      <c r="K9"/>
      <c r="L9"/>
      <c r="M9"/>
      <c r="N9"/>
      <c r="O9"/>
    </row>
    <row r="10" spans="1:15" hidden="1" x14ac:dyDescent="0.25">
      <c r="A10" t="s">
        <v>106</v>
      </c>
      <c r="B10" t="s">
        <v>115</v>
      </c>
      <c r="C10" t="b">
        <v>0</v>
      </c>
      <c r="D10" s="1">
        <v>36892</v>
      </c>
      <c r="E10">
        <v>2</v>
      </c>
      <c r="F10"/>
      <c r="G10"/>
      <c r="H10"/>
      <c r="I10"/>
      <c r="J10"/>
      <c r="K10"/>
      <c r="L10"/>
      <c r="M10"/>
      <c r="N10"/>
      <c r="O10"/>
    </row>
    <row r="11" spans="1:15" hidden="1" x14ac:dyDescent="0.25">
      <c r="A11" t="s">
        <v>106</v>
      </c>
      <c r="B11" t="s">
        <v>115</v>
      </c>
      <c r="C11" t="b">
        <v>0</v>
      </c>
      <c r="D11" s="1">
        <v>36892</v>
      </c>
      <c r="E11">
        <v>8</v>
      </c>
      <c r="F11"/>
      <c r="G11"/>
      <c r="H11"/>
      <c r="I11"/>
      <c r="J11"/>
      <c r="K11"/>
      <c r="L11"/>
      <c r="M11"/>
      <c r="N11"/>
      <c r="O11"/>
    </row>
    <row r="12" spans="1:15" hidden="1" x14ac:dyDescent="0.25">
      <c r="A12" t="s">
        <v>106</v>
      </c>
      <c r="B12" t="s">
        <v>115</v>
      </c>
      <c r="C12" t="b">
        <v>0</v>
      </c>
      <c r="D12" s="1">
        <v>36892</v>
      </c>
      <c r="E12">
        <v>2</v>
      </c>
      <c r="F12"/>
      <c r="G12"/>
      <c r="H12"/>
      <c r="I12"/>
      <c r="J12"/>
      <c r="K12"/>
      <c r="L12"/>
      <c r="M12"/>
      <c r="N12"/>
      <c r="O12"/>
    </row>
    <row r="13" spans="1:15" hidden="1" x14ac:dyDescent="0.25">
      <c r="A13" t="s">
        <v>106</v>
      </c>
      <c r="B13" t="s">
        <v>115</v>
      </c>
      <c r="C13" t="b">
        <v>0</v>
      </c>
      <c r="D13" s="1">
        <v>36892</v>
      </c>
      <c r="E13">
        <v>2</v>
      </c>
      <c r="F13"/>
      <c r="G13"/>
      <c r="H13"/>
      <c r="I13"/>
      <c r="J13"/>
      <c r="K13"/>
      <c r="L13"/>
      <c r="M13"/>
      <c r="N13"/>
      <c r="O13"/>
    </row>
    <row r="14" spans="1:15" hidden="1" x14ac:dyDescent="0.25">
      <c r="A14" t="s">
        <v>106</v>
      </c>
      <c r="B14" t="s">
        <v>115</v>
      </c>
      <c r="C14" t="b">
        <v>0</v>
      </c>
      <c r="D14" s="1">
        <v>36892</v>
      </c>
      <c r="E14">
        <v>2</v>
      </c>
      <c r="F14"/>
      <c r="G14"/>
      <c r="H14"/>
      <c r="I14"/>
      <c r="J14"/>
      <c r="K14"/>
      <c r="L14"/>
      <c r="M14"/>
      <c r="N14"/>
      <c r="O14"/>
    </row>
    <row r="15" spans="1:15" hidden="1" x14ac:dyDescent="0.25">
      <c r="A15" t="s">
        <v>106</v>
      </c>
      <c r="B15" t="s">
        <v>115</v>
      </c>
      <c r="C15" t="b">
        <v>0</v>
      </c>
      <c r="D15" s="1">
        <v>36892</v>
      </c>
      <c r="E15">
        <v>2</v>
      </c>
      <c r="F15"/>
      <c r="G15"/>
      <c r="H15"/>
      <c r="I15"/>
      <c r="J15"/>
      <c r="K15"/>
      <c r="L15"/>
      <c r="M15"/>
      <c r="N15"/>
      <c r="O15"/>
    </row>
    <row r="16" spans="1:15" hidden="1" x14ac:dyDescent="0.25">
      <c r="A16" t="s">
        <v>106</v>
      </c>
      <c r="B16" t="s">
        <v>115</v>
      </c>
      <c r="C16" t="b">
        <v>0</v>
      </c>
      <c r="D16" s="1">
        <v>36892</v>
      </c>
      <c r="E16">
        <v>2</v>
      </c>
      <c r="F16"/>
      <c r="G16"/>
      <c r="H16"/>
      <c r="I16"/>
      <c r="J16"/>
      <c r="K16"/>
      <c r="L16"/>
      <c r="M16"/>
      <c r="N16"/>
      <c r="O16"/>
    </row>
    <row r="17" spans="1:15" hidden="1" x14ac:dyDescent="0.25">
      <c r="A17" t="s">
        <v>106</v>
      </c>
      <c r="B17" t="s">
        <v>115</v>
      </c>
      <c r="C17" t="b">
        <v>0</v>
      </c>
      <c r="D17" s="1">
        <v>36892</v>
      </c>
      <c r="E17">
        <v>2</v>
      </c>
      <c r="F17"/>
      <c r="G17"/>
      <c r="H17"/>
      <c r="I17"/>
      <c r="J17"/>
      <c r="K17"/>
      <c r="L17"/>
      <c r="M17"/>
      <c r="N17"/>
      <c r="O17"/>
    </row>
    <row r="18" spans="1:15" hidden="1" x14ac:dyDescent="0.25">
      <c r="A18" t="s">
        <v>106</v>
      </c>
      <c r="B18" t="s">
        <v>115</v>
      </c>
      <c r="C18" t="b">
        <v>0</v>
      </c>
      <c r="D18" s="1">
        <v>36892</v>
      </c>
      <c r="E18">
        <v>2</v>
      </c>
      <c r="F18"/>
      <c r="G18"/>
      <c r="H18"/>
      <c r="I18"/>
      <c r="J18"/>
      <c r="K18"/>
      <c r="L18"/>
      <c r="M18"/>
      <c r="N18"/>
      <c r="O18"/>
    </row>
    <row r="19" spans="1:15" hidden="1" x14ac:dyDescent="0.25">
      <c r="A19" t="s">
        <v>106</v>
      </c>
      <c r="B19" t="s">
        <v>115</v>
      </c>
      <c r="C19" t="b">
        <v>0</v>
      </c>
      <c r="D19" s="1">
        <v>36892</v>
      </c>
      <c r="E19">
        <v>2</v>
      </c>
      <c r="F19"/>
      <c r="G19"/>
      <c r="H19"/>
      <c r="I19"/>
      <c r="J19"/>
      <c r="K19"/>
      <c r="L19"/>
      <c r="M19"/>
      <c r="N19"/>
      <c r="O19"/>
    </row>
    <row r="20" spans="1:15" hidden="1" x14ac:dyDescent="0.25">
      <c r="A20" t="s">
        <v>106</v>
      </c>
      <c r="B20" t="s">
        <v>115</v>
      </c>
      <c r="C20" t="b">
        <v>0</v>
      </c>
      <c r="D20" s="1">
        <v>36892</v>
      </c>
      <c r="E20">
        <v>2</v>
      </c>
      <c r="F20"/>
      <c r="G20"/>
      <c r="H20"/>
      <c r="I20"/>
      <c r="J20"/>
      <c r="K20"/>
      <c r="L20"/>
      <c r="M20"/>
      <c r="N20"/>
      <c r="O20"/>
    </row>
    <row r="21" spans="1:15" hidden="1" x14ac:dyDescent="0.25">
      <c r="A21" t="s">
        <v>106</v>
      </c>
      <c r="B21" t="s">
        <v>115</v>
      </c>
      <c r="C21" t="b">
        <v>0</v>
      </c>
      <c r="D21" s="1">
        <v>36892</v>
      </c>
      <c r="E21">
        <v>2</v>
      </c>
      <c r="F21"/>
      <c r="G21"/>
      <c r="H21"/>
      <c r="I21"/>
      <c r="J21"/>
      <c r="K21"/>
      <c r="L21"/>
      <c r="M21"/>
      <c r="N21"/>
      <c r="O21"/>
    </row>
    <row r="22" spans="1:15" hidden="1" x14ac:dyDescent="0.25">
      <c r="A22" t="s">
        <v>106</v>
      </c>
      <c r="B22" t="s">
        <v>115</v>
      </c>
      <c r="C22" t="b">
        <v>0</v>
      </c>
      <c r="D22" s="1">
        <v>36892</v>
      </c>
      <c r="E22">
        <v>6</v>
      </c>
      <c r="F22"/>
      <c r="G22"/>
      <c r="H22"/>
      <c r="I22"/>
      <c r="J22"/>
      <c r="K22"/>
      <c r="L22"/>
      <c r="M22"/>
      <c r="N22"/>
      <c r="O22"/>
    </row>
    <row r="23" spans="1:15" hidden="1" x14ac:dyDescent="0.25">
      <c r="A23" t="s">
        <v>106</v>
      </c>
      <c r="B23" t="s">
        <v>115</v>
      </c>
      <c r="C23" t="b">
        <v>0</v>
      </c>
      <c r="D23" s="1">
        <v>36892</v>
      </c>
      <c r="E23">
        <v>2</v>
      </c>
      <c r="F23"/>
      <c r="G23"/>
      <c r="H23"/>
      <c r="I23"/>
      <c r="J23"/>
      <c r="K23"/>
      <c r="L23"/>
      <c r="M23"/>
      <c r="N23"/>
      <c r="O23"/>
    </row>
    <row r="24" spans="1:15" hidden="1" x14ac:dyDescent="0.25">
      <c r="A24" t="s">
        <v>106</v>
      </c>
      <c r="B24" t="s">
        <v>115</v>
      </c>
      <c r="C24" t="b">
        <v>0</v>
      </c>
      <c r="D24" s="1">
        <v>36892</v>
      </c>
      <c r="E24">
        <v>2</v>
      </c>
      <c r="F24"/>
      <c r="G24"/>
      <c r="H24"/>
      <c r="I24"/>
      <c r="J24"/>
      <c r="K24"/>
      <c r="L24"/>
      <c r="M24"/>
      <c r="N24"/>
      <c r="O24"/>
    </row>
    <row r="25" spans="1:15" hidden="1" x14ac:dyDescent="0.25">
      <c r="A25" t="s">
        <v>106</v>
      </c>
      <c r="B25" t="s">
        <v>115</v>
      </c>
      <c r="C25" t="b">
        <v>0</v>
      </c>
      <c r="D25" s="1">
        <v>36892</v>
      </c>
      <c r="E25">
        <v>2</v>
      </c>
      <c r="F25"/>
      <c r="G25"/>
      <c r="H25"/>
      <c r="I25"/>
      <c r="J25"/>
      <c r="K25"/>
      <c r="L25"/>
      <c r="M25"/>
      <c r="N25"/>
      <c r="O25"/>
    </row>
    <row r="26" spans="1:15" hidden="1" x14ac:dyDescent="0.25">
      <c r="A26" t="s">
        <v>106</v>
      </c>
      <c r="B26" t="s">
        <v>115</v>
      </c>
      <c r="C26" t="b">
        <v>0</v>
      </c>
      <c r="D26" s="1">
        <v>36892</v>
      </c>
      <c r="E26">
        <v>2</v>
      </c>
      <c r="F26"/>
      <c r="G26"/>
      <c r="H26"/>
      <c r="I26"/>
      <c r="J26"/>
      <c r="K26"/>
      <c r="L26"/>
      <c r="M26"/>
      <c r="N26"/>
      <c r="O26"/>
    </row>
    <row r="27" spans="1:15" hidden="1" x14ac:dyDescent="0.25">
      <c r="A27" t="s">
        <v>106</v>
      </c>
      <c r="B27" t="s">
        <v>115</v>
      </c>
      <c r="C27" t="b">
        <v>0</v>
      </c>
      <c r="D27" s="1">
        <v>36892</v>
      </c>
      <c r="E27">
        <v>6</v>
      </c>
      <c r="F27"/>
      <c r="G27"/>
      <c r="H27"/>
      <c r="I27"/>
      <c r="J27"/>
      <c r="K27"/>
      <c r="L27"/>
      <c r="M27"/>
      <c r="N27"/>
      <c r="O27"/>
    </row>
    <row r="28" spans="1:15" hidden="1" x14ac:dyDescent="0.25">
      <c r="A28" t="s">
        <v>106</v>
      </c>
      <c r="B28" t="s">
        <v>115</v>
      </c>
      <c r="C28" t="b">
        <v>0</v>
      </c>
      <c r="D28" s="1">
        <v>36892</v>
      </c>
      <c r="E28">
        <v>2</v>
      </c>
      <c r="F28"/>
      <c r="G28"/>
      <c r="H28"/>
      <c r="I28"/>
      <c r="J28"/>
      <c r="K28"/>
      <c r="L28"/>
      <c r="M28"/>
      <c r="N28"/>
      <c r="O28"/>
    </row>
    <row r="29" spans="1:15" hidden="1" x14ac:dyDescent="0.25">
      <c r="A29" t="s">
        <v>106</v>
      </c>
      <c r="B29" t="s">
        <v>115</v>
      </c>
      <c r="C29" t="b">
        <v>0</v>
      </c>
      <c r="D29" s="1">
        <v>36892</v>
      </c>
      <c r="E29">
        <v>2</v>
      </c>
      <c r="F29"/>
      <c r="G29"/>
      <c r="H29"/>
      <c r="I29"/>
      <c r="J29"/>
      <c r="K29"/>
      <c r="L29"/>
      <c r="M29"/>
      <c r="N29"/>
      <c r="O29"/>
    </row>
    <row r="30" spans="1:15" hidden="1" x14ac:dyDescent="0.25">
      <c r="A30" t="s">
        <v>106</v>
      </c>
      <c r="B30" t="s">
        <v>115</v>
      </c>
      <c r="C30" t="b">
        <v>0</v>
      </c>
      <c r="D30" s="1">
        <v>36892</v>
      </c>
      <c r="E30">
        <v>2</v>
      </c>
      <c r="F30"/>
      <c r="G30"/>
      <c r="H30"/>
      <c r="I30"/>
      <c r="J30"/>
      <c r="K30"/>
      <c r="L30"/>
      <c r="M30"/>
      <c r="N30"/>
      <c r="O30"/>
    </row>
    <row r="31" spans="1:15" hidden="1" x14ac:dyDescent="0.25">
      <c r="A31" t="s">
        <v>17</v>
      </c>
      <c r="B31" t="s">
        <v>115</v>
      </c>
      <c r="C31" t="b">
        <v>0</v>
      </c>
      <c r="D31" s="1">
        <v>36892</v>
      </c>
      <c r="E31">
        <v>2</v>
      </c>
      <c r="F31"/>
      <c r="G31"/>
      <c r="H31"/>
      <c r="I31"/>
      <c r="J31"/>
      <c r="K31"/>
      <c r="L31"/>
      <c r="M31"/>
      <c r="N31"/>
      <c r="O31"/>
    </row>
    <row r="32" spans="1:15" hidden="1" x14ac:dyDescent="0.25">
      <c r="A32" t="s">
        <v>30</v>
      </c>
      <c r="B32" t="s">
        <v>115</v>
      </c>
      <c r="C32" t="b">
        <v>0</v>
      </c>
      <c r="D32" s="1">
        <v>36892</v>
      </c>
      <c r="E32">
        <v>2</v>
      </c>
      <c r="F32"/>
      <c r="G32"/>
      <c r="H32"/>
      <c r="I32"/>
      <c r="J32"/>
      <c r="K32"/>
      <c r="L32"/>
      <c r="M32"/>
      <c r="N32"/>
      <c r="O32"/>
    </row>
    <row r="33" spans="1:15" hidden="1" x14ac:dyDescent="0.25">
      <c r="A33" t="s">
        <v>39</v>
      </c>
      <c r="B33" t="s">
        <v>115</v>
      </c>
      <c r="C33" t="b">
        <v>0</v>
      </c>
      <c r="D33" s="1">
        <v>36892</v>
      </c>
      <c r="E33">
        <v>1</v>
      </c>
      <c r="F33"/>
      <c r="G33"/>
      <c r="H33"/>
      <c r="I33"/>
      <c r="J33"/>
      <c r="K33"/>
      <c r="L33"/>
      <c r="M33"/>
      <c r="N33"/>
      <c r="O33"/>
    </row>
    <row r="34" spans="1:15" hidden="1" x14ac:dyDescent="0.25">
      <c r="A34" t="s">
        <v>57</v>
      </c>
      <c r="B34" t="s">
        <v>115</v>
      </c>
      <c r="C34" t="b">
        <v>0</v>
      </c>
      <c r="D34" s="1">
        <v>36892</v>
      </c>
      <c r="E34">
        <v>2</v>
      </c>
      <c r="F34"/>
      <c r="G34"/>
      <c r="H34"/>
      <c r="I34"/>
      <c r="J34"/>
      <c r="K34"/>
      <c r="L34"/>
      <c r="M34"/>
      <c r="N34"/>
      <c r="O34"/>
    </row>
    <row r="35" spans="1:15" hidden="1" x14ac:dyDescent="0.25">
      <c r="A35" t="s">
        <v>100</v>
      </c>
      <c r="B35" t="s">
        <v>117</v>
      </c>
      <c r="C35" t="b">
        <v>0</v>
      </c>
      <c r="D35" s="1">
        <v>36923</v>
      </c>
      <c r="E35" s="2">
        <v>-60</v>
      </c>
      <c r="F35"/>
      <c r="G35"/>
      <c r="H35"/>
      <c r="I35"/>
      <c r="J35"/>
      <c r="K35"/>
      <c r="L35"/>
      <c r="M35"/>
      <c r="N35"/>
      <c r="O35"/>
    </row>
    <row r="36" spans="1:15" hidden="1" x14ac:dyDescent="0.25">
      <c r="A36" t="s">
        <v>102</v>
      </c>
      <c r="B36" t="s">
        <v>117</v>
      </c>
      <c r="C36" t="b">
        <v>0</v>
      </c>
      <c r="D36" s="1">
        <v>36923</v>
      </c>
      <c r="E36" s="2">
        <v>-67.73</v>
      </c>
      <c r="F36"/>
      <c r="G36"/>
      <c r="H36"/>
      <c r="I36"/>
      <c r="J36"/>
      <c r="K36"/>
      <c r="L36"/>
      <c r="M36"/>
      <c r="N36"/>
      <c r="O36"/>
    </row>
    <row r="37" spans="1:15" hidden="1" x14ac:dyDescent="0.25">
      <c r="A37" t="s">
        <v>13</v>
      </c>
      <c r="B37" t="s">
        <v>115</v>
      </c>
      <c r="C37" t="b">
        <v>0</v>
      </c>
      <c r="D37" s="1">
        <v>36923</v>
      </c>
      <c r="E37">
        <v>2</v>
      </c>
      <c r="F37"/>
      <c r="G37"/>
      <c r="H37"/>
      <c r="I37"/>
      <c r="J37"/>
      <c r="K37"/>
      <c r="L37"/>
      <c r="M37"/>
      <c r="N37"/>
      <c r="O37"/>
    </row>
    <row r="38" spans="1:15" hidden="1" x14ac:dyDescent="0.25">
      <c r="A38" t="s">
        <v>12</v>
      </c>
      <c r="B38" t="s">
        <v>115</v>
      </c>
      <c r="C38" t="b">
        <v>0</v>
      </c>
      <c r="D38" s="1">
        <v>36923</v>
      </c>
      <c r="E38">
        <v>6</v>
      </c>
      <c r="F38"/>
      <c r="G38"/>
      <c r="H38"/>
      <c r="I38"/>
      <c r="J38"/>
      <c r="K38"/>
      <c r="L38"/>
      <c r="M38"/>
      <c r="N38"/>
      <c r="O38"/>
    </row>
    <row r="39" spans="1:15" hidden="1" x14ac:dyDescent="0.25">
      <c r="A39" t="s">
        <v>14</v>
      </c>
      <c r="B39" t="s">
        <v>115</v>
      </c>
      <c r="C39" t="b">
        <v>0</v>
      </c>
      <c r="D39" s="1">
        <v>36923</v>
      </c>
      <c r="E39">
        <v>2</v>
      </c>
      <c r="F39"/>
      <c r="G39"/>
      <c r="H39"/>
      <c r="I39"/>
      <c r="J39"/>
      <c r="K39"/>
      <c r="L39"/>
      <c r="M39"/>
      <c r="N39"/>
      <c r="O39"/>
    </row>
    <row r="40" spans="1:15" hidden="1" x14ac:dyDescent="0.25">
      <c r="A40" t="s">
        <v>15</v>
      </c>
      <c r="B40" t="s">
        <v>115</v>
      </c>
      <c r="C40" t="b">
        <v>0</v>
      </c>
      <c r="D40" s="1">
        <v>36923</v>
      </c>
      <c r="E40">
        <v>4</v>
      </c>
      <c r="F40"/>
      <c r="G40"/>
      <c r="H40"/>
      <c r="I40"/>
      <c r="J40"/>
      <c r="K40"/>
      <c r="L40"/>
      <c r="M40"/>
      <c r="N40"/>
      <c r="O40"/>
    </row>
    <row r="41" spans="1:15" hidden="1" x14ac:dyDescent="0.25">
      <c r="A41" t="s">
        <v>16</v>
      </c>
      <c r="B41" t="s">
        <v>115</v>
      </c>
      <c r="C41" t="b">
        <v>0</v>
      </c>
      <c r="D41" s="1">
        <v>36923</v>
      </c>
      <c r="E41">
        <v>2</v>
      </c>
      <c r="F41"/>
      <c r="G41"/>
      <c r="H41"/>
      <c r="I41"/>
      <c r="J41"/>
      <c r="K41"/>
      <c r="L41"/>
      <c r="M41"/>
      <c r="N41"/>
      <c r="O41"/>
    </row>
    <row r="42" spans="1:15" hidden="1" x14ac:dyDescent="0.25">
      <c r="A42" t="s">
        <v>106</v>
      </c>
      <c r="B42" t="s">
        <v>115</v>
      </c>
      <c r="C42" t="b">
        <v>0</v>
      </c>
      <c r="D42" s="1">
        <v>36923</v>
      </c>
      <c r="E42">
        <v>2</v>
      </c>
      <c r="F42"/>
      <c r="G42"/>
      <c r="H42"/>
      <c r="I42"/>
      <c r="J42"/>
      <c r="K42"/>
      <c r="L42"/>
      <c r="M42"/>
      <c r="N42"/>
      <c r="O42"/>
    </row>
    <row r="43" spans="1:15" hidden="1" x14ac:dyDescent="0.25">
      <c r="A43" t="s">
        <v>106</v>
      </c>
      <c r="B43" t="s">
        <v>115</v>
      </c>
      <c r="C43" t="b">
        <v>0</v>
      </c>
      <c r="D43" s="1">
        <v>36923</v>
      </c>
      <c r="E43">
        <v>2</v>
      </c>
      <c r="F43"/>
      <c r="G43"/>
      <c r="H43"/>
      <c r="I43"/>
      <c r="J43"/>
      <c r="K43"/>
      <c r="L43"/>
      <c r="M43"/>
      <c r="N43"/>
      <c r="O43"/>
    </row>
    <row r="44" spans="1:15" hidden="1" x14ac:dyDescent="0.25">
      <c r="A44" t="s">
        <v>106</v>
      </c>
      <c r="B44" t="s">
        <v>115</v>
      </c>
      <c r="C44" t="b">
        <v>0</v>
      </c>
      <c r="D44" s="1">
        <v>36923</v>
      </c>
      <c r="E44">
        <v>2</v>
      </c>
      <c r="F44"/>
      <c r="G44"/>
      <c r="H44"/>
      <c r="I44"/>
      <c r="J44"/>
      <c r="K44"/>
      <c r="L44"/>
      <c r="M44"/>
      <c r="N44"/>
      <c r="O44"/>
    </row>
    <row r="45" spans="1:15" hidden="1" x14ac:dyDescent="0.25">
      <c r="A45" t="s">
        <v>106</v>
      </c>
      <c r="B45" t="s">
        <v>115</v>
      </c>
      <c r="C45" t="b">
        <v>0</v>
      </c>
      <c r="D45" s="1">
        <v>36923</v>
      </c>
      <c r="E45">
        <v>2</v>
      </c>
      <c r="F45"/>
      <c r="G45"/>
      <c r="H45"/>
      <c r="I45"/>
      <c r="J45"/>
      <c r="K45"/>
      <c r="L45"/>
      <c r="M45"/>
      <c r="N45"/>
      <c r="O45"/>
    </row>
    <row r="46" spans="1:15" hidden="1" x14ac:dyDescent="0.25">
      <c r="A46" t="s">
        <v>106</v>
      </c>
      <c r="B46" t="s">
        <v>115</v>
      </c>
      <c r="C46" t="b">
        <v>0</v>
      </c>
      <c r="D46" s="1">
        <v>36923</v>
      </c>
      <c r="E46">
        <v>2</v>
      </c>
      <c r="F46"/>
      <c r="G46"/>
      <c r="H46"/>
      <c r="I46"/>
      <c r="J46"/>
      <c r="K46"/>
      <c r="L46"/>
      <c r="M46"/>
      <c r="N46"/>
      <c r="O46"/>
    </row>
    <row r="47" spans="1:15" hidden="1" x14ac:dyDescent="0.25">
      <c r="A47" t="s">
        <v>106</v>
      </c>
      <c r="B47" t="s">
        <v>115</v>
      </c>
      <c r="C47" t="b">
        <v>0</v>
      </c>
      <c r="D47" s="1">
        <v>36923</v>
      </c>
      <c r="E47">
        <v>2</v>
      </c>
      <c r="F47"/>
      <c r="G47"/>
      <c r="H47"/>
      <c r="I47"/>
      <c r="J47"/>
      <c r="K47"/>
      <c r="L47"/>
      <c r="M47"/>
      <c r="N47"/>
      <c r="O47"/>
    </row>
    <row r="48" spans="1:15" hidden="1" x14ac:dyDescent="0.25">
      <c r="A48" t="s">
        <v>106</v>
      </c>
      <c r="B48" t="s">
        <v>115</v>
      </c>
      <c r="C48" t="b">
        <v>0</v>
      </c>
      <c r="D48" s="1">
        <v>36923</v>
      </c>
      <c r="E48">
        <v>4</v>
      </c>
      <c r="F48"/>
      <c r="G48"/>
      <c r="H48"/>
      <c r="I48"/>
      <c r="J48"/>
      <c r="K48"/>
      <c r="L48"/>
      <c r="M48"/>
      <c r="N48"/>
      <c r="O48"/>
    </row>
    <row r="49" spans="1:15" hidden="1" x14ac:dyDescent="0.25">
      <c r="A49" t="s">
        <v>106</v>
      </c>
      <c r="B49" t="s">
        <v>115</v>
      </c>
      <c r="C49" t="b">
        <v>0</v>
      </c>
      <c r="D49" s="1">
        <v>36923</v>
      </c>
      <c r="E49">
        <v>2</v>
      </c>
      <c r="F49"/>
      <c r="G49"/>
      <c r="H49"/>
      <c r="I49"/>
      <c r="J49"/>
      <c r="K49"/>
      <c r="L49"/>
      <c r="M49"/>
      <c r="N49"/>
      <c r="O49"/>
    </row>
    <row r="50" spans="1:15" hidden="1" x14ac:dyDescent="0.25">
      <c r="A50" t="s">
        <v>106</v>
      </c>
      <c r="B50" t="s">
        <v>115</v>
      </c>
      <c r="C50" t="b">
        <v>0</v>
      </c>
      <c r="D50" s="1">
        <v>36923</v>
      </c>
      <c r="E50">
        <v>2</v>
      </c>
      <c r="F50"/>
      <c r="G50"/>
      <c r="H50"/>
      <c r="I50"/>
      <c r="J50"/>
      <c r="K50"/>
      <c r="L50"/>
      <c r="M50"/>
      <c r="N50"/>
      <c r="O50"/>
    </row>
    <row r="51" spans="1:15" hidden="1" x14ac:dyDescent="0.25">
      <c r="A51" t="s">
        <v>106</v>
      </c>
      <c r="B51" t="s">
        <v>115</v>
      </c>
      <c r="C51" t="b">
        <v>0</v>
      </c>
      <c r="D51" s="1">
        <v>36923</v>
      </c>
      <c r="E51">
        <v>2</v>
      </c>
      <c r="F51"/>
      <c r="G51"/>
      <c r="H51"/>
      <c r="I51"/>
      <c r="J51"/>
      <c r="K51"/>
      <c r="L51"/>
      <c r="M51"/>
      <c r="N51"/>
      <c r="O51"/>
    </row>
    <row r="52" spans="1:15" hidden="1" x14ac:dyDescent="0.25">
      <c r="A52" t="s">
        <v>106</v>
      </c>
      <c r="B52" t="s">
        <v>115</v>
      </c>
      <c r="C52" t="b">
        <v>0</v>
      </c>
      <c r="D52" s="1">
        <v>36923</v>
      </c>
      <c r="E52">
        <v>2</v>
      </c>
      <c r="F52"/>
      <c r="G52"/>
      <c r="H52"/>
      <c r="I52"/>
      <c r="J52"/>
      <c r="K52"/>
      <c r="L52"/>
      <c r="M52"/>
      <c r="N52"/>
      <c r="O52"/>
    </row>
    <row r="53" spans="1:15" hidden="1" x14ac:dyDescent="0.25">
      <c r="A53" t="s">
        <v>106</v>
      </c>
      <c r="B53" t="s">
        <v>115</v>
      </c>
      <c r="C53" t="b">
        <v>0</v>
      </c>
      <c r="D53" s="1">
        <v>36923</v>
      </c>
      <c r="E53">
        <v>2</v>
      </c>
      <c r="F53"/>
      <c r="G53"/>
      <c r="H53"/>
      <c r="I53"/>
      <c r="J53"/>
      <c r="K53"/>
      <c r="L53"/>
      <c r="M53"/>
      <c r="N53"/>
      <c r="O53"/>
    </row>
    <row r="54" spans="1:15" hidden="1" x14ac:dyDescent="0.25">
      <c r="A54" t="s">
        <v>106</v>
      </c>
      <c r="B54" t="s">
        <v>115</v>
      </c>
      <c r="C54" t="b">
        <v>0</v>
      </c>
      <c r="D54" s="1">
        <v>36923</v>
      </c>
      <c r="E54">
        <v>2</v>
      </c>
      <c r="F54"/>
      <c r="G54"/>
      <c r="H54"/>
      <c r="I54"/>
      <c r="J54"/>
      <c r="K54"/>
      <c r="L54"/>
      <c r="M54"/>
      <c r="N54"/>
      <c r="O54"/>
    </row>
    <row r="55" spans="1:15" hidden="1" x14ac:dyDescent="0.25">
      <c r="A55" t="s">
        <v>106</v>
      </c>
      <c r="B55" t="s">
        <v>115</v>
      </c>
      <c r="C55" t="b">
        <v>0</v>
      </c>
      <c r="D55" s="1">
        <v>36923</v>
      </c>
      <c r="E55">
        <v>2</v>
      </c>
      <c r="F55"/>
      <c r="G55"/>
      <c r="H55"/>
      <c r="I55"/>
      <c r="J55"/>
      <c r="K55"/>
      <c r="L55"/>
      <c r="M55"/>
      <c r="N55"/>
      <c r="O55"/>
    </row>
    <row r="56" spans="1:15" hidden="1" x14ac:dyDescent="0.25">
      <c r="A56" t="s">
        <v>106</v>
      </c>
      <c r="B56" t="s">
        <v>115</v>
      </c>
      <c r="C56" t="b">
        <v>0</v>
      </c>
      <c r="D56" s="1">
        <v>36923</v>
      </c>
      <c r="E56">
        <v>2</v>
      </c>
      <c r="F56"/>
      <c r="G56"/>
      <c r="H56"/>
      <c r="I56"/>
      <c r="J56"/>
      <c r="K56"/>
      <c r="L56"/>
      <c r="M56"/>
      <c r="N56"/>
      <c r="O56"/>
    </row>
    <row r="57" spans="1:15" hidden="1" x14ac:dyDescent="0.25">
      <c r="A57" t="s">
        <v>106</v>
      </c>
      <c r="B57" t="s">
        <v>115</v>
      </c>
      <c r="C57" t="b">
        <v>0</v>
      </c>
      <c r="D57" s="1">
        <v>36923</v>
      </c>
      <c r="E57">
        <v>2</v>
      </c>
      <c r="F57"/>
      <c r="G57"/>
      <c r="H57"/>
      <c r="I57"/>
      <c r="J57"/>
      <c r="K57"/>
      <c r="L57"/>
      <c r="M57"/>
      <c r="N57"/>
      <c r="O57"/>
    </row>
    <row r="58" spans="1:15" hidden="1" x14ac:dyDescent="0.25">
      <c r="A58" t="s">
        <v>106</v>
      </c>
      <c r="B58" t="s">
        <v>115</v>
      </c>
      <c r="C58" t="b">
        <v>0</v>
      </c>
      <c r="D58" s="1">
        <v>36923</v>
      </c>
      <c r="E58">
        <v>2</v>
      </c>
      <c r="F58"/>
      <c r="G58"/>
      <c r="H58"/>
      <c r="I58"/>
      <c r="J58"/>
      <c r="K58"/>
      <c r="L58"/>
      <c r="M58"/>
      <c r="N58"/>
      <c r="O58"/>
    </row>
    <row r="59" spans="1:15" hidden="1" x14ac:dyDescent="0.25">
      <c r="A59" t="s">
        <v>106</v>
      </c>
      <c r="B59" t="s">
        <v>115</v>
      </c>
      <c r="C59" t="b">
        <v>0</v>
      </c>
      <c r="D59" s="1">
        <v>36923</v>
      </c>
      <c r="E59">
        <v>2</v>
      </c>
      <c r="F59"/>
      <c r="G59"/>
      <c r="H59"/>
      <c r="I59"/>
      <c r="J59"/>
      <c r="K59"/>
      <c r="L59"/>
      <c r="M59"/>
      <c r="N59"/>
      <c r="O59"/>
    </row>
    <row r="60" spans="1:15" hidden="1" x14ac:dyDescent="0.25">
      <c r="A60" t="s">
        <v>106</v>
      </c>
      <c r="B60" t="s">
        <v>115</v>
      </c>
      <c r="C60" t="b">
        <v>0</v>
      </c>
      <c r="D60" s="1">
        <v>36923</v>
      </c>
      <c r="E60">
        <v>2</v>
      </c>
      <c r="F60"/>
      <c r="G60"/>
      <c r="H60"/>
      <c r="I60"/>
      <c r="J60"/>
      <c r="K60"/>
      <c r="L60"/>
      <c r="M60"/>
      <c r="N60"/>
      <c r="O60"/>
    </row>
    <row r="61" spans="1:15" hidden="1" x14ac:dyDescent="0.25">
      <c r="A61" t="s">
        <v>106</v>
      </c>
      <c r="B61" t="s">
        <v>115</v>
      </c>
      <c r="C61" t="b">
        <v>0</v>
      </c>
      <c r="D61" s="1">
        <v>36923</v>
      </c>
      <c r="E61">
        <v>2</v>
      </c>
      <c r="F61"/>
      <c r="G61"/>
      <c r="H61"/>
      <c r="I61"/>
      <c r="J61"/>
      <c r="K61"/>
      <c r="L61"/>
      <c r="M61"/>
      <c r="N61"/>
      <c r="O61"/>
    </row>
    <row r="62" spans="1:15" hidden="1" x14ac:dyDescent="0.25">
      <c r="A62" t="s">
        <v>106</v>
      </c>
      <c r="B62" t="s">
        <v>115</v>
      </c>
      <c r="C62" t="b">
        <v>0</v>
      </c>
      <c r="D62" s="1">
        <v>36923</v>
      </c>
      <c r="E62">
        <v>2</v>
      </c>
      <c r="F62"/>
      <c r="G62"/>
      <c r="H62"/>
      <c r="I62"/>
      <c r="J62"/>
      <c r="K62"/>
      <c r="L62"/>
      <c r="M62"/>
      <c r="N62"/>
      <c r="O62"/>
    </row>
    <row r="63" spans="1:15" hidden="1" x14ac:dyDescent="0.25">
      <c r="A63" t="s">
        <v>106</v>
      </c>
      <c r="B63" t="s">
        <v>115</v>
      </c>
      <c r="C63" t="b">
        <v>0</v>
      </c>
      <c r="D63" s="1">
        <v>36923</v>
      </c>
      <c r="E63">
        <v>2</v>
      </c>
      <c r="F63"/>
      <c r="G63"/>
      <c r="H63"/>
      <c r="I63"/>
      <c r="J63"/>
      <c r="K63"/>
      <c r="L63"/>
      <c r="M63"/>
      <c r="N63"/>
      <c r="O63"/>
    </row>
    <row r="64" spans="1:15" hidden="1" x14ac:dyDescent="0.25">
      <c r="A64" t="s">
        <v>106</v>
      </c>
      <c r="B64" t="s">
        <v>115</v>
      </c>
      <c r="C64" t="b">
        <v>0</v>
      </c>
      <c r="D64" s="1">
        <v>36923</v>
      </c>
      <c r="E64">
        <v>2</v>
      </c>
      <c r="F64"/>
      <c r="G64"/>
      <c r="H64"/>
      <c r="I64"/>
      <c r="J64"/>
      <c r="K64"/>
      <c r="L64"/>
      <c r="M64"/>
      <c r="N64"/>
      <c r="O64"/>
    </row>
    <row r="65" spans="1:15" hidden="1" x14ac:dyDescent="0.25">
      <c r="A65" t="s">
        <v>106</v>
      </c>
      <c r="B65" t="s">
        <v>115</v>
      </c>
      <c r="C65" t="b">
        <v>0</v>
      </c>
      <c r="D65" s="1">
        <v>36923</v>
      </c>
      <c r="E65">
        <v>2</v>
      </c>
      <c r="F65"/>
      <c r="G65"/>
      <c r="H65"/>
      <c r="I65"/>
      <c r="J65"/>
      <c r="K65"/>
      <c r="L65"/>
      <c r="M65"/>
      <c r="N65"/>
      <c r="O65"/>
    </row>
    <row r="66" spans="1:15" hidden="1" x14ac:dyDescent="0.25">
      <c r="A66" t="s">
        <v>106</v>
      </c>
      <c r="B66" t="s">
        <v>115</v>
      </c>
      <c r="C66" t="b">
        <v>0</v>
      </c>
      <c r="D66" s="1">
        <v>36923</v>
      </c>
      <c r="E66">
        <v>2</v>
      </c>
      <c r="F66"/>
      <c r="G66"/>
      <c r="H66"/>
      <c r="I66"/>
      <c r="J66"/>
      <c r="K66"/>
      <c r="L66"/>
      <c r="M66"/>
      <c r="N66"/>
      <c r="O66"/>
    </row>
    <row r="67" spans="1:15" hidden="1" x14ac:dyDescent="0.25">
      <c r="A67" t="s">
        <v>17</v>
      </c>
      <c r="B67" t="s">
        <v>115</v>
      </c>
      <c r="C67" t="b">
        <v>0</v>
      </c>
      <c r="D67" s="1">
        <v>36923</v>
      </c>
      <c r="E67">
        <v>2</v>
      </c>
      <c r="F67"/>
      <c r="G67"/>
      <c r="H67"/>
      <c r="I67"/>
      <c r="J67"/>
      <c r="K67"/>
      <c r="L67"/>
      <c r="M67"/>
      <c r="N67"/>
      <c r="O67"/>
    </row>
    <row r="68" spans="1:15" hidden="1" x14ac:dyDescent="0.25">
      <c r="A68" t="s">
        <v>30</v>
      </c>
      <c r="B68" t="s">
        <v>115</v>
      </c>
      <c r="C68" t="b">
        <v>0</v>
      </c>
      <c r="D68" s="1">
        <v>36923</v>
      </c>
      <c r="E68">
        <v>2</v>
      </c>
      <c r="F68"/>
      <c r="G68"/>
      <c r="H68"/>
      <c r="I68"/>
      <c r="J68"/>
      <c r="K68"/>
      <c r="L68"/>
      <c r="M68"/>
      <c r="N68"/>
      <c r="O68"/>
    </row>
    <row r="69" spans="1:15" hidden="1" x14ac:dyDescent="0.25">
      <c r="A69" t="s">
        <v>39</v>
      </c>
      <c r="B69" t="s">
        <v>115</v>
      </c>
      <c r="C69" t="b">
        <v>0</v>
      </c>
      <c r="D69" s="1">
        <v>36923</v>
      </c>
      <c r="E69">
        <v>2</v>
      </c>
      <c r="F69"/>
      <c r="G69"/>
      <c r="H69"/>
      <c r="I69"/>
      <c r="J69"/>
      <c r="K69"/>
      <c r="L69"/>
      <c r="M69"/>
      <c r="N69"/>
      <c r="O69"/>
    </row>
    <row r="70" spans="1:15" hidden="1" x14ac:dyDescent="0.25">
      <c r="A70" t="s">
        <v>57</v>
      </c>
      <c r="B70" t="s">
        <v>115</v>
      </c>
      <c r="C70" t="b">
        <v>0</v>
      </c>
      <c r="D70" s="1">
        <v>36923</v>
      </c>
      <c r="E70">
        <v>2</v>
      </c>
      <c r="F70"/>
      <c r="G70"/>
      <c r="H70"/>
      <c r="I70"/>
      <c r="J70"/>
      <c r="K70"/>
      <c r="L70"/>
      <c r="M70"/>
      <c r="N70"/>
      <c r="O70"/>
    </row>
    <row r="71" spans="1:15" hidden="1" x14ac:dyDescent="0.25">
      <c r="A71" t="s">
        <v>100</v>
      </c>
      <c r="B71" t="s">
        <v>117</v>
      </c>
      <c r="C71" t="b">
        <v>0</v>
      </c>
      <c r="D71" s="1">
        <v>36951</v>
      </c>
      <c r="E71" s="2">
        <v>-39.930000000000007</v>
      </c>
      <c r="F71"/>
      <c r="G71"/>
      <c r="H71"/>
      <c r="I71"/>
      <c r="J71"/>
      <c r="K71"/>
      <c r="L71"/>
      <c r="M71"/>
      <c r="N71"/>
      <c r="O71"/>
    </row>
    <row r="72" spans="1:15" hidden="1" x14ac:dyDescent="0.25">
      <c r="A72" t="s">
        <v>102</v>
      </c>
      <c r="B72" t="s">
        <v>117</v>
      </c>
      <c r="C72" t="b">
        <v>0</v>
      </c>
      <c r="D72" s="1">
        <v>36951</v>
      </c>
      <c r="E72" s="2">
        <v>-23.64</v>
      </c>
      <c r="F72"/>
      <c r="G72"/>
      <c r="H72"/>
      <c r="I72"/>
      <c r="J72"/>
      <c r="K72"/>
      <c r="L72"/>
      <c r="M72"/>
      <c r="N72"/>
      <c r="O72"/>
    </row>
    <row r="73" spans="1:15" hidden="1" x14ac:dyDescent="0.25">
      <c r="A73" t="s">
        <v>13</v>
      </c>
      <c r="B73" t="s">
        <v>115</v>
      </c>
      <c r="C73" t="b">
        <v>0</v>
      </c>
      <c r="D73" s="1">
        <v>36951</v>
      </c>
      <c r="E73">
        <v>2</v>
      </c>
      <c r="F73"/>
      <c r="G73"/>
      <c r="H73"/>
      <c r="I73"/>
      <c r="J73"/>
      <c r="K73"/>
      <c r="L73"/>
      <c r="M73"/>
      <c r="N73"/>
      <c r="O73"/>
    </row>
    <row r="74" spans="1:15" hidden="1" x14ac:dyDescent="0.25">
      <c r="A74" t="s">
        <v>12</v>
      </c>
      <c r="B74" t="s">
        <v>115</v>
      </c>
      <c r="C74" t="b">
        <v>0</v>
      </c>
      <c r="D74" s="1">
        <v>36951</v>
      </c>
      <c r="E74">
        <v>2</v>
      </c>
      <c r="F74"/>
      <c r="G74"/>
      <c r="H74"/>
      <c r="I74"/>
      <c r="J74"/>
      <c r="K74"/>
      <c r="L74"/>
      <c r="M74"/>
      <c r="N74"/>
      <c r="O74"/>
    </row>
    <row r="75" spans="1:15" hidden="1" x14ac:dyDescent="0.25">
      <c r="A75" t="s">
        <v>14</v>
      </c>
      <c r="B75" t="s">
        <v>115</v>
      </c>
      <c r="C75" t="b">
        <v>0</v>
      </c>
      <c r="D75" s="1">
        <v>36951</v>
      </c>
      <c r="E75">
        <v>2</v>
      </c>
      <c r="F75"/>
      <c r="G75"/>
      <c r="H75"/>
      <c r="I75"/>
      <c r="J75"/>
      <c r="K75"/>
      <c r="L75"/>
      <c r="M75"/>
      <c r="N75"/>
      <c r="O75"/>
    </row>
    <row r="76" spans="1:15" hidden="1" x14ac:dyDescent="0.25">
      <c r="A76" t="s">
        <v>15</v>
      </c>
      <c r="B76" t="s">
        <v>115</v>
      </c>
      <c r="C76" t="b">
        <v>0</v>
      </c>
      <c r="D76" s="1">
        <v>36951</v>
      </c>
      <c r="E76">
        <v>2</v>
      </c>
      <c r="F76"/>
      <c r="G76"/>
      <c r="H76"/>
      <c r="I76"/>
      <c r="J76"/>
      <c r="K76"/>
      <c r="L76"/>
      <c r="M76"/>
      <c r="N76"/>
      <c r="O76"/>
    </row>
    <row r="77" spans="1:15" hidden="1" x14ac:dyDescent="0.25">
      <c r="A77" t="s">
        <v>16</v>
      </c>
      <c r="B77" t="s">
        <v>115</v>
      </c>
      <c r="C77" t="b">
        <v>0</v>
      </c>
      <c r="D77" s="1">
        <v>36951</v>
      </c>
      <c r="E77">
        <v>2</v>
      </c>
      <c r="F77"/>
      <c r="G77"/>
      <c r="H77"/>
      <c r="I77"/>
      <c r="J77"/>
      <c r="K77"/>
      <c r="L77"/>
      <c r="M77"/>
      <c r="N77"/>
      <c r="O77"/>
    </row>
    <row r="78" spans="1:15" hidden="1" x14ac:dyDescent="0.25">
      <c r="A78" t="s">
        <v>106</v>
      </c>
      <c r="B78" t="s">
        <v>115</v>
      </c>
      <c r="C78" t="b">
        <v>0</v>
      </c>
      <c r="D78" s="1">
        <v>36951</v>
      </c>
      <c r="E78">
        <v>6</v>
      </c>
      <c r="F78"/>
      <c r="G78"/>
      <c r="H78"/>
      <c r="I78"/>
      <c r="J78"/>
      <c r="K78"/>
      <c r="L78"/>
      <c r="M78"/>
      <c r="N78"/>
      <c r="O78"/>
    </row>
    <row r="79" spans="1:15" hidden="1" x14ac:dyDescent="0.25">
      <c r="A79" t="s">
        <v>106</v>
      </c>
      <c r="B79" t="s">
        <v>115</v>
      </c>
      <c r="C79" t="b">
        <v>0</v>
      </c>
      <c r="D79" s="1">
        <v>36951</v>
      </c>
      <c r="E79">
        <v>2</v>
      </c>
      <c r="F79"/>
      <c r="G79"/>
      <c r="H79"/>
      <c r="I79"/>
      <c r="J79"/>
      <c r="K79"/>
      <c r="L79"/>
      <c r="M79"/>
      <c r="N79"/>
      <c r="O79"/>
    </row>
    <row r="80" spans="1:15" hidden="1" x14ac:dyDescent="0.25">
      <c r="A80" t="s">
        <v>106</v>
      </c>
      <c r="B80" t="s">
        <v>115</v>
      </c>
      <c r="C80" t="b">
        <v>0</v>
      </c>
      <c r="D80" s="1">
        <v>36951</v>
      </c>
      <c r="E80">
        <v>2</v>
      </c>
      <c r="F80"/>
      <c r="G80"/>
      <c r="H80"/>
      <c r="I80"/>
      <c r="J80"/>
      <c r="K80"/>
      <c r="L80"/>
      <c r="M80"/>
      <c r="N80"/>
      <c r="O80"/>
    </row>
    <row r="81" spans="1:15" hidden="1" x14ac:dyDescent="0.25">
      <c r="A81" t="s">
        <v>106</v>
      </c>
      <c r="B81" t="s">
        <v>115</v>
      </c>
      <c r="C81" t="b">
        <v>0</v>
      </c>
      <c r="D81" s="1">
        <v>36951</v>
      </c>
      <c r="E81">
        <v>2</v>
      </c>
      <c r="F81"/>
      <c r="G81"/>
      <c r="H81"/>
      <c r="I81"/>
      <c r="J81"/>
      <c r="K81"/>
      <c r="L81"/>
      <c r="M81"/>
      <c r="N81"/>
      <c r="O81"/>
    </row>
    <row r="82" spans="1:15" hidden="1" x14ac:dyDescent="0.25">
      <c r="A82" t="s">
        <v>106</v>
      </c>
      <c r="B82" t="s">
        <v>115</v>
      </c>
      <c r="C82" t="b">
        <v>0</v>
      </c>
      <c r="D82" s="1">
        <v>36951</v>
      </c>
      <c r="E82">
        <v>2</v>
      </c>
      <c r="F82"/>
      <c r="G82"/>
      <c r="H82"/>
      <c r="I82"/>
      <c r="J82"/>
      <c r="K82"/>
      <c r="L82"/>
      <c r="M82"/>
      <c r="N82"/>
      <c r="O82"/>
    </row>
    <row r="83" spans="1:15" hidden="1" x14ac:dyDescent="0.25">
      <c r="A83" t="s">
        <v>106</v>
      </c>
      <c r="B83" t="s">
        <v>115</v>
      </c>
      <c r="C83" t="b">
        <v>0</v>
      </c>
      <c r="D83" s="1">
        <v>36951</v>
      </c>
      <c r="E83">
        <v>6</v>
      </c>
      <c r="F83"/>
      <c r="G83"/>
      <c r="H83"/>
      <c r="I83"/>
      <c r="J83"/>
      <c r="K83"/>
      <c r="L83"/>
      <c r="M83"/>
      <c r="N83"/>
      <c r="O83"/>
    </row>
    <row r="84" spans="1:15" hidden="1" x14ac:dyDescent="0.25">
      <c r="A84" t="s">
        <v>106</v>
      </c>
      <c r="B84" t="s">
        <v>115</v>
      </c>
      <c r="C84" t="b">
        <v>0</v>
      </c>
      <c r="D84" s="1">
        <v>36951</v>
      </c>
      <c r="E84">
        <v>2</v>
      </c>
      <c r="F84"/>
      <c r="G84"/>
      <c r="H84"/>
      <c r="I84"/>
      <c r="J84"/>
      <c r="K84"/>
      <c r="L84"/>
      <c r="M84"/>
      <c r="N84"/>
      <c r="O84"/>
    </row>
    <row r="85" spans="1:15" hidden="1" x14ac:dyDescent="0.25">
      <c r="A85" t="s">
        <v>106</v>
      </c>
      <c r="B85" t="s">
        <v>115</v>
      </c>
      <c r="C85" t="b">
        <v>0</v>
      </c>
      <c r="D85" s="1">
        <v>36951</v>
      </c>
      <c r="E85">
        <v>2</v>
      </c>
      <c r="F85"/>
      <c r="G85"/>
      <c r="H85"/>
      <c r="I85"/>
      <c r="J85"/>
      <c r="K85"/>
      <c r="L85"/>
      <c r="M85"/>
      <c r="N85"/>
      <c r="O85"/>
    </row>
    <row r="86" spans="1:15" hidden="1" x14ac:dyDescent="0.25">
      <c r="A86" t="s">
        <v>106</v>
      </c>
      <c r="B86" t="s">
        <v>115</v>
      </c>
      <c r="C86" t="b">
        <v>0</v>
      </c>
      <c r="D86" s="1">
        <v>36951</v>
      </c>
      <c r="E86">
        <v>2</v>
      </c>
      <c r="F86"/>
      <c r="G86"/>
      <c r="H86"/>
      <c r="I86"/>
      <c r="J86"/>
      <c r="K86"/>
      <c r="L86"/>
      <c r="M86"/>
      <c r="N86"/>
      <c r="O86"/>
    </row>
    <row r="87" spans="1:15" hidden="1" x14ac:dyDescent="0.25">
      <c r="A87" t="s">
        <v>106</v>
      </c>
      <c r="B87" t="s">
        <v>115</v>
      </c>
      <c r="C87" t="b">
        <v>0</v>
      </c>
      <c r="D87" s="1">
        <v>36951</v>
      </c>
      <c r="E87">
        <v>2</v>
      </c>
      <c r="F87"/>
      <c r="G87"/>
      <c r="H87"/>
      <c r="I87"/>
      <c r="J87"/>
      <c r="K87"/>
      <c r="L87"/>
      <c r="M87"/>
      <c r="N87"/>
      <c r="O87"/>
    </row>
    <row r="88" spans="1:15" hidden="1" x14ac:dyDescent="0.25">
      <c r="A88" t="s">
        <v>106</v>
      </c>
      <c r="B88" t="s">
        <v>115</v>
      </c>
      <c r="C88" t="b">
        <v>0</v>
      </c>
      <c r="D88" s="1">
        <v>36951</v>
      </c>
      <c r="E88">
        <v>4</v>
      </c>
      <c r="F88"/>
      <c r="G88"/>
      <c r="H88"/>
      <c r="I88"/>
      <c r="J88"/>
      <c r="K88"/>
      <c r="L88"/>
      <c r="M88"/>
      <c r="N88"/>
      <c r="O88"/>
    </row>
    <row r="89" spans="1:15" hidden="1" x14ac:dyDescent="0.25">
      <c r="A89" t="s">
        <v>106</v>
      </c>
      <c r="B89" t="s">
        <v>115</v>
      </c>
      <c r="C89" t="b">
        <v>0</v>
      </c>
      <c r="D89" s="1">
        <v>36951</v>
      </c>
      <c r="E89">
        <v>2</v>
      </c>
      <c r="F89"/>
      <c r="G89"/>
      <c r="H89"/>
      <c r="I89"/>
      <c r="J89"/>
      <c r="K89"/>
      <c r="L89"/>
      <c r="M89"/>
      <c r="N89"/>
      <c r="O89"/>
    </row>
    <row r="90" spans="1:15" hidden="1" x14ac:dyDescent="0.25">
      <c r="A90" t="s">
        <v>106</v>
      </c>
      <c r="B90" t="s">
        <v>115</v>
      </c>
      <c r="C90" t="b">
        <v>0</v>
      </c>
      <c r="D90" s="1">
        <v>36951</v>
      </c>
      <c r="E90">
        <v>2</v>
      </c>
      <c r="F90"/>
      <c r="G90"/>
      <c r="H90"/>
      <c r="I90"/>
      <c r="J90"/>
      <c r="K90"/>
      <c r="L90"/>
      <c r="M90"/>
      <c r="N90"/>
      <c r="O90"/>
    </row>
    <row r="91" spans="1:15" hidden="1" x14ac:dyDescent="0.25">
      <c r="A91" t="s">
        <v>106</v>
      </c>
      <c r="B91" t="s">
        <v>115</v>
      </c>
      <c r="C91" t="b">
        <v>0</v>
      </c>
      <c r="D91" s="1">
        <v>36951</v>
      </c>
      <c r="E91">
        <v>2</v>
      </c>
      <c r="F91"/>
      <c r="G91"/>
      <c r="H91"/>
      <c r="I91"/>
      <c r="J91"/>
      <c r="K91"/>
      <c r="L91"/>
      <c r="M91"/>
      <c r="N91"/>
      <c r="O91"/>
    </row>
    <row r="92" spans="1:15" hidden="1" x14ac:dyDescent="0.25">
      <c r="A92" t="s">
        <v>106</v>
      </c>
      <c r="B92" t="s">
        <v>115</v>
      </c>
      <c r="C92" t="b">
        <v>0</v>
      </c>
      <c r="D92" s="1">
        <v>36951</v>
      </c>
      <c r="E92">
        <v>2</v>
      </c>
      <c r="F92"/>
      <c r="G92"/>
      <c r="H92"/>
      <c r="I92"/>
      <c r="J92"/>
      <c r="K92"/>
      <c r="L92"/>
      <c r="M92"/>
      <c r="N92"/>
      <c r="O92"/>
    </row>
    <row r="93" spans="1:15" hidden="1" x14ac:dyDescent="0.25">
      <c r="A93" t="s">
        <v>106</v>
      </c>
      <c r="B93" t="s">
        <v>115</v>
      </c>
      <c r="C93" t="b">
        <v>0</v>
      </c>
      <c r="D93" s="1">
        <v>36951</v>
      </c>
      <c r="E93">
        <v>2</v>
      </c>
      <c r="F93"/>
      <c r="G93"/>
      <c r="H93"/>
      <c r="I93"/>
      <c r="J93"/>
      <c r="K93"/>
      <c r="L93"/>
      <c r="M93"/>
      <c r="N93"/>
      <c r="O93"/>
    </row>
    <row r="94" spans="1:15" hidden="1" x14ac:dyDescent="0.25">
      <c r="A94" t="s">
        <v>106</v>
      </c>
      <c r="B94" t="s">
        <v>115</v>
      </c>
      <c r="C94" t="b">
        <v>0</v>
      </c>
      <c r="D94" s="1">
        <v>36951</v>
      </c>
      <c r="E94">
        <v>2</v>
      </c>
      <c r="F94"/>
      <c r="G94"/>
      <c r="H94"/>
      <c r="I94"/>
      <c r="J94"/>
      <c r="K94"/>
      <c r="L94"/>
      <c r="M94"/>
      <c r="N94"/>
      <c r="O94"/>
    </row>
    <row r="95" spans="1:15" hidden="1" x14ac:dyDescent="0.25">
      <c r="A95" t="s">
        <v>106</v>
      </c>
      <c r="B95" t="s">
        <v>115</v>
      </c>
      <c r="C95" t="b">
        <v>0</v>
      </c>
      <c r="D95" s="1">
        <v>36951</v>
      </c>
      <c r="E95">
        <v>2</v>
      </c>
      <c r="F95"/>
      <c r="G95"/>
      <c r="H95"/>
      <c r="I95"/>
      <c r="J95"/>
      <c r="K95"/>
      <c r="L95"/>
      <c r="M95"/>
      <c r="N95"/>
      <c r="O95"/>
    </row>
    <row r="96" spans="1:15" hidden="1" x14ac:dyDescent="0.25">
      <c r="A96" t="s">
        <v>106</v>
      </c>
      <c r="B96" t="s">
        <v>115</v>
      </c>
      <c r="C96" t="b">
        <v>0</v>
      </c>
      <c r="D96" s="1">
        <v>36951</v>
      </c>
      <c r="E96">
        <v>2</v>
      </c>
      <c r="F96"/>
      <c r="G96"/>
      <c r="H96"/>
      <c r="I96"/>
      <c r="J96"/>
      <c r="K96"/>
      <c r="L96"/>
      <c r="M96"/>
      <c r="N96"/>
      <c r="O96"/>
    </row>
    <row r="97" spans="1:15" hidden="1" x14ac:dyDescent="0.25">
      <c r="A97" t="s">
        <v>106</v>
      </c>
      <c r="B97" t="s">
        <v>115</v>
      </c>
      <c r="C97" t="b">
        <v>0</v>
      </c>
      <c r="D97" s="1">
        <v>36951</v>
      </c>
      <c r="E97">
        <v>2</v>
      </c>
      <c r="F97"/>
      <c r="G97"/>
      <c r="H97"/>
      <c r="I97"/>
      <c r="J97"/>
      <c r="K97"/>
      <c r="L97"/>
      <c r="M97"/>
      <c r="N97"/>
      <c r="O97"/>
    </row>
    <row r="98" spans="1:15" hidden="1" x14ac:dyDescent="0.25">
      <c r="A98" t="s">
        <v>106</v>
      </c>
      <c r="B98" t="s">
        <v>115</v>
      </c>
      <c r="C98" t="b">
        <v>0</v>
      </c>
      <c r="D98" s="1">
        <v>36951</v>
      </c>
      <c r="E98">
        <v>2</v>
      </c>
      <c r="F98"/>
      <c r="G98"/>
      <c r="H98"/>
      <c r="I98"/>
      <c r="J98"/>
      <c r="K98"/>
      <c r="L98"/>
      <c r="M98"/>
      <c r="N98"/>
      <c r="O98"/>
    </row>
    <row r="99" spans="1:15" hidden="1" x14ac:dyDescent="0.25">
      <c r="A99" t="s">
        <v>106</v>
      </c>
      <c r="B99" t="s">
        <v>115</v>
      </c>
      <c r="C99" t="b">
        <v>0</v>
      </c>
      <c r="D99" s="1">
        <v>36951</v>
      </c>
      <c r="E99">
        <v>2</v>
      </c>
      <c r="F99"/>
      <c r="G99"/>
      <c r="H99"/>
      <c r="I99"/>
      <c r="J99"/>
      <c r="K99"/>
      <c r="L99"/>
      <c r="M99"/>
      <c r="N99"/>
      <c r="O99"/>
    </row>
    <row r="100" spans="1:15" hidden="1" x14ac:dyDescent="0.25">
      <c r="A100" t="s">
        <v>106</v>
      </c>
      <c r="B100" t="s">
        <v>115</v>
      </c>
      <c r="C100" t="b">
        <v>0</v>
      </c>
      <c r="D100" s="1">
        <v>36951</v>
      </c>
      <c r="E100">
        <v>2</v>
      </c>
      <c r="F100"/>
      <c r="G100"/>
      <c r="H100"/>
      <c r="I100"/>
      <c r="J100"/>
      <c r="K100"/>
      <c r="L100"/>
      <c r="M100"/>
      <c r="N100"/>
      <c r="O100"/>
    </row>
    <row r="101" spans="1:15" hidden="1" x14ac:dyDescent="0.25">
      <c r="A101" t="s">
        <v>106</v>
      </c>
      <c r="B101" t="s">
        <v>115</v>
      </c>
      <c r="C101" t="b">
        <v>0</v>
      </c>
      <c r="D101" s="1">
        <v>36951</v>
      </c>
      <c r="E101">
        <v>2</v>
      </c>
      <c r="F101"/>
      <c r="G101"/>
      <c r="H101"/>
      <c r="I101"/>
      <c r="J101"/>
      <c r="K101"/>
      <c r="L101"/>
      <c r="M101"/>
      <c r="N101"/>
      <c r="O101"/>
    </row>
    <row r="102" spans="1:15" hidden="1" x14ac:dyDescent="0.25">
      <c r="A102" t="s">
        <v>106</v>
      </c>
      <c r="B102" t="s">
        <v>115</v>
      </c>
      <c r="C102" t="b">
        <v>0</v>
      </c>
      <c r="D102" s="1">
        <v>36951</v>
      </c>
      <c r="E102">
        <v>2</v>
      </c>
      <c r="F102"/>
      <c r="G102"/>
      <c r="H102"/>
      <c r="I102"/>
      <c r="J102"/>
      <c r="K102"/>
      <c r="L102"/>
      <c r="M102"/>
      <c r="N102"/>
      <c r="O102"/>
    </row>
    <row r="103" spans="1:15" hidden="1" x14ac:dyDescent="0.25">
      <c r="A103" t="s">
        <v>106</v>
      </c>
      <c r="B103" t="s">
        <v>115</v>
      </c>
      <c r="C103" t="b">
        <v>0</v>
      </c>
      <c r="D103" s="1">
        <v>36951</v>
      </c>
      <c r="E103">
        <v>2</v>
      </c>
      <c r="F103"/>
      <c r="G103"/>
      <c r="H103"/>
      <c r="I103"/>
      <c r="J103"/>
      <c r="K103"/>
      <c r="L103"/>
      <c r="M103"/>
      <c r="N103"/>
      <c r="O103"/>
    </row>
    <row r="104" spans="1:15" hidden="1" x14ac:dyDescent="0.25">
      <c r="A104" t="s">
        <v>43</v>
      </c>
      <c r="B104" t="s">
        <v>115</v>
      </c>
      <c r="C104" t="b">
        <v>0</v>
      </c>
      <c r="D104" s="1">
        <v>36951</v>
      </c>
      <c r="E104">
        <v>2</v>
      </c>
      <c r="F104"/>
      <c r="G104"/>
      <c r="H104"/>
      <c r="I104"/>
      <c r="J104"/>
      <c r="K104"/>
      <c r="L104"/>
      <c r="M104"/>
      <c r="N104"/>
      <c r="O104"/>
    </row>
    <row r="105" spans="1:15" hidden="1" x14ac:dyDescent="0.25">
      <c r="A105" t="s">
        <v>17</v>
      </c>
      <c r="B105" t="s">
        <v>115</v>
      </c>
      <c r="C105" t="b">
        <v>0</v>
      </c>
      <c r="D105" s="1">
        <v>36951</v>
      </c>
      <c r="E105">
        <v>2</v>
      </c>
      <c r="F105"/>
      <c r="G105"/>
      <c r="H105"/>
      <c r="I105"/>
      <c r="J105"/>
      <c r="K105"/>
      <c r="L105"/>
      <c r="M105"/>
      <c r="N105"/>
      <c r="O105"/>
    </row>
    <row r="106" spans="1:15" hidden="1" x14ac:dyDescent="0.25">
      <c r="A106" t="s">
        <v>30</v>
      </c>
      <c r="B106" t="s">
        <v>115</v>
      </c>
      <c r="C106" t="b">
        <v>0</v>
      </c>
      <c r="D106" s="1">
        <v>36951</v>
      </c>
      <c r="E106">
        <v>2</v>
      </c>
      <c r="F106"/>
      <c r="G106"/>
      <c r="H106"/>
      <c r="I106"/>
      <c r="J106"/>
      <c r="K106"/>
      <c r="L106"/>
      <c r="M106"/>
      <c r="N106"/>
      <c r="O106"/>
    </row>
    <row r="107" spans="1:15" hidden="1" x14ac:dyDescent="0.25">
      <c r="A107" t="s">
        <v>39</v>
      </c>
      <c r="B107" t="s">
        <v>115</v>
      </c>
      <c r="C107" t="b">
        <v>0</v>
      </c>
      <c r="D107" s="1">
        <v>36951</v>
      </c>
      <c r="E107">
        <v>2</v>
      </c>
      <c r="F107"/>
      <c r="G107"/>
      <c r="H107"/>
      <c r="I107"/>
      <c r="J107"/>
      <c r="K107"/>
      <c r="L107"/>
      <c r="M107"/>
      <c r="N107"/>
      <c r="O107"/>
    </row>
    <row r="108" spans="1:15" hidden="1" x14ac:dyDescent="0.25">
      <c r="A108" t="s">
        <v>57</v>
      </c>
      <c r="B108" t="s">
        <v>115</v>
      </c>
      <c r="C108" t="b">
        <v>0</v>
      </c>
      <c r="D108" s="1">
        <v>36951</v>
      </c>
      <c r="E108">
        <v>2</v>
      </c>
      <c r="F108"/>
      <c r="G108"/>
      <c r="H108"/>
      <c r="I108"/>
      <c r="J108"/>
      <c r="K108"/>
      <c r="L108"/>
      <c r="M108"/>
      <c r="N108"/>
      <c r="O108"/>
    </row>
    <row r="109" spans="1:15" hidden="1" x14ac:dyDescent="0.25">
      <c r="A109" t="s">
        <v>100</v>
      </c>
      <c r="B109" t="s">
        <v>117</v>
      </c>
      <c r="C109" t="b">
        <v>0</v>
      </c>
      <c r="D109" s="1">
        <v>36982</v>
      </c>
      <c r="E109" s="2">
        <v>-67.739999999999995</v>
      </c>
      <c r="F109"/>
      <c r="G109"/>
      <c r="H109"/>
      <c r="I109"/>
      <c r="J109"/>
      <c r="K109"/>
      <c r="L109"/>
      <c r="M109"/>
      <c r="N109"/>
      <c r="O109"/>
    </row>
    <row r="110" spans="1:15" hidden="1" x14ac:dyDescent="0.25">
      <c r="A110" t="s">
        <v>102</v>
      </c>
      <c r="B110" t="s">
        <v>117</v>
      </c>
      <c r="C110" t="b">
        <v>0</v>
      </c>
      <c r="D110" s="1">
        <v>36982</v>
      </c>
      <c r="E110" s="2">
        <v>-15.270000000000001</v>
      </c>
      <c r="F110"/>
      <c r="G110"/>
      <c r="H110"/>
      <c r="I110"/>
      <c r="J110"/>
      <c r="K110"/>
      <c r="L110"/>
      <c r="M110"/>
      <c r="N110"/>
      <c r="O110"/>
    </row>
    <row r="111" spans="1:15" hidden="1" x14ac:dyDescent="0.25">
      <c r="A111" t="s">
        <v>103</v>
      </c>
      <c r="B111" t="s">
        <v>117</v>
      </c>
      <c r="C111" t="b">
        <v>0</v>
      </c>
      <c r="D111" s="1">
        <v>36982</v>
      </c>
      <c r="E111" s="2">
        <v>-29.41</v>
      </c>
      <c r="F111"/>
      <c r="G111"/>
      <c r="H111"/>
      <c r="I111"/>
      <c r="J111"/>
      <c r="K111"/>
      <c r="L111"/>
      <c r="M111"/>
      <c r="N111"/>
      <c r="O111"/>
    </row>
    <row r="112" spans="1:15" hidden="1" x14ac:dyDescent="0.25">
      <c r="A112" t="s">
        <v>13</v>
      </c>
      <c r="B112" t="s">
        <v>115</v>
      </c>
      <c r="C112" t="b">
        <v>0</v>
      </c>
      <c r="D112" s="1">
        <v>36982</v>
      </c>
      <c r="E112">
        <v>2</v>
      </c>
      <c r="F112"/>
      <c r="G112"/>
      <c r="H112"/>
      <c r="I112"/>
      <c r="J112"/>
      <c r="K112"/>
      <c r="L112"/>
      <c r="M112"/>
      <c r="N112"/>
      <c r="O112"/>
    </row>
    <row r="113" spans="1:15" hidden="1" x14ac:dyDescent="0.25">
      <c r="A113" t="s">
        <v>12</v>
      </c>
      <c r="B113" t="s">
        <v>115</v>
      </c>
      <c r="C113" t="b">
        <v>0</v>
      </c>
      <c r="D113" s="1">
        <v>36982</v>
      </c>
      <c r="E113">
        <v>2</v>
      </c>
      <c r="F113"/>
      <c r="G113"/>
      <c r="H113"/>
      <c r="I113"/>
      <c r="J113"/>
      <c r="K113"/>
      <c r="L113"/>
      <c r="M113"/>
      <c r="N113"/>
      <c r="O113"/>
    </row>
    <row r="114" spans="1:15" hidden="1" x14ac:dyDescent="0.25">
      <c r="A114" t="s">
        <v>14</v>
      </c>
      <c r="B114" t="s">
        <v>115</v>
      </c>
      <c r="C114" t="b">
        <v>0</v>
      </c>
      <c r="D114" s="1">
        <v>36982</v>
      </c>
      <c r="E114">
        <v>2</v>
      </c>
      <c r="F114"/>
      <c r="G114"/>
      <c r="H114"/>
      <c r="I114"/>
      <c r="J114"/>
      <c r="K114"/>
      <c r="L114"/>
      <c r="M114"/>
      <c r="N114"/>
      <c r="O114"/>
    </row>
    <row r="115" spans="1:15" hidden="1" x14ac:dyDescent="0.25">
      <c r="A115" t="s">
        <v>15</v>
      </c>
      <c r="B115" t="s">
        <v>115</v>
      </c>
      <c r="C115" t="b">
        <v>0</v>
      </c>
      <c r="D115" s="1">
        <v>36982</v>
      </c>
      <c r="E115">
        <v>2</v>
      </c>
      <c r="F115"/>
      <c r="G115"/>
      <c r="H115"/>
      <c r="I115"/>
      <c r="J115"/>
      <c r="K115"/>
      <c r="L115"/>
      <c r="M115"/>
      <c r="N115"/>
      <c r="O115"/>
    </row>
    <row r="116" spans="1:15" hidden="1" x14ac:dyDescent="0.25">
      <c r="A116" t="s">
        <v>16</v>
      </c>
      <c r="B116" t="s">
        <v>115</v>
      </c>
      <c r="C116" t="b">
        <v>0</v>
      </c>
      <c r="D116" s="1">
        <v>36982</v>
      </c>
      <c r="E116">
        <v>2</v>
      </c>
      <c r="F116"/>
      <c r="G116"/>
      <c r="H116"/>
      <c r="I116"/>
      <c r="J116"/>
      <c r="K116"/>
      <c r="L116"/>
      <c r="M116"/>
      <c r="N116"/>
      <c r="O116"/>
    </row>
    <row r="117" spans="1:15" hidden="1" x14ac:dyDescent="0.25">
      <c r="A117" t="s">
        <v>106</v>
      </c>
      <c r="B117" t="s">
        <v>115</v>
      </c>
      <c r="C117" t="b">
        <v>0</v>
      </c>
      <c r="D117" s="1">
        <v>36982</v>
      </c>
      <c r="E117">
        <v>2</v>
      </c>
      <c r="F117"/>
      <c r="G117"/>
      <c r="H117"/>
      <c r="I117"/>
      <c r="J117"/>
      <c r="K117"/>
      <c r="L117"/>
      <c r="M117"/>
      <c r="N117"/>
      <c r="O117"/>
    </row>
    <row r="118" spans="1:15" hidden="1" x14ac:dyDescent="0.25">
      <c r="A118" t="s">
        <v>106</v>
      </c>
      <c r="B118" t="s">
        <v>115</v>
      </c>
      <c r="C118" t="b">
        <v>0</v>
      </c>
      <c r="D118" s="1">
        <v>36982</v>
      </c>
      <c r="E118">
        <v>2</v>
      </c>
      <c r="F118"/>
      <c r="G118"/>
      <c r="H118"/>
      <c r="I118"/>
      <c r="J118"/>
      <c r="K118"/>
      <c r="L118"/>
      <c r="M118"/>
      <c r="N118"/>
      <c r="O118"/>
    </row>
    <row r="119" spans="1:15" hidden="1" x14ac:dyDescent="0.25">
      <c r="A119" t="s">
        <v>106</v>
      </c>
      <c r="B119" t="s">
        <v>115</v>
      </c>
      <c r="C119" t="b">
        <v>0</v>
      </c>
      <c r="D119" s="1">
        <v>36982</v>
      </c>
      <c r="E119">
        <v>2</v>
      </c>
      <c r="F119"/>
      <c r="G119"/>
      <c r="H119"/>
      <c r="I119"/>
      <c r="J119"/>
      <c r="K119"/>
      <c r="L119"/>
      <c r="M119"/>
      <c r="N119"/>
      <c r="O119"/>
    </row>
    <row r="120" spans="1:15" hidden="1" x14ac:dyDescent="0.25">
      <c r="A120" t="s">
        <v>106</v>
      </c>
      <c r="B120" t="s">
        <v>115</v>
      </c>
      <c r="C120" t="b">
        <v>0</v>
      </c>
      <c r="D120" s="1">
        <v>36982</v>
      </c>
      <c r="E120">
        <v>2</v>
      </c>
      <c r="F120"/>
      <c r="G120"/>
      <c r="H120"/>
      <c r="I120"/>
      <c r="J120"/>
      <c r="K120"/>
      <c r="L120"/>
      <c r="M120"/>
      <c r="N120"/>
      <c r="O120"/>
    </row>
    <row r="121" spans="1:15" hidden="1" x14ac:dyDescent="0.25">
      <c r="A121" t="s">
        <v>106</v>
      </c>
      <c r="B121" t="s">
        <v>115</v>
      </c>
      <c r="C121" t="b">
        <v>0</v>
      </c>
      <c r="D121" s="1">
        <v>36982</v>
      </c>
      <c r="E121">
        <v>2</v>
      </c>
      <c r="F121"/>
      <c r="G121"/>
      <c r="H121"/>
      <c r="I121"/>
      <c r="J121"/>
      <c r="K121"/>
      <c r="L121"/>
      <c r="M121"/>
      <c r="N121"/>
      <c r="O121"/>
    </row>
    <row r="122" spans="1:15" hidden="1" x14ac:dyDescent="0.25">
      <c r="A122" t="s">
        <v>106</v>
      </c>
      <c r="B122" t="s">
        <v>115</v>
      </c>
      <c r="C122" t="b">
        <v>0</v>
      </c>
      <c r="D122" s="1">
        <v>36982</v>
      </c>
      <c r="E122">
        <v>2</v>
      </c>
      <c r="F122"/>
      <c r="G122"/>
      <c r="H122"/>
      <c r="I122"/>
      <c r="J122"/>
      <c r="K122"/>
      <c r="L122"/>
      <c r="M122"/>
      <c r="N122"/>
      <c r="O122"/>
    </row>
    <row r="123" spans="1:15" hidden="1" x14ac:dyDescent="0.25">
      <c r="A123" t="s">
        <v>106</v>
      </c>
      <c r="B123" t="s">
        <v>115</v>
      </c>
      <c r="C123" t="b">
        <v>0</v>
      </c>
      <c r="D123" s="1">
        <v>36982</v>
      </c>
      <c r="E123">
        <v>2</v>
      </c>
      <c r="F123"/>
      <c r="G123"/>
      <c r="H123"/>
      <c r="I123"/>
      <c r="J123"/>
      <c r="K123"/>
      <c r="L123"/>
      <c r="M123"/>
      <c r="N123"/>
      <c r="O123"/>
    </row>
    <row r="124" spans="1:15" hidden="1" x14ac:dyDescent="0.25">
      <c r="A124" t="s">
        <v>106</v>
      </c>
      <c r="B124" t="s">
        <v>115</v>
      </c>
      <c r="C124" t="b">
        <v>0</v>
      </c>
      <c r="D124" s="1">
        <v>36982</v>
      </c>
      <c r="E124">
        <v>2</v>
      </c>
      <c r="F124"/>
      <c r="G124"/>
      <c r="H124"/>
      <c r="I124"/>
      <c r="J124"/>
      <c r="K124"/>
      <c r="L124"/>
      <c r="M124"/>
      <c r="N124"/>
      <c r="O124"/>
    </row>
    <row r="125" spans="1:15" hidden="1" x14ac:dyDescent="0.25">
      <c r="A125" t="s">
        <v>106</v>
      </c>
      <c r="B125" t="s">
        <v>115</v>
      </c>
      <c r="C125" t="b">
        <v>0</v>
      </c>
      <c r="D125" s="1">
        <v>36982</v>
      </c>
      <c r="E125">
        <v>2</v>
      </c>
      <c r="F125"/>
      <c r="G125"/>
      <c r="H125"/>
      <c r="I125"/>
      <c r="J125"/>
      <c r="K125"/>
      <c r="L125"/>
      <c r="M125"/>
      <c r="N125"/>
      <c r="O125"/>
    </row>
    <row r="126" spans="1:15" hidden="1" x14ac:dyDescent="0.25">
      <c r="A126" t="s">
        <v>106</v>
      </c>
      <c r="B126" t="s">
        <v>115</v>
      </c>
      <c r="C126" t="b">
        <v>0</v>
      </c>
      <c r="D126" s="1">
        <v>36982</v>
      </c>
      <c r="E126">
        <v>2</v>
      </c>
      <c r="F126"/>
      <c r="G126"/>
      <c r="H126"/>
      <c r="I126"/>
      <c r="J126"/>
      <c r="K126"/>
      <c r="L126"/>
      <c r="M126"/>
      <c r="N126"/>
      <c r="O126"/>
    </row>
    <row r="127" spans="1:15" hidden="1" x14ac:dyDescent="0.25">
      <c r="A127" t="s">
        <v>106</v>
      </c>
      <c r="B127" t="s">
        <v>115</v>
      </c>
      <c r="C127" t="b">
        <v>0</v>
      </c>
      <c r="D127" s="1">
        <v>36982</v>
      </c>
      <c r="E127">
        <v>2</v>
      </c>
      <c r="F127"/>
      <c r="G127"/>
      <c r="H127"/>
      <c r="I127"/>
      <c r="J127"/>
      <c r="K127"/>
      <c r="L127"/>
      <c r="M127"/>
      <c r="N127"/>
      <c r="O127"/>
    </row>
    <row r="128" spans="1:15" hidden="1" x14ac:dyDescent="0.25">
      <c r="A128" t="s">
        <v>106</v>
      </c>
      <c r="B128" t="s">
        <v>115</v>
      </c>
      <c r="C128" t="b">
        <v>0</v>
      </c>
      <c r="D128" s="1">
        <v>36982</v>
      </c>
      <c r="E128">
        <v>2</v>
      </c>
      <c r="F128"/>
      <c r="G128"/>
      <c r="H128"/>
      <c r="I128"/>
      <c r="J128"/>
      <c r="K128"/>
      <c r="L128"/>
      <c r="M128"/>
      <c r="N128"/>
      <c r="O128"/>
    </row>
    <row r="129" spans="1:15" hidden="1" x14ac:dyDescent="0.25">
      <c r="A129" t="s">
        <v>106</v>
      </c>
      <c r="B129" t="s">
        <v>115</v>
      </c>
      <c r="C129" t="b">
        <v>0</v>
      </c>
      <c r="D129" s="1">
        <v>36982</v>
      </c>
      <c r="E129">
        <v>2</v>
      </c>
      <c r="F129"/>
      <c r="G129"/>
      <c r="H129"/>
      <c r="I129"/>
      <c r="J129"/>
      <c r="K129"/>
      <c r="L129"/>
      <c r="M129"/>
      <c r="N129"/>
      <c r="O129"/>
    </row>
    <row r="130" spans="1:15" hidden="1" x14ac:dyDescent="0.25">
      <c r="A130" t="s">
        <v>106</v>
      </c>
      <c r="B130" t="s">
        <v>115</v>
      </c>
      <c r="C130" t="b">
        <v>0</v>
      </c>
      <c r="D130" s="1">
        <v>36982</v>
      </c>
      <c r="E130">
        <v>2</v>
      </c>
      <c r="F130"/>
      <c r="G130"/>
      <c r="H130"/>
      <c r="I130"/>
      <c r="J130"/>
      <c r="K130"/>
      <c r="L130"/>
      <c r="M130"/>
      <c r="N130"/>
      <c r="O130"/>
    </row>
    <row r="131" spans="1:15" hidden="1" x14ac:dyDescent="0.25">
      <c r="A131" t="s">
        <v>106</v>
      </c>
      <c r="B131" t="s">
        <v>115</v>
      </c>
      <c r="C131" t="b">
        <v>0</v>
      </c>
      <c r="D131" s="1">
        <v>36982</v>
      </c>
      <c r="E131">
        <v>2</v>
      </c>
      <c r="F131"/>
      <c r="G131"/>
      <c r="H131"/>
      <c r="I131"/>
      <c r="J131"/>
      <c r="K131"/>
      <c r="L131"/>
      <c r="M131"/>
      <c r="N131"/>
      <c r="O131"/>
    </row>
    <row r="132" spans="1:15" hidden="1" x14ac:dyDescent="0.25">
      <c r="A132" t="s">
        <v>106</v>
      </c>
      <c r="B132" t="s">
        <v>115</v>
      </c>
      <c r="C132" t="b">
        <v>0</v>
      </c>
      <c r="D132" s="1">
        <v>36982</v>
      </c>
      <c r="E132">
        <v>2</v>
      </c>
      <c r="F132"/>
      <c r="G132"/>
      <c r="H132"/>
      <c r="I132"/>
      <c r="J132"/>
      <c r="K132"/>
      <c r="L132"/>
      <c r="M132"/>
      <c r="N132"/>
      <c r="O132"/>
    </row>
    <row r="133" spans="1:15" hidden="1" x14ac:dyDescent="0.25">
      <c r="A133" t="s">
        <v>106</v>
      </c>
      <c r="B133" t="s">
        <v>115</v>
      </c>
      <c r="C133" t="b">
        <v>0</v>
      </c>
      <c r="D133" s="1">
        <v>36982</v>
      </c>
      <c r="E133">
        <v>2</v>
      </c>
      <c r="F133"/>
      <c r="G133"/>
      <c r="H133"/>
      <c r="I133"/>
      <c r="J133"/>
      <c r="K133"/>
      <c r="L133"/>
      <c r="M133"/>
      <c r="N133"/>
      <c r="O133"/>
    </row>
    <row r="134" spans="1:15" hidden="1" x14ac:dyDescent="0.25">
      <c r="A134" t="s">
        <v>106</v>
      </c>
      <c r="B134" t="s">
        <v>115</v>
      </c>
      <c r="C134" t="b">
        <v>0</v>
      </c>
      <c r="D134" s="1">
        <v>36982</v>
      </c>
      <c r="E134">
        <v>2</v>
      </c>
      <c r="F134"/>
      <c r="G134"/>
      <c r="H134"/>
      <c r="I134"/>
      <c r="J134"/>
      <c r="K134"/>
      <c r="L134"/>
      <c r="M134"/>
      <c r="N134"/>
      <c r="O134"/>
    </row>
    <row r="135" spans="1:15" hidden="1" x14ac:dyDescent="0.25">
      <c r="A135" t="s">
        <v>106</v>
      </c>
      <c r="B135" t="s">
        <v>115</v>
      </c>
      <c r="C135" t="b">
        <v>0</v>
      </c>
      <c r="D135" s="1">
        <v>36982</v>
      </c>
      <c r="E135">
        <v>2</v>
      </c>
      <c r="F135"/>
      <c r="G135"/>
      <c r="H135"/>
      <c r="I135"/>
      <c r="J135"/>
      <c r="K135"/>
      <c r="L135"/>
      <c r="M135"/>
      <c r="N135"/>
      <c r="O135"/>
    </row>
    <row r="136" spans="1:15" hidden="1" x14ac:dyDescent="0.25">
      <c r="A136" t="s">
        <v>106</v>
      </c>
      <c r="B136" t="s">
        <v>115</v>
      </c>
      <c r="C136" t="b">
        <v>0</v>
      </c>
      <c r="D136" s="1">
        <v>36982</v>
      </c>
      <c r="E136">
        <v>2</v>
      </c>
      <c r="F136"/>
      <c r="G136"/>
      <c r="H136"/>
      <c r="I136"/>
      <c r="J136"/>
      <c r="K136"/>
      <c r="L136"/>
      <c r="M136"/>
      <c r="N136"/>
      <c r="O136"/>
    </row>
    <row r="137" spans="1:15" hidden="1" x14ac:dyDescent="0.25">
      <c r="A137" t="s">
        <v>106</v>
      </c>
      <c r="B137" t="s">
        <v>115</v>
      </c>
      <c r="C137" t="b">
        <v>0</v>
      </c>
      <c r="D137" s="1">
        <v>36982</v>
      </c>
      <c r="E137">
        <v>2</v>
      </c>
      <c r="F137"/>
      <c r="G137"/>
      <c r="H137"/>
      <c r="I137"/>
      <c r="J137"/>
      <c r="K137"/>
      <c r="L137"/>
      <c r="M137"/>
      <c r="N137"/>
      <c r="O137"/>
    </row>
    <row r="138" spans="1:15" hidden="1" x14ac:dyDescent="0.25">
      <c r="A138" t="s">
        <v>106</v>
      </c>
      <c r="B138" t="s">
        <v>115</v>
      </c>
      <c r="C138" t="b">
        <v>0</v>
      </c>
      <c r="D138" s="1">
        <v>36982</v>
      </c>
      <c r="E138">
        <v>2</v>
      </c>
      <c r="F138"/>
      <c r="G138"/>
      <c r="H138"/>
      <c r="I138"/>
      <c r="J138"/>
      <c r="K138"/>
      <c r="L138"/>
      <c r="M138"/>
      <c r="N138"/>
      <c r="O138"/>
    </row>
    <row r="139" spans="1:15" hidden="1" x14ac:dyDescent="0.25">
      <c r="A139" t="s">
        <v>106</v>
      </c>
      <c r="B139" t="s">
        <v>115</v>
      </c>
      <c r="C139" t="b">
        <v>0</v>
      </c>
      <c r="D139" s="1">
        <v>36982</v>
      </c>
      <c r="E139">
        <v>2</v>
      </c>
      <c r="F139"/>
      <c r="G139"/>
      <c r="H139"/>
      <c r="I139"/>
      <c r="J139"/>
      <c r="K139"/>
      <c r="L139"/>
      <c r="M139"/>
      <c r="N139"/>
      <c r="O139"/>
    </row>
    <row r="140" spans="1:15" hidden="1" x14ac:dyDescent="0.25">
      <c r="A140" t="s">
        <v>106</v>
      </c>
      <c r="B140" t="s">
        <v>115</v>
      </c>
      <c r="C140" t="b">
        <v>0</v>
      </c>
      <c r="D140" s="1">
        <v>36982</v>
      </c>
      <c r="E140">
        <v>2</v>
      </c>
      <c r="F140"/>
      <c r="G140"/>
      <c r="H140"/>
      <c r="I140"/>
      <c r="J140"/>
      <c r="K140"/>
      <c r="L140"/>
      <c r="M140"/>
      <c r="N140"/>
      <c r="O140"/>
    </row>
    <row r="141" spans="1:15" hidden="1" x14ac:dyDescent="0.25">
      <c r="A141" t="s">
        <v>106</v>
      </c>
      <c r="B141" t="s">
        <v>115</v>
      </c>
      <c r="C141" t="b">
        <v>0</v>
      </c>
      <c r="D141" s="1">
        <v>36982</v>
      </c>
      <c r="E141">
        <v>2</v>
      </c>
      <c r="F141"/>
      <c r="G141"/>
      <c r="H141"/>
      <c r="I141"/>
      <c r="J141"/>
      <c r="K141"/>
      <c r="L141"/>
      <c r="M141"/>
      <c r="N141"/>
      <c r="O141"/>
    </row>
    <row r="142" spans="1:15" hidden="1" x14ac:dyDescent="0.25">
      <c r="A142" t="s">
        <v>106</v>
      </c>
      <c r="B142" t="s">
        <v>115</v>
      </c>
      <c r="C142" t="b">
        <v>0</v>
      </c>
      <c r="D142" s="1">
        <v>36982</v>
      </c>
      <c r="E142">
        <v>2</v>
      </c>
      <c r="F142"/>
      <c r="G142"/>
      <c r="H142"/>
      <c r="I142"/>
      <c r="J142"/>
      <c r="K142"/>
      <c r="L142"/>
      <c r="M142"/>
      <c r="N142"/>
      <c r="O142"/>
    </row>
    <row r="143" spans="1:15" hidden="1" x14ac:dyDescent="0.25">
      <c r="A143" t="s">
        <v>43</v>
      </c>
      <c r="B143" t="s">
        <v>115</v>
      </c>
      <c r="C143" t="b">
        <v>0</v>
      </c>
      <c r="D143" s="1">
        <v>36982</v>
      </c>
      <c r="E143">
        <v>2</v>
      </c>
      <c r="F143"/>
      <c r="G143"/>
      <c r="H143"/>
      <c r="I143"/>
      <c r="J143"/>
      <c r="K143"/>
      <c r="L143"/>
      <c r="M143"/>
      <c r="N143"/>
      <c r="O143"/>
    </row>
    <row r="144" spans="1:15" hidden="1" x14ac:dyDescent="0.25">
      <c r="A144" t="s">
        <v>30</v>
      </c>
      <c r="B144" t="s">
        <v>115</v>
      </c>
      <c r="C144" t="b">
        <v>0</v>
      </c>
      <c r="D144" s="1">
        <v>36982</v>
      </c>
      <c r="E144">
        <v>2</v>
      </c>
      <c r="F144"/>
      <c r="G144"/>
      <c r="H144"/>
      <c r="I144"/>
      <c r="J144"/>
      <c r="K144"/>
      <c r="L144"/>
      <c r="M144"/>
      <c r="N144"/>
      <c r="O144"/>
    </row>
    <row r="145" spans="1:15" hidden="1" x14ac:dyDescent="0.25">
      <c r="A145" t="s">
        <v>39</v>
      </c>
      <c r="B145" t="s">
        <v>115</v>
      </c>
      <c r="C145" t="b">
        <v>0</v>
      </c>
      <c r="D145" s="1">
        <v>36982</v>
      </c>
      <c r="E145">
        <v>2</v>
      </c>
      <c r="F145"/>
      <c r="G145"/>
      <c r="H145"/>
      <c r="I145"/>
      <c r="J145"/>
      <c r="K145"/>
      <c r="L145"/>
      <c r="M145"/>
      <c r="N145"/>
      <c r="O145"/>
    </row>
    <row r="146" spans="1:15" hidden="1" x14ac:dyDescent="0.25">
      <c r="A146" t="s">
        <v>57</v>
      </c>
      <c r="B146" t="s">
        <v>115</v>
      </c>
      <c r="C146" t="b">
        <v>0</v>
      </c>
      <c r="D146" s="1">
        <v>36982</v>
      </c>
      <c r="E146">
        <v>2</v>
      </c>
      <c r="F146"/>
      <c r="G146"/>
      <c r="H146"/>
      <c r="I146"/>
      <c r="J146"/>
      <c r="K146"/>
      <c r="L146"/>
      <c r="M146"/>
      <c r="N146"/>
      <c r="O146"/>
    </row>
    <row r="147" spans="1:15" hidden="1" x14ac:dyDescent="0.25">
      <c r="A147" t="s">
        <v>100</v>
      </c>
      <c r="B147" t="s">
        <v>117</v>
      </c>
      <c r="C147" t="b">
        <v>0</v>
      </c>
      <c r="D147" s="1">
        <v>37012</v>
      </c>
      <c r="E147" s="2">
        <v>-38.299999999999997</v>
      </c>
      <c r="F147"/>
      <c r="G147"/>
      <c r="H147"/>
      <c r="I147"/>
      <c r="J147"/>
      <c r="K147"/>
      <c r="L147"/>
      <c r="M147"/>
      <c r="N147"/>
      <c r="O147"/>
    </row>
    <row r="148" spans="1:15" hidden="1" x14ac:dyDescent="0.25">
      <c r="A148" t="s">
        <v>103</v>
      </c>
      <c r="B148" t="s">
        <v>117</v>
      </c>
      <c r="C148" t="b">
        <v>0</v>
      </c>
      <c r="D148" s="1">
        <v>37012</v>
      </c>
      <c r="E148" s="2">
        <v>-3.57</v>
      </c>
      <c r="F148"/>
      <c r="G148"/>
      <c r="H148"/>
      <c r="I148"/>
      <c r="J148"/>
      <c r="K148"/>
      <c r="L148"/>
      <c r="M148"/>
      <c r="N148"/>
      <c r="O148"/>
    </row>
    <row r="149" spans="1:15" hidden="1" x14ac:dyDescent="0.25">
      <c r="A149" t="s">
        <v>13</v>
      </c>
      <c r="B149" t="s">
        <v>115</v>
      </c>
      <c r="C149" t="b">
        <v>0</v>
      </c>
      <c r="D149" s="1">
        <v>37012</v>
      </c>
      <c r="E149">
        <v>2</v>
      </c>
      <c r="F149"/>
      <c r="G149"/>
      <c r="H149"/>
      <c r="I149"/>
      <c r="J149"/>
      <c r="K149"/>
      <c r="L149"/>
      <c r="M149"/>
      <c r="N149"/>
      <c r="O149"/>
    </row>
    <row r="150" spans="1:15" hidden="1" x14ac:dyDescent="0.25">
      <c r="A150" t="s">
        <v>12</v>
      </c>
      <c r="B150" t="s">
        <v>115</v>
      </c>
      <c r="C150" t="b">
        <v>0</v>
      </c>
      <c r="D150" s="1">
        <v>37012</v>
      </c>
      <c r="E150">
        <v>2</v>
      </c>
      <c r="F150"/>
      <c r="G150"/>
      <c r="H150"/>
      <c r="I150"/>
      <c r="J150"/>
      <c r="K150"/>
      <c r="L150"/>
      <c r="M150"/>
      <c r="N150"/>
      <c r="O150"/>
    </row>
    <row r="151" spans="1:15" hidden="1" x14ac:dyDescent="0.25">
      <c r="A151" t="s">
        <v>14</v>
      </c>
      <c r="B151" t="s">
        <v>115</v>
      </c>
      <c r="C151" t="b">
        <v>0</v>
      </c>
      <c r="D151" s="1">
        <v>37012</v>
      </c>
      <c r="E151">
        <v>2</v>
      </c>
      <c r="F151"/>
      <c r="G151"/>
      <c r="H151"/>
      <c r="I151"/>
      <c r="J151"/>
      <c r="K151"/>
      <c r="L151"/>
      <c r="M151"/>
      <c r="N151"/>
      <c r="O151"/>
    </row>
    <row r="152" spans="1:15" hidden="1" x14ac:dyDescent="0.25">
      <c r="A152" t="s">
        <v>15</v>
      </c>
      <c r="B152" t="s">
        <v>115</v>
      </c>
      <c r="C152" t="b">
        <v>0</v>
      </c>
      <c r="D152" s="1">
        <v>37012</v>
      </c>
      <c r="E152">
        <v>2</v>
      </c>
      <c r="F152"/>
      <c r="G152"/>
      <c r="H152"/>
      <c r="I152"/>
      <c r="J152"/>
      <c r="K152"/>
      <c r="L152"/>
      <c r="M152"/>
      <c r="N152"/>
      <c r="O152"/>
    </row>
    <row r="153" spans="1:15" hidden="1" x14ac:dyDescent="0.25">
      <c r="A153" t="s">
        <v>106</v>
      </c>
      <c r="B153" t="s">
        <v>115</v>
      </c>
      <c r="C153" t="b">
        <v>0</v>
      </c>
      <c r="D153" s="1">
        <v>37012</v>
      </c>
      <c r="E153">
        <v>2</v>
      </c>
      <c r="F153"/>
      <c r="G153"/>
      <c r="H153"/>
      <c r="I153"/>
      <c r="J153"/>
      <c r="K153"/>
      <c r="L153"/>
      <c r="M153"/>
      <c r="N153"/>
      <c r="O153"/>
    </row>
    <row r="154" spans="1:15" hidden="1" x14ac:dyDescent="0.25">
      <c r="A154" t="s">
        <v>106</v>
      </c>
      <c r="B154" t="s">
        <v>115</v>
      </c>
      <c r="C154" t="b">
        <v>0</v>
      </c>
      <c r="D154" s="1">
        <v>37012</v>
      </c>
      <c r="E154">
        <v>2</v>
      </c>
      <c r="F154"/>
      <c r="G154"/>
      <c r="H154"/>
      <c r="I154"/>
      <c r="J154"/>
      <c r="K154"/>
      <c r="L154"/>
      <c r="M154"/>
      <c r="N154"/>
      <c r="O154"/>
    </row>
    <row r="155" spans="1:15" hidden="1" x14ac:dyDescent="0.25">
      <c r="A155" t="s">
        <v>106</v>
      </c>
      <c r="B155" t="s">
        <v>115</v>
      </c>
      <c r="C155" t="b">
        <v>0</v>
      </c>
      <c r="D155" s="1">
        <v>37012</v>
      </c>
      <c r="E155">
        <v>2</v>
      </c>
      <c r="F155"/>
      <c r="G155"/>
      <c r="H155"/>
      <c r="I155"/>
      <c r="J155"/>
      <c r="K155"/>
      <c r="L155"/>
      <c r="M155"/>
      <c r="N155"/>
      <c r="O155"/>
    </row>
    <row r="156" spans="1:15" hidden="1" x14ac:dyDescent="0.25">
      <c r="A156" t="s">
        <v>106</v>
      </c>
      <c r="B156" t="s">
        <v>115</v>
      </c>
      <c r="C156" t="b">
        <v>0</v>
      </c>
      <c r="D156" s="1">
        <v>37012</v>
      </c>
      <c r="E156">
        <v>2</v>
      </c>
      <c r="F156"/>
      <c r="G156"/>
      <c r="H156"/>
      <c r="I156"/>
      <c r="J156"/>
      <c r="K156"/>
      <c r="L156"/>
      <c r="M156"/>
      <c r="N156"/>
      <c r="O156"/>
    </row>
    <row r="157" spans="1:15" hidden="1" x14ac:dyDescent="0.25">
      <c r="A157" t="s">
        <v>106</v>
      </c>
      <c r="B157" t="s">
        <v>115</v>
      </c>
      <c r="C157" t="b">
        <v>0</v>
      </c>
      <c r="D157" s="1">
        <v>37012</v>
      </c>
      <c r="E157">
        <v>2</v>
      </c>
      <c r="F157"/>
      <c r="G157"/>
      <c r="H157"/>
      <c r="I157"/>
      <c r="J157"/>
      <c r="K157"/>
      <c r="L157"/>
      <c r="M157"/>
      <c r="N157"/>
      <c r="O157"/>
    </row>
    <row r="158" spans="1:15" hidden="1" x14ac:dyDescent="0.25">
      <c r="A158" t="s">
        <v>106</v>
      </c>
      <c r="B158" t="s">
        <v>115</v>
      </c>
      <c r="C158" t="b">
        <v>0</v>
      </c>
      <c r="D158" s="1">
        <v>37012</v>
      </c>
      <c r="E158">
        <v>2</v>
      </c>
      <c r="F158"/>
      <c r="G158"/>
      <c r="H158"/>
      <c r="I158"/>
      <c r="J158"/>
      <c r="K158"/>
      <c r="L158"/>
      <c r="M158"/>
      <c r="N158"/>
      <c r="O158"/>
    </row>
    <row r="159" spans="1:15" hidden="1" x14ac:dyDescent="0.25">
      <c r="A159" t="s">
        <v>106</v>
      </c>
      <c r="B159" t="s">
        <v>115</v>
      </c>
      <c r="C159" t="b">
        <v>0</v>
      </c>
      <c r="D159" s="1">
        <v>37012</v>
      </c>
      <c r="E159">
        <v>2</v>
      </c>
      <c r="F159"/>
      <c r="G159"/>
      <c r="H159"/>
      <c r="I159"/>
      <c r="J159"/>
      <c r="K159"/>
      <c r="L159"/>
      <c r="M159"/>
      <c r="N159"/>
      <c r="O159"/>
    </row>
    <row r="160" spans="1:15" hidden="1" x14ac:dyDescent="0.25">
      <c r="A160" t="s">
        <v>106</v>
      </c>
      <c r="B160" t="s">
        <v>115</v>
      </c>
      <c r="C160" t="b">
        <v>0</v>
      </c>
      <c r="D160" s="1">
        <v>37012</v>
      </c>
      <c r="E160">
        <v>2</v>
      </c>
      <c r="F160"/>
      <c r="G160"/>
      <c r="H160"/>
      <c r="I160"/>
      <c r="J160"/>
      <c r="K160"/>
      <c r="L160"/>
      <c r="M160"/>
      <c r="N160"/>
      <c r="O160"/>
    </row>
    <row r="161" spans="1:15" hidden="1" x14ac:dyDescent="0.25">
      <c r="A161" t="s">
        <v>106</v>
      </c>
      <c r="B161" t="s">
        <v>115</v>
      </c>
      <c r="C161" t="b">
        <v>0</v>
      </c>
      <c r="D161" s="1">
        <v>37012</v>
      </c>
      <c r="E161">
        <v>2</v>
      </c>
      <c r="F161"/>
      <c r="G161"/>
      <c r="H161"/>
      <c r="I161"/>
      <c r="J161"/>
      <c r="K161"/>
      <c r="L161"/>
      <c r="M161"/>
      <c r="N161"/>
      <c r="O161"/>
    </row>
    <row r="162" spans="1:15" hidden="1" x14ac:dyDescent="0.25">
      <c r="A162" t="s">
        <v>106</v>
      </c>
      <c r="B162" t="s">
        <v>115</v>
      </c>
      <c r="C162" t="b">
        <v>0</v>
      </c>
      <c r="D162" s="1">
        <v>37012</v>
      </c>
      <c r="E162">
        <v>2</v>
      </c>
      <c r="F162"/>
      <c r="G162"/>
      <c r="H162"/>
      <c r="I162"/>
      <c r="J162"/>
      <c r="K162"/>
      <c r="L162"/>
      <c r="M162"/>
      <c r="N162"/>
      <c r="O162"/>
    </row>
    <row r="163" spans="1:15" hidden="1" x14ac:dyDescent="0.25">
      <c r="A163" t="s">
        <v>106</v>
      </c>
      <c r="B163" t="s">
        <v>115</v>
      </c>
      <c r="C163" t="b">
        <v>0</v>
      </c>
      <c r="D163" s="1">
        <v>37012</v>
      </c>
      <c r="E163">
        <v>2</v>
      </c>
      <c r="F163"/>
      <c r="G163"/>
      <c r="H163"/>
      <c r="I163"/>
      <c r="J163"/>
      <c r="K163"/>
      <c r="L163"/>
      <c r="M163"/>
      <c r="N163"/>
      <c r="O163"/>
    </row>
    <row r="164" spans="1:15" hidden="1" x14ac:dyDescent="0.25">
      <c r="A164" t="s">
        <v>106</v>
      </c>
      <c r="B164" t="s">
        <v>115</v>
      </c>
      <c r="C164" t="b">
        <v>0</v>
      </c>
      <c r="D164" s="1">
        <v>37012</v>
      </c>
      <c r="E164">
        <v>2</v>
      </c>
      <c r="F164"/>
      <c r="G164"/>
      <c r="H164"/>
      <c r="I164"/>
      <c r="J164"/>
      <c r="K164"/>
      <c r="L164"/>
      <c r="M164"/>
      <c r="N164"/>
      <c r="O164"/>
    </row>
    <row r="165" spans="1:15" hidden="1" x14ac:dyDescent="0.25">
      <c r="A165" t="s">
        <v>106</v>
      </c>
      <c r="B165" t="s">
        <v>115</v>
      </c>
      <c r="C165" t="b">
        <v>0</v>
      </c>
      <c r="D165" s="1">
        <v>37012</v>
      </c>
      <c r="E165">
        <v>2</v>
      </c>
      <c r="F165"/>
      <c r="G165"/>
      <c r="H165"/>
      <c r="I165"/>
      <c r="J165"/>
      <c r="K165"/>
      <c r="L165"/>
      <c r="M165"/>
      <c r="N165"/>
      <c r="O165"/>
    </row>
    <row r="166" spans="1:15" hidden="1" x14ac:dyDescent="0.25">
      <c r="A166" t="s">
        <v>106</v>
      </c>
      <c r="B166" t="s">
        <v>115</v>
      </c>
      <c r="C166" t="b">
        <v>0</v>
      </c>
      <c r="D166" s="1">
        <v>37012</v>
      </c>
      <c r="E166">
        <v>2</v>
      </c>
      <c r="F166"/>
      <c r="G166"/>
      <c r="H166"/>
      <c r="I166"/>
      <c r="J166"/>
      <c r="K166"/>
      <c r="L166"/>
      <c r="M166"/>
      <c r="N166"/>
      <c r="O166"/>
    </row>
    <row r="167" spans="1:15" hidden="1" x14ac:dyDescent="0.25">
      <c r="A167" t="s">
        <v>106</v>
      </c>
      <c r="B167" t="s">
        <v>115</v>
      </c>
      <c r="C167" t="b">
        <v>0</v>
      </c>
      <c r="D167" s="1">
        <v>37012</v>
      </c>
      <c r="E167">
        <v>2</v>
      </c>
      <c r="F167"/>
      <c r="G167"/>
      <c r="H167"/>
      <c r="I167"/>
      <c r="J167"/>
      <c r="K167"/>
      <c r="L167"/>
      <c r="M167"/>
      <c r="N167"/>
      <c r="O167"/>
    </row>
    <row r="168" spans="1:15" hidden="1" x14ac:dyDescent="0.25">
      <c r="A168" t="s">
        <v>106</v>
      </c>
      <c r="B168" t="s">
        <v>115</v>
      </c>
      <c r="C168" t="b">
        <v>0</v>
      </c>
      <c r="D168" s="1">
        <v>37012</v>
      </c>
      <c r="E168">
        <v>2</v>
      </c>
      <c r="F168"/>
      <c r="G168"/>
      <c r="H168"/>
      <c r="I168"/>
      <c r="J168"/>
      <c r="K168"/>
      <c r="L168"/>
      <c r="M168"/>
      <c r="N168"/>
      <c r="O168"/>
    </row>
    <row r="169" spans="1:15" hidden="1" x14ac:dyDescent="0.25">
      <c r="A169" t="s">
        <v>106</v>
      </c>
      <c r="B169" t="s">
        <v>115</v>
      </c>
      <c r="C169" t="b">
        <v>0</v>
      </c>
      <c r="D169" s="1">
        <v>37012</v>
      </c>
      <c r="E169">
        <v>2</v>
      </c>
      <c r="F169"/>
      <c r="G169"/>
      <c r="H169"/>
      <c r="I169"/>
      <c r="J169"/>
      <c r="K169"/>
      <c r="L169"/>
      <c r="M169"/>
      <c r="N169"/>
      <c r="O169"/>
    </row>
    <row r="170" spans="1:15" hidden="1" x14ac:dyDescent="0.25">
      <c r="A170" t="s">
        <v>106</v>
      </c>
      <c r="B170" t="s">
        <v>115</v>
      </c>
      <c r="C170" t="b">
        <v>0</v>
      </c>
      <c r="D170" s="1">
        <v>37012</v>
      </c>
      <c r="E170">
        <v>2</v>
      </c>
      <c r="F170"/>
      <c r="G170"/>
      <c r="H170"/>
      <c r="I170"/>
      <c r="J170"/>
      <c r="K170"/>
      <c r="L170"/>
      <c r="M170"/>
      <c r="N170"/>
      <c r="O170"/>
    </row>
    <row r="171" spans="1:15" hidden="1" x14ac:dyDescent="0.25">
      <c r="A171" t="s">
        <v>106</v>
      </c>
      <c r="B171" t="s">
        <v>115</v>
      </c>
      <c r="C171" t="b">
        <v>0</v>
      </c>
      <c r="D171" s="1">
        <v>37012</v>
      </c>
      <c r="E171">
        <v>2</v>
      </c>
      <c r="F171"/>
      <c r="G171"/>
      <c r="H171"/>
      <c r="I171"/>
      <c r="J171"/>
      <c r="K171"/>
      <c r="L171"/>
      <c r="M171"/>
      <c r="N171"/>
      <c r="O171"/>
    </row>
    <row r="172" spans="1:15" hidden="1" x14ac:dyDescent="0.25">
      <c r="A172" t="s">
        <v>106</v>
      </c>
      <c r="B172" t="s">
        <v>115</v>
      </c>
      <c r="C172" t="b">
        <v>0</v>
      </c>
      <c r="D172" s="1">
        <v>37012</v>
      </c>
      <c r="E172">
        <v>2</v>
      </c>
      <c r="F172"/>
      <c r="G172"/>
      <c r="H172"/>
      <c r="I172"/>
      <c r="J172"/>
      <c r="K172"/>
      <c r="L172"/>
      <c r="M172"/>
      <c r="N172"/>
      <c r="O172"/>
    </row>
    <row r="173" spans="1:15" hidden="1" x14ac:dyDescent="0.25">
      <c r="A173" t="s">
        <v>106</v>
      </c>
      <c r="B173" t="s">
        <v>115</v>
      </c>
      <c r="C173" t="b">
        <v>0</v>
      </c>
      <c r="D173" s="1">
        <v>37012</v>
      </c>
      <c r="E173">
        <v>2</v>
      </c>
      <c r="F173"/>
      <c r="G173"/>
      <c r="H173"/>
      <c r="I173"/>
      <c r="J173"/>
      <c r="K173"/>
      <c r="L173"/>
      <c r="M173"/>
      <c r="N173"/>
      <c r="O173"/>
    </row>
    <row r="174" spans="1:15" hidden="1" x14ac:dyDescent="0.25">
      <c r="A174" t="s">
        <v>106</v>
      </c>
      <c r="B174" t="s">
        <v>115</v>
      </c>
      <c r="C174" t="b">
        <v>0</v>
      </c>
      <c r="D174" s="1">
        <v>37012</v>
      </c>
      <c r="E174">
        <v>2</v>
      </c>
      <c r="F174"/>
      <c r="G174"/>
      <c r="H174"/>
      <c r="I174"/>
      <c r="J174"/>
      <c r="K174"/>
      <c r="L174"/>
      <c r="M174"/>
      <c r="N174"/>
      <c r="O174"/>
    </row>
    <row r="175" spans="1:15" hidden="1" x14ac:dyDescent="0.25">
      <c r="A175" t="s">
        <v>106</v>
      </c>
      <c r="B175" t="s">
        <v>115</v>
      </c>
      <c r="C175" t="b">
        <v>0</v>
      </c>
      <c r="D175" s="1">
        <v>37012</v>
      </c>
      <c r="E175">
        <v>2</v>
      </c>
      <c r="F175"/>
      <c r="G175"/>
      <c r="H175"/>
      <c r="I175"/>
      <c r="J175"/>
      <c r="K175"/>
      <c r="L175"/>
      <c r="M175"/>
      <c r="N175"/>
      <c r="O175"/>
    </row>
    <row r="176" spans="1:15" hidden="1" x14ac:dyDescent="0.25">
      <c r="A176" t="s">
        <v>106</v>
      </c>
      <c r="B176" t="s">
        <v>115</v>
      </c>
      <c r="C176" t="b">
        <v>0</v>
      </c>
      <c r="D176" s="1">
        <v>37012</v>
      </c>
      <c r="E176">
        <v>2</v>
      </c>
      <c r="F176"/>
      <c r="G176"/>
      <c r="H176"/>
      <c r="I176"/>
      <c r="J176"/>
      <c r="K176"/>
      <c r="L176"/>
      <c r="M176"/>
      <c r="N176"/>
      <c r="O176"/>
    </row>
    <row r="177" spans="1:15" hidden="1" x14ac:dyDescent="0.25">
      <c r="A177" t="s">
        <v>106</v>
      </c>
      <c r="B177" t="s">
        <v>115</v>
      </c>
      <c r="C177" t="b">
        <v>0</v>
      </c>
      <c r="D177" s="1">
        <v>37012</v>
      </c>
      <c r="E177">
        <v>2</v>
      </c>
      <c r="F177"/>
      <c r="G177"/>
      <c r="H177"/>
      <c r="I177"/>
      <c r="J177"/>
      <c r="K177"/>
      <c r="L177"/>
      <c r="M177"/>
      <c r="N177"/>
      <c r="O177"/>
    </row>
    <row r="178" spans="1:15" hidden="1" x14ac:dyDescent="0.25">
      <c r="A178" t="s">
        <v>106</v>
      </c>
      <c r="B178" t="s">
        <v>115</v>
      </c>
      <c r="C178" t="b">
        <v>0</v>
      </c>
      <c r="D178" s="1">
        <v>37012</v>
      </c>
      <c r="E178">
        <v>2</v>
      </c>
      <c r="F178"/>
      <c r="G178"/>
      <c r="H178"/>
      <c r="I178"/>
      <c r="J178"/>
      <c r="K178"/>
      <c r="L178"/>
      <c r="M178"/>
      <c r="N178"/>
      <c r="O178"/>
    </row>
    <row r="179" spans="1:15" hidden="1" x14ac:dyDescent="0.25">
      <c r="A179" t="s">
        <v>106</v>
      </c>
      <c r="B179" t="s">
        <v>115</v>
      </c>
      <c r="C179" t="b">
        <v>0</v>
      </c>
      <c r="D179" s="1">
        <v>37012</v>
      </c>
      <c r="E179">
        <v>2</v>
      </c>
      <c r="F179"/>
      <c r="G179"/>
      <c r="H179"/>
      <c r="I179"/>
      <c r="J179"/>
      <c r="K179"/>
      <c r="L179"/>
      <c r="M179"/>
      <c r="N179"/>
      <c r="O179"/>
    </row>
    <row r="180" spans="1:15" hidden="1" x14ac:dyDescent="0.25">
      <c r="A180" t="s">
        <v>43</v>
      </c>
      <c r="B180" t="s">
        <v>115</v>
      </c>
      <c r="C180" t="b">
        <v>0</v>
      </c>
      <c r="D180" s="1">
        <v>37012</v>
      </c>
      <c r="E180">
        <v>2</v>
      </c>
      <c r="F180"/>
      <c r="G180"/>
      <c r="H180"/>
      <c r="I180"/>
      <c r="J180"/>
      <c r="K180"/>
      <c r="L180"/>
      <c r="M180"/>
      <c r="N180"/>
      <c r="O180"/>
    </row>
    <row r="181" spans="1:15" hidden="1" x14ac:dyDescent="0.25">
      <c r="A181" t="s">
        <v>30</v>
      </c>
      <c r="B181" t="s">
        <v>115</v>
      </c>
      <c r="C181" t="b">
        <v>0</v>
      </c>
      <c r="D181" s="1">
        <v>37012</v>
      </c>
      <c r="E181">
        <v>2</v>
      </c>
      <c r="F181"/>
      <c r="G181"/>
      <c r="H181"/>
      <c r="I181"/>
      <c r="J181"/>
      <c r="K181"/>
      <c r="L181"/>
      <c r="M181"/>
      <c r="N181"/>
      <c r="O181"/>
    </row>
    <row r="182" spans="1:15" hidden="1" x14ac:dyDescent="0.25">
      <c r="A182" t="s">
        <v>39</v>
      </c>
      <c r="B182" t="s">
        <v>115</v>
      </c>
      <c r="C182" t="b">
        <v>0</v>
      </c>
      <c r="D182" s="1">
        <v>37012</v>
      </c>
      <c r="E182">
        <v>2</v>
      </c>
      <c r="F182"/>
      <c r="G182"/>
      <c r="H182"/>
      <c r="I182"/>
      <c r="J182"/>
      <c r="K182"/>
      <c r="L182"/>
      <c r="M182"/>
      <c r="N182"/>
      <c r="O182"/>
    </row>
    <row r="183" spans="1:15" hidden="1" x14ac:dyDescent="0.25">
      <c r="A183" t="s">
        <v>57</v>
      </c>
      <c r="B183" t="s">
        <v>115</v>
      </c>
      <c r="C183" t="b">
        <v>0</v>
      </c>
      <c r="D183" s="1">
        <v>37012</v>
      </c>
      <c r="E183">
        <v>2</v>
      </c>
      <c r="F183"/>
      <c r="G183"/>
      <c r="H183"/>
      <c r="I183"/>
      <c r="J183"/>
      <c r="K183"/>
      <c r="L183"/>
      <c r="M183"/>
      <c r="N183"/>
      <c r="O183"/>
    </row>
    <row r="184" spans="1:15" hidden="1" x14ac:dyDescent="0.25">
      <c r="A184" t="s">
        <v>100</v>
      </c>
      <c r="B184" t="s">
        <v>117</v>
      </c>
      <c r="C184" t="b">
        <v>0</v>
      </c>
      <c r="D184" s="1">
        <v>37043</v>
      </c>
      <c r="E184" s="2">
        <v>-52.75</v>
      </c>
      <c r="F184"/>
      <c r="G184"/>
      <c r="H184"/>
      <c r="I184"/>
      <c r="J184"/>
      <c r="K184"/>
      <c r="L184"/>
      <c r="M184"/>
      <c r="N184"/>
      <c r="O184"/>
    </row>
    <row r="185" spans="1:15" hidden="1" x14ac:dyDescent="0.25">
      <c r="A185" t="s">
        <v>13</v>
      </c>
      <c r="B185" t="s">
        <v>115</v>
      </c>
      <c r="C185" t="b">
        <v>0</v>
      </c>
      <c r="D185" s="1">
        <v>37043</v>
      </c>
      <c r="E185">
        <v>2</v>
      </c>
      <c r="F185"/>
      <c r="G185"/>
      <c r="H185"/>
      <c r="I185"/>
      <c r="J185"/>
      <c r="K185"/>
      <c r="L185"/>
      <c r="M185"/>
      <c r="N185"/>
      <c r="O185"/>
    </row>
    <row r="186" spans="1:15" hidden="1" x14ac:dyDescent="0.25">
      <c r="A186" t="s">
        <v>12</v>
      </c>
      <c r="B186" t="s">
        <v>115</v>
      </c>
      <c r="C186" t="b">
        <v>0</v>
      </c>
      <c r="D186" s="1">
        <v>37043</v>
      </c>
      <c r="E186">
        <v>2</v>
      </c>
      <c r="F186"/>
      <c r="G186"/>
      <c r="H186"/>
      <c r="I186"/>
      <c r="J186"/>
      <c r="K186"/>
      <c r="L186"/>
      <c r="M186"/>
      <c r="N186"/>
      <c r="O186"/>
    </row>
    <row r="187" spans="1:15" hidden="1" x14ac:dyDescent="0.25">
      <c r="A187" t="s">
        <v>14</v>
      </c>
      <c r="B187" t="s">
        <v>115</v>
      </c>
      <c r="C187" t="b">
        <v>0</v>
      </c>
      <c r="D187" s="1">
        <v>37043</v>
      </c>
      <c r="E187">
        <v>2</v>
      </c>
      <c r="F187"/>
      <c r="G187"/>
      <c r="H187"/>
      <c r="I187"/>
      <c r="J187"/>
      <c r="K187"/>
      <c r="L187"/>
      <c r="M187"/>
      <c r="N187"/>
      <c r="O187"/>
    </row>
    <row r="188" spans="1:15" hidden="1" x14ac:dyDescent="0.25">
      <c r="A188" t="s">
        <v>15</v>
      </c>
      <c r="B188" t="s">
        <v>115</v>
      </c>
      <c r="C188" t="b">
        <v>0</v>
      </c>
      <c r="D188" s="1">
        <v>37043</v>
      </c>
      <c r="E188">
        <v>2</v>
      </c>
      <c r="F188"/>
      <c r="G188"/>
      <c r="H188"/>
      <c r="I188"/>
      <c r="J188"/>
      <c r="K188"/>
      <c r="L188"/>
      <c r="M188"/>
      <c r="N188"/>
      <c r="O188"/>
    </row>
    <row r="189" spans="1:15" hidden="1" x14ac:dyDescent="0.25">
      <c r="A189" t="s">
        <v>106</v>
      </c>
      <c r="B189" t="s">
        <v>115</v>
      </c>
      <c r="C189" t="b">
        <v>0</v>
      </c>
      <c r="D189" s="1">
        <v>37043</v>
      </c>
      <c r="E189">
        <v>2</v>
      </c>
      <c r="F189"/>
      <c r="G189"/>
      <c r="H189"/>
      <c r="I189"/>
      <c r="J189"/>
      <c r="K189"/>
      <c r="L189"/>
      <c r="M189"/>
      <c r="N189"/>
      <c r="O189"/>
    </row>
    <row r="190" spans="1:15" hidden="1" x14ac:dyDescent="0.25">
      <c r="A190" t="s">
        <v>106</v>
      </c>
      <c r="B190" t="s">
        <v>115</v>
      </c>
      <c r="C190" t="b">
        <v>0</v>
      </c>
      <c r="D190" s="1">
        <v>37043</v>
      </c>
      <c r="E190">
        <v>2</v>
      </c>
      <c r="F190"/>
      <c r="G190"/>
      <c r="H190"/>
      <c r="I190"/>
      <c r="J190"/>
      <c r="K190"/>
      <c r="L190"/>
      <c r="M190"/>
      <c r="N190"/>
      <c r="O190"/>
    </row>
    <row r="191" spans="1:15" hidden="1" x14ac:dyDescent="0.25">
      <c r="A191" t="s">
        <v>106</v>
      </c>
      <c r="B191" t="s">
        <v>115</v>
      </c>
      <c r="C191" t="b">
        <v>0</v>
      </c>
      <c r="D191" s="1">
        <v>37043</v>
      </c>
      <c r="E191">
        <v>2</v>
      </c>
      <c r="F191"/>
      <c r="G191"/>
      <c r="H191"/>
      <c r="I191"/>
      <c r="J191"/>
      <c r="K191"/>
      <c r="L191"/>
      <c r="M191"/>
      <c r="N191"/>
      <c r="O191"/>
    </row>
    <row r="192" spans="1:15" hidden="1" x14ac:dyDescent="0.25">
      <c r="A192" t="s">
        <v>106</v>
      </c>
      <c r="B192" t="s">
        <v>115</v>
      </c>
      <c r="C192" t="b">
        <v>0</v>
      </c>
      <c r="D192" s="1">
        <v>37043</v>
      </c>
      <c r="E192">
        <v>2</v>
      </c>
      <c r="F192"/>
      <c r="G192"/>
      <c r="H192"/>
      <c r="I192"/>
      <c r="J192"/>
      <c r="K192"/>
      <c r="L192"/>
      <c r="M192"/>
      <c r="N192"/>
      <c r="O192"/>
    </row>
    <row r="193" spans="1:15" hidden="1" x14ac:dyDescent="0.25">
      <c r="A193" t="s">
        <v>106</v>
      </c>
      <c r="B193" t="s">
        <v>115</v>
      </c>
      <c r="C193" t="b">
        <v>0</v>
      </c>
      <c r="D193" s="1">
        <v>37043</v>
      </c>
      <c r="E193">
        <v>2</v>
      </c>
      <c r="F193"/>
      <c r="G193"/>
      <c r="H193"/>
      <c r="I193"/>
      <c r="J193"/>
      <c r="K193"/>
      <c r="L193"/>
      <c r="M193"/>
      <c r="N193"/>
      <c r="O193"/>
    </row>
    <row r="194" spans="1:15" hidden="1" x14ac:dyDescent="0.25">
      <c r="A194" t="s">
        <v>106</v>
      </c>
      <c r="B194" t="s">
        <v>115</v>
      </c>
      <c r="C194" t="b">
        <v>0</v>
      </c>
      <c r="D194" s="1">
        <v>37043</v>
      </c>
      <c r="E194">
        <v>2</v>
      </c>
      <c r="F194"/>
      <c r="G194"/>
      <c r="H194"/>
      <c r="I194"/>
      <c r="J194"/>
      <c r="K194"/>
      <c r="L194"/>
      <c r="M194"/>
      <c r="N194"/>
      <c r="O194"/>
    </row>
    <row r="195" spans="1:15" hidden="1" x14ac:dyDescent="0.25">
      <c r="A195" t="s">
        <v>106</v>
      </c>
      <c r="B195" t="s">
        <v>115</v>
      </c>
      <c r="C195" t="b">
        <v>0</v>
      </c>
      <c r="D195" s="1">
        <v>37043</v>
      </c>
      <c r="E195">
        <v>1</v>
      </c>
      <c r="F195"/>
      <c r="G195"/>
      <c r="H195"/>
      <c r="I195"/>
      <c r="J195"/>
      <c r="K195"/>
      <c r="L195"/>
      <c r="M195"/>
      <c r="N195"/>
      <c r="O195"/>
    </row>
    <row r="196" spans="1:15" hidden="1" x14ac:dyDescent="0.25">
      <c r="A196" t="s">
        <v>106</v>
      </c>
      <c r="B196" t="s">
        <v>115</v>
      </c>
      <c r="C196" t="b">
        <v>0</v>
      </c>
      <c r="D196" s="1">
        <v>37043</v>
      </c>
      <c r="E196">
        <v>2</v>
      </c>
      <c r="F196"/>
      <c r="G196"/>
      <c r="H196"/>
      <c r="I196"/>
      <c r="J196"/>
      <c r="K196"/>
      <c r="L196"/>
      <c r="M196"/>
      <c r="N196"/>
      <c r="O196"/>
    </row>
    <row r="197" spans="1:15" hidden="1" x14ac:dyDescent="0.25">
      <c r="A197" t="s">
        <v>106</v>
      </c>
      <c r="B197" t="s">
        <v>115</v>
      </c>
      <c r="C197" t="b">
        <v>0</v>
      </c>
      <c r="D197" s="1">
        <v>37043</v>
      </c>
      <c r="E197">
        <v>2</v>
      </c>
      <c r="F197"/>
      <c r="G197"/>
      <c r="H197"/>
      <c r="I197"/>
      <c r="J197"/>
      <c r="K197"/>
      <c r="L197"/>
      <c r="M197"/>
      <c r="N197"/>
      <c r="O197"/>
    </row>
    <row r="198" spans="1:15" hidden="1" x14ac:dyDescent="0.25">
      <c r="A198" t="s">
        <v>106</v>
      </c>
      <c r="B198" t="s">
        <v>115</v>
      </c>
      <c r="C198" t="b">
        <v>0</v>
      </c>
      <c r="D198" s="1">
        <v>37043</v>
      </c>
      <c r="E198">
        <v>2</v>
      </c>
      <c r="F198"/>
      <c r="G198"/>
      <c r="H198"/>
      <c r="I198"/>
      <c r="J198"/>
      <c r="K198"/>
      <c r="L198"/>
      <c r="M198"/>
      <c r="N198"/>
      <c r="O198"/>
    </row>
    <row r="199" spans="1:15" hidden="1" x14ac:dyDescent="0.25">
      <c r="A199" t="s">
        <v>106</v>
      </c>
      <c r="B199" t="s">
        <v>115</v>
      </c>
      <c r="C199" t="b">
        <v>0</v>
      </c>
      <c r="D199" s="1">
        <v>37043</v>
      </c>
      <c r="E199">
        <v>2</v>
      </c>
      <c r="F199"/>
      <c r="G199"/>
      <c r="H199"/>
      <c r="I199"/>
      <c r="J199"/>
      <c r="K199"/>
      <c r="L199"/>
      <c r="M199"/>
      <c r="N199"/>
      <c r="O199"/>
    </row>
    <row r="200" spans="1:15" hidden="1" x14ac:dyDescent="0.25">
      <c r="A200" t="s">
        <v>106</v>
      </c>
      <c r="B200" t="s">
        <v>115</v>
      </c>
      <c r="C200" t="b">
        <v>0</v>
      </c>
      <c r="D200" s="1">
        <v>37043</v>
      </c>
      <c r="E200">
        <v>1</v>
      </c>
      <c r="F200"/>
      <c r="G200"/>
      <c r="H200"/>
      <c r="I200"/>
      <c r="J200"/>
      <c r="K200"/>
      <c r="L200"/>
      <c r="M200"/>
      <c r="N200"/>
      <c r="O200"/>
    </row>
    <row r="201" spans="1:15" hidden="1" x14ac:dyDescent="0.25">
      <c r="A201" t="s">
        <v>106</v>
      </c>
      <c r="B201" t="s">
        <v>115</v>
      </c>
      <c r="C201" t="b">
        <v>0</v>
      </c>
      <c r="D201" s="1">
        <v>37043</v>
      </c>
      <c r="E201">
        <v>2</v>
      </c>
      <c r="F201"/>
      <c r="G201"/>
      <c r="H201"/>
      <c r="I201"/>
      <c r="J201"/>
      <c r="K201"/>
      <c r="L201"/>
      <c r="M201"/>
      <c r="N201"/>
      <c r="O201"/>
    </row>
    <row r="202" spans="1:15" hidden="1" x14ac:dyDescent="0.25">
      <c r="A202" t="s">
        <v>106</v>
      </c>
      <c r="B202" t="s">
        <v>115</v>
      </c>
      <c r="C202" t="b">
        <v>0</v>
      </c>
      <c r="D202" s="1">
        <v>37043</v>
      </c>
      <c r="E202">
        <v>2</v>
      </c>
      <c r="F202"/>
      <c r="G202"/>
      <c r="H202"/>
      <c r="I202"/>
      <c r="J202"/>
      <c r="K202"/>
      <c r="L202"/>
      <c r="M202"/>
      <c r="N202"/>
      <c r="O202"/>
    </row>
    <row r="203" spans="1:15" hidden="1" x14ac:dyDescent="0.25">
      <c r="A203" t="s">
        <v>106</v>
      </c>
      <c r="B203" t="s">
        <v>115</v>
      </c>
      <c r="C203" t="b">
        <v>0</v>
      </c>
      <c r="D203" s="1">
        <v>37043</v>
      </c>
      <c r="E203">
        <v>2</v>
      </c>
      <c r="F203"/>
      <c r="G203"/>
      <c r="H203"/>
      <c r="I203"/>
      <c r="J203"/>
      <c r="K203"/>
      <c r="L203"/>
      <c r="M203"/>
      <c r="N203"/>
      <c r="O203"/>
    </row>
    <row r="204" spans="1:15" hidden="1" x14ac:dyDescent="0.25">
      <c r="A204" t="s">
        <v>106</v>
      </c>
      <c r="B204" t="s">
        <v>115</v>
      </c>
      <c r="C204" t="b">
        <v>0</v>
      </c>
      <c r="D204" s="1">
        <v>37043</v>
      </c>
      <c r="E204">
        <v>2</v>
      </c>
      <c r="F204"/>
      <c r="G204"/>
      <c r="H204"/>
      <c r="I204"/>
      <c r="J204"/>
      <c r="K204"/>
      <c r="L204"/>
      <c r="M204"/>
      <c r="N204"/>
      <c r="O204"/>
    </row>
    <row r="205" spans="1:15" hidden="1" x14ac:dyDescent="0.25">
      <c r="A205" t="s">
        <v>106</v>
      </c>
      <c r="B205" t="s">
        <v>115</v>
      </c>
      <c r="C205" t="b">
        <v>0</v>
      </c>
      <c r="D205" s="1">
        <v>37043</v>
      </c>
      <c r="E205">
        <v>2</v>
      </c>
      <c r="F205"/>
      <c r="G205"/>
      <c r="H205"/>
      <c r="I205"/>
      <c r="J205"/>
      <c r="K205"/>
      <c r="L205"/>
      <c r="M205"/>
      <c r="N205"/>
      <c r="O205"/>
    </row>
    <row r="206" spans="1:15" hidden="1" x14ac:dyDescent="0.25">
      <c r="A206" t="s">
        <v>106</v>
      </c>
      <c r="B206" t="s">
        <v>115</v>
      </c>
      <c r="C206" t="b">
        <v>0</v>
      </c>
      <c r="D206" s="1">
        <v>37043</v>
      </c>
      <c r="E206">
        <v>1</v>
      </c>
      <c r="F206"/>
      <c r="G206"/>
      <c r="H206"/>
      <c r="I206"/>
      <c r="J206"/>
      <c r="K206"/>
      <c r="L206"/>
      <c r="M206"/>
      <c r="N206"/>
      <c r="O206"/>
    </row>
    <row r="207" spans="1:15" hidden="1" x14ac:dyDescent="0.25">
      <c r="A207" t="s">
        <v>106</v>
      </c>
      <c r="B207" t="s">
        <v>115</v>
      </c>
      <c r="C207" t="b">
        <v>0</v>
      </c>
      <c r="D207" s="1">
        <v>37043</v>
      </c>
      <c r="E207">
        <v>2</v>
      </c>
      <c r="F207"/>
      <c r="G207"/>
      <c r="H207"/>
      <c r="I207"/>
      <c r="J207"/>
      <c r="K207"/>
      <c r="L207"/>
      <c r="M207"/>
      <c r="N207"/>
      <c r="O207"/>
    </row>
    <row r="208" spans="1:15" hidden="1" x14ac:dyDescent="0.25">
      <c r="A208" t="s">
        <v>106</v>
      </c>
      <c r="B208" t="s">
        <v>115</v>
      </c>
      <c r="C208" t="b">
        <v>0</v>
      </c>
      <c r="D208" s="1">
        <v>37043</v>
      </c>
      <c r="E208">
        <v>2</v>
      </c>
      <c r="F208"/>
      <c r="G208"/>
      <c r="H208"/>
      <c r="I208"/>
      <c r="J208"/>
      <c r="K208"/>
      <c r="L208"/>
      <c r="M208"/>
      <c r="N208"/>
      <c r="O208"/>
    </row>
    <row r="209" spans="1:15" hidden="1" x14ac:dyDescent="0.25">
      <c r="A209" t="s">
        <v>106</v>
      </c>
      <c r="B209" t="s">
        <v>115</v>
      </c>
      <c r="C209" t="b">
        <v>0</v>
      </c>
      <c r="D209" s="1">
        <v>37043</v>
      </c>
      <c r="E209">
        <v>2</v>
      </c>
      <c r="F209"/>
      <c r="G209"/>
      <c r="H209"/>
      <c r="I209"/>
      <c r="J209"/>
      <c r="K209"/>
      <c r="L209"/>
      <c r="M209"/>
      <c r="N209"/>
      <c r="O209"/>
    </row>
    <row r="210" spans="1:15" hidden="1" x14ac:dyDescent="0.25">
      <c r="A210" t="s">
        <v>106</v>
      </c>
      <c r="B210" t="s">
        <v>115</v>
      </c>
      <c r="C210" t="b">
        <v>0</v>
      </c>
      <c r="D210" s="1">
        <v>37043</v>
      </c>
      <c r="E210">
        <v>2</v>
      </c>
      <c r="F210"/>
      <c r="G210"/>
      <c r="H210"/>
      <c r="I210"/>
      <c r="J210"/>
      <c r="K210"/>
      <c r="L210"/>
      <c r="M210"/>
      <c r="N210"/>
      <c r="O210"/>
    </row>
    <row r="211" spans="1:15" hidden="1" x14ac:dyDescent="0.25">
      <c r="A211" t="s">
        <v>106</v>
      </c>
      <c r="B211" t="s">
        <v>115</v>
      </c>
      <c r="C211" t="b">
        <v>0</v>
      </c>
      <c r="D211" s="1">
        <v>37043</v>
      </c>
      <c r="E211">
        <v>2</v>
      </c>
      <c r="F211"/>
      <c r="G211"/>
      <c r="H211"/>
      <c r="I211"/>
      <c r="J211"/>
      <c r="K211"/>
      <c r="L211"/>
      <c r="M211"/>
      <c r="N211"/>
      <c r="O211"/>
    </row>
    <row r="212" spans="1:15" hidden="1" x14ac:dyDescent="0.25">
      <c r="A212" t="s">
        <v>106</v>
      </c>
      <c r="B212" t="s">
        <v>115</v>
      </c>
      <c r="C212" t="b">
        <v>0</v>
      </c>
      <c r="D212" s="1">
        <v>37043</v>
      </c>
      <c r="E212">
        <v>2</v>
      </c>
      <c r="F212"/>
      <c r="G212"/>
      <c r="H212"/>
      <c r="I212"/>
      <c r="J212"/>
      <c r="K212"/>
      <c r="L212"/>
      <c r="M212"/>
      <c r="N212"/>
      <c r="O212"/>
    </row>
    <row r="213" spans="1:15" hidden="1" x14ac:dyDescent="0.25">
      <c r="A213" t="s">
        <v>106</v>
      </c>
      <c r="B213" t="s">
        <v>115</v>
      </c>
      <c r="C213" t="b">
        <v>0</v>
      </c>
      <c r="D213" s="1">
        <v>37043</v>
      </c>
      <c r="E213">
        <v>2</v>
      </c>
      <c r="F213"/>
      <c r="G213"/>
      <c r="H213"/>
      <c r="I213"/>
      <c r="J213"/>
      <c r="K213"/>
      <c r="L213"/>
      <c r="M213"/>
      <c r="N213"/>
      <c r="O213"/>
    </row>
    <row r="214" spans="1:15" hidden="1" x14ac:dyDescent="0.25">
      <c r="A214" t="s">
        <v>106</v>
      </c>
      <c r="B214" t="s">
        <v>115</v>
      </c>
      <c r="C214" t="b">
        <v>0</v>
      </c>
      <c r="D214" s="1">
        <v>37043</v>
      </c>
      <c r="E214">
        <v>2</v>
      </c>
      <c r="F214"/>
      <c r="G214"/>
      <c r="H214"/>
      <c r="I214"/>
      <c r="J214"/>
      <c r="K214"/>
      <c r="L214"/>
      <c r="M214"/>
      <c r="N214"/>
      <c r="O214"/>
    </row>
    <row r="215" spans="1:15" hidden="1" x14ac:dyDescent="0.25">
      <c r="A215" t="s">
        <v>43</v>
      </c>
      <c r="B215" t="s">
        <v>115</v>
      </c>
      <c r="C215" t="b">
        <v>0</v>
      </c>
      <c r="D215" s="1">
        <v>37043</v>
      </c>
      <c r="E215">
        <v>2</v>
      </c>
      <c r="F215"/>
      <c r="G215"/>
      <c r="H215"/>
      <c r="I215"/>
      <c r="J215"/>
      <c r="K215"/>
      <c r="L215"/>
      <c r="M215"/>
      <c r="N215"/>
      <c r="O215"/>
    </row>
    <row r="216" spans="1:15" hidden="1" x14ac:dyDescent="0.25">
      <c r="A216" t="s">
        <v>30</v>
      </c>
      <c r="B216" t="s">
        <v>115</v>
      </c>
      <c r="C216" t="b">
        <v>0</v>
      </c>
      <c r="D216" s="1">
        <v>37043</v>
      </c>
      <c r="E216">
        <v>2</v>
      </c>
      <c r="F216"/>
      <c r="G216"/>
      <c r="H216"/>
      <c r="I216"/>
      <c r="J216"/>
      <c r="K216"/>
      <c r="L216"/>
      <c r="M216"/>
      <c r="N216"/>
      <c r="O216"/>
    </row>
    <row r="217" spans="1:15" hidden="1" x14ac:dyDescent="0.25">
      <c r="A217" t="s">
        <v>39</v>
      </c>
      <c r="B217" t="s">
        <v>115</v>
      </c>
      <c r="C217" t="b">
        <v>0</v>
      </c>
      <c r="D217" s="1">
        <v>37043</v>
      </c>
      <c r="E217">
        <v>2</v>
      </c>
      <c r="F217"/>
      <c r="G217"/>
      <c r="H217"/>
      <c r="I217"/>
      <c r="J217"/>
      <c r="K217"/>
      <c r="L217"/>
      <c r="M217"/>
      <c r="N217"/>
      <c r="O217"/>
    </row>
    <row r="218" spans="1:15" hidden="1" x14ac:dyDescent="0.25">
      <c r="A218" t="s">
        <v>57</v>
      </c>
      <c r="B218" t="s">
        <v>115</v>
      </c>
      <c r="C218" t="b">
        <v>0</v>
      </c>
      <c r="D218" s="1">
        <v>37043</v>
      </c>
      <c r="E218">
        <v>2</v>
      </c>
      <c r="F218"/>
      <c r="G218"/>
      <c r="H218"/>
      <c r="I218"/>
      <c r="J218"/>
      <c r="K218"/>
      <c r="L218"/>
      <c r="M218"/>
      <c r="N218"/>
      <c r="O218"/>
    </row>
    <row r="219" spans="1:15" hidden="1" x14ac:dyDescent="0.25">
      <c r="A219" t="s">
        <v>100</v>
      </c>
      <c r="B219" t="s">
        <v>117</v>
      </c>
      <c r="C219" t="b">
        <v>0</v>
      </c>
      <c r="D219" s="1">
        <v>37073</v>
      </c>
      <c r="E219" s="2">
        <v>-116</v>
      </c>
      <c r="F219"/>
      <c r="G219"/>
      <c r="H219"/>
      <c r="I219"/>
      <c r="J219"/>
      <c r="K219"/>
      <c r="L219"/>
      <c r="M219"/>
      <c r="N219"/>
      <c r="O219"/>
    </row>
    <row r="220" spans="1:15" hidden="1" x14ac:dyDescent="0.25">
      <c r="A220" t="s">
        <v>13</v>
      </c>
      <c r="B220" t="s">
        <v>115</v>
      </c>
      <c r="C220" t="b">
        <v>0</v>
      </c>
      <c r="D220" s="1">
        <v>37073</v>
      </c>
      <c r="E220">
        <v>2</v>
      </c>
      <c r="F220"/>
      <c r="G220"/>
      <c r="H220"/>
      <c r="I220"/>
      <c r="J220"/>
      <c r="K220"/>
      <c r="L220"/>
      <c r="M220"/>
      <c r="N220"/>
      <c r="O220"/>
    </row>
    <row r="221" spans="1:15" hidden="1" x14ac:dyDescent="0.25">
      <c r="A221" t="s">
        <v>12</v>
      </c>
      <c r="B221" t="s">
        <v>115</v>
      </c>
      <c r="C221" t="b">
        <v>0</v>
      </c>
      <c r="D221" s="1">
        <v>37073</v>
      </c>
      <c r="E221">
        <v>2</v>
      </c>
      <c r="F221"/>
      <c r="G221"/>
      <c r="H221"/>
      <c r="I221"/>
      <c r="J221"/>
      <c r="K221"/>
      <c r="L221"/>
      <c r="M221"/>
      <c r="N221"/>
      <c r="O221"/>
    </row>
    <row r="222" spans="1:15" hidden="1" x14ac:dyDescent="0.25">
      <c r="A222" t="s">
        <v>14</v>
      </c>
      <c r="B222" t="s">
        <v>115</v>
      </c>
      <c r="C222" t="b">
        <v>0</v>
      </c>
      <c r="D222" s="1">
        <v>37073</v>
      </c>
      <c r="E222">
        <v>2</v>
      </c>
      <c r="F222"/>
      <c r="G222"/>
      <c r="H222"/>
      <c r="I222"/>
      <c r="J222"/>
      <c r="K222"/>
      <c r="L222"/>
      <c r="M222"/>
      <c r="N222"/>
      <c r="O222"/>
    </row>
    <row r="223" spans="1:15" hidden="1" x14ac:dyDescent="0.25">
      <c r="A223" t="s">
        <v>15</v>
      </c>
      <c r="B223" t="s">
        <v>115</v>
      </c>
      <c r="C223" t="b">
        <v>0</v>
      </c>
      <c r="D223" s="1">
        <v>37073</v>
      </c>
      <c r="E223">
        <v>2</v>
      </c>
      <c r="F223"/>
      <c r="G223"/>
      <c r="H223"/>
      <c r="I223"/>
      <c r="J223"/>
      <c r="K223"/>
      <c r="L223"/>
      <c r="M223"/>
      <c r="N223"/>
      <c r="O223"/>
    </row>
    <row r="224" spans="1:15" hidden="1" x14ac:dyDescent="0.25">
      <c r="A224" t="s">
        <v>109</v>
      </c>
      <c r="B224" t="s">
        <v>115</v>
      </c>
      <c r="C224" t="b">
        <v>0</v>
      </c>
      <c r="D224" s="1">
        <v>37073</v>
      </c>
      <c r="E224">
        <v>5</v>
      </c>
      <c r="F224"/>
      <c r="G224"/>
      <c r="H224"/>
      <c r="I224"/>
      <c r="J224"/>
      <c r="K224"/>
      <c r="L224"/>
      <c r="M224"/>
      <c r="N224"/>
      <c r="O224"/>
    </row>
    <row r="225" spans="1:15" hidden="1" x14ac:dyDescent="0.25">
      <c r="A225" t="s">
        <v>106</v>
      </c>
      <c r="B225" t="s">
        <v>115</v>
      </c>
      <c r="C225" t="b">
        <v>0</v>
      </c>
      <c r="D225" s="1">
        <v>37073</v>
      </c>
      <c r="E225">
        <v>2</v>
      </c>
      <c r="F225"/>
      <c r="G225"/>
      <c r="H225"/>
      <c r="I225"/>
      <c r="J225"/>
      <c r="K225"/>
      <c r="L225"/>
      <c r="M225"/>
      <c r="N225"/>
      <c r="O225"/>
    </row>
    <row r="226" spans="1:15" hidden="1" x14ac:dyDescent="0.25">
      <c r="A226" t="s">
        <v>106</v>
      </c>
      <c r="B226" t="s">
        <v>115</v>
      </c>
      <c r="C226" t="b">
        <v>0</v>
      </c>
      <c r="D226" s="1">
        <v>37073</v>
      </c>
      <c r="E226">
        <v>2</v>
      </c>
      <c r="F226"/>
      <c r="G226"/>
      <c r="H226"/>
      <c r="I226"/>
      <c r="J226"/>
      <c r="K226"/>
      <c r="L226"/>
      <c r="M226"/>
      <c r="N226"/>
      <c r="O226"/>
    </row>
    <row r="227" spans="1:15" hidden="1" x14ac:dyDescent="0.25">
      <c r="A227" t="s">
        <v>106</v>
      </c>
      <c r="B227" t="s">
        <v>115</v>
      </c>
      <c r="C227" t="b">
        <v>0</v>
      </c>
      <c r="D227" s="1">
        <v>37073</v>
      </c>
      <c r="E227">
        <v>2</v>
      </c>
      <c r="F227"/>
      <c r="G227"/>
      <c r="H227"/>
      <c r="I227"/>
      <c r="J227"/>
      <c r="K227"/>
      <c r="L227"/>
      <c r="M227"/>
      <c r="N227"/>
      <c r="O227"/>
    </row>
    <row r="228" spans="1:15" hidden="1" x14ac:dyDescent="0.25">
      <c r="A228" t="s">
        <v>106</v>
      </c>
      <c r="B228" t="s">
        <v>115</v>
      </c>
      <c r="C228" t="b">
        <v>0</v>
      </c>
      <c r="D228" s="1">
        <v>37073</v>
      </c>
      <c r="E228">
        <v>2</v>
      </c>
      <c r="F228"/>
      <c r="G228"/>
      <c r="H228"/>
      <c r="I228"/>
      <c r="J228"/>
      <c r="K228"/>
      <c r="L228"/>
      <c r="M228"/>
      <c r="N228"/>
      <c r="O228"/>
    </row>
    <row r="229" spans="1:15" hidden="1" x14ac:dyDescent="0.25">
      <c r="A229" t="s">
        <v>106</v>
      </c>
      <c r="B229" t="s">
        <v>115</v>
      </c>
      <c r="C229" t="b">
        <v>0</v>
      </c>
      <c r="D229" s="1">
        <v>37073</v>
      </c>
      <c r="E229">
        <v>2</v>
      </c>
      <c r="F229"/>
      <c r="G229"/>
      <c r="H229"/>
      <c r="I229"/>
      <c r="J229"/>
      <c r="K229"/>
      <c r="L229"/>
      <c r="M229"/>
      <c r="N229"/>
      <c r="O229"/>
    </row>
    <row r="230" spans="1:15" hidden="1" x14ac:dyDescent="0.25">
      <c r="A230" t="s">
        <v>106</v>
      </c>
      <c r="B230" t="s">
        <v>115</v>
      </c>
      <c r="C230" t="b">
        <v>0</v>
      </c>
      <c r="D230" s="1">
        <v>37073</v>
      </c>
      <c r="E230">
        <v>2</v>
      </c>
      <c r="F230"/>
      <c r="G230"/>
      <c r="H230"/>
      <c r="I230"/>
      <c r="J230"/>
      <c r="K230"/>
      <c r="L230"/>
      <c r="M230"/>
      <c r="N230"/>
      <c r="O230"/>
    </row>
    <row r="231" spans="1:15" hidden="1" x14ac:dyDescent="0.25">
      <c r="A231" t="s">
        <v>106</v>
      </c>
      <c r="B231" t="s">
        <v>115</v>
      </c>
      <c r="C231" t="b">
        <v>0</v>
      </c>
      <c r="D231" s="1">
        <v>37073</v>
      </c>
      <c r="E231">
        <v>1</v>
      </c>
      <c r="F231"/>
      <c r="G231"/>
      <c r="H231"/>
      <c r="I231"/>
      <c r="J231"/>
      <c r="K231"/>
      <c r="L231"/>
      <c r="M231"/>
      <c r="N231"/>
      <c r="O231"/>
    </row>
    <row r="232" spans="1:15" hidden="1" x14ac:dyDescent="0.25">
      <c r="A232" t="s">
        <v>106</v>
      </c>
      <c r="B232" t="s">
        <v>115</v>
      </c>
      <c r="C232" t="b">
        <v>0</v>
      </c>
      <c r="D232" s="1">
        <v>37073</v>
      </c>
      <c r="E232">
        <v>2</v>
      </c>
      <c r="F232"/>
      <c r="G232"/>
      <c r="H232"/>
      <c r="I232"/>
      <c r="J232"/>
      <c r="K232"/>
      <c r="L232"/>
      <c r="M232"/>
      <c r="N232"/>
      <c r="O232"/>
    </row>
    <row r="233" spans="1:15" hidden="1" x14ac:dyDescent="0.25">
      <c r="A233" t="s">
        <v>106</v>
      </c>
      <c r="B233" t="s">
        <v>115</v>
      </c>
      <c r="C233" t="b">
        <v>0</v>
      </c>
      <c r="D233" s="1">
        <v>37073</v>
      </c>
      <c r="E233">
        <v>2</v>
      </c>
      <c r="F233"/>
      <c r="G233"/>
      <c r="H233"/>
      <c r="I233"/>
      <c r="J233"/>
      <c r="K233"/>
      <c r="L233"/>
      <c r="M233"/>
      <c r="N233"/>
      <c r="O233"/>
    </row>
    <row r="234" spans="1:15" hidden="1" x14ac:dyDescent="0.25">
      <c r="A234" t="s">
        <v>106</v>
      </c>
      <c r="B234" t="s">
        <v>115</v>
      </c>
      <c r="C234" t="b">
        <v>0</v>
      </c>
      <c r="D234" s="1">
        <v>37073</v>
      </c>
      <c r="E234">
        <v>2</v>
      </c>
      <c r="F234"/>
      <c r="G234"/>
      <c r="H234"/>
      <c r="I234"/>
      <c r="J234"/>
      <c r="K234"/>
      <c r="L234"/>
      <c r="M234"/>
      <c r="N234"/>
      <c r="O234"/>
    </row>
    <row r="235" spans="1:15" hidden="1" x14ac:dyDescent="0.25">
      <c r="A235" t="s">
        <v>106</v>
      </c>
      <c r="B235" t="s">
        <v>115</v>
      </c>
      <c r="C235" t="b">
        <v>0</v>
      </c>
      <c r="D235" s="1">
        <v>37073</v>
      </c>
      <c r="E235">
        <v>2</v>
      </c>
      <c r="F235"/>
      <c r="G235"/>
      <c r="H235"/>
      <c r="I235"/>
      <c r="J235"/>
      <c r="K235"/>
      <c r="L235"/>
      <c r="M235"/>
      <c r="N235"/>
      <c r="O235"/>
    </row>
    <row r="236" spans="1:15" hidden="1" x14ac:dyDescent="0.25">
      <c r="A236" t="s">
        <v>106</v>
      </c>
      <c r="B236" t="s">
        <v>115</v>
      </c>
      <c r="C236" t="b">
        <v>0</v>
      </c>
      <c r="D236" s="1">
        <v>37073</v>
      </c>
      <c r="E236">
        <v>2</v>
      </c>
      <c r="F236"/>
      <c r="G236"/>
      <c r="H236"/>
      <c r="I236"/>
      <c r="J236"/>
      <c r="K236"/>
      <c r="L236"/>
      <c r="M236"/>
      <c r="N236"/>
      <c r="O236"/>
    </row>
    <row r="237" spans="1:15" hidden="1" x14ac:dyDescent="0.25">
      <c r="A237" t="s">
        <v>106</v>
      </c>
      <c r="B237" t="s">
        <v>115</v>
      </c>
      <c r="C237" t="b">
        <v>0</v>
      </c>
      <c r="D237" s="1">
        <v>37073</v>
      </c>
      <c r="E237">
        <v>1</v>
      </c>
      <c r="F237"/>
      <c r="G237"/>
      <c r="H237"/>
      <c r="I237"/>
      <c r="J237"/>
      <c r="K237"/>
      <c r="L237"/>
      <c r="M237"/>
      <c r="N237"/>
      <c r="O237"/>
    </row>
    <row r="238" spans="1:15" hidden="1" x14ac:dyDescent="0.25">
      <c r="A238" t="s">
        <v>106</v>
      </c>
      <c r="B238" t="s">
        <v>115</v>
      </c>
      <c r="C238" t="b">
        <v>0</v>
      </c>
      <c r="D238" s="1">
        <v>37073</v>
      </c>
      <c r="E238">
        <v>2</v>
      </c>
      <c r="F238"/>
      <c r="G238"/>
      <c r="H238"/>
      <c r="I238"/>
      <c r="J238"/>
      <c r="K238"/>
      <c r="L238"/>
      <c r="M238"/>
      <c r="N238"/>
      <c r="O238"/>
    </row>
    <row r="239" spans="1:15" hidden="1" x14ac:dyDescent="0.25">
      <c r="A239" t="s">
        <v>106</v>
      </c>
      <c r="B239" t="s">
        <v>115</v>
      </c>
      <c r="C239" t="b">
        <v>0</v>
      </c>
      <c r="D239" s="1">
        <v>37073</v>
      </c>
      <c r="E239">
        <v>2</v>
      </c>
      <c r="F239"/>
      <c r="G239"/>
      <c r="H239"/>
      <c r="I239"/>
      <c r="J239"/>
      <c r="K239"/>
      <c r="L239"/>
      <c r="M239"/>
      <c r="N239"/>
      <c r="O239"/>
    </row>
    <row r="240" spans="1:15" hidden="1" x14ac:dyDescent="0.25">
      <c r="A240" t="s">
        <v>106</v>
      </c>
      <c r="B240" t="s">
        <v>115</v>
      </c>
      <c r="C240" t="b">
        <v>0</v>
      </c>
      <c r="D240" s="1">
        <v>37073</v>
      </c>
      <c r="E240">
        <v>2</v>
      </c>
      <c r="F240"/>
      <c r="G240"/>
      <c r="H240"/>
      <c r="I240"/>
      <c r="J240"/>
      <c r="K240"/>
      <c r="L240"/>
      <c r="M240"/>
      <c r="N240"/>
      <c r="O240"/>
    </row>
    <row r="241" spans="1:15" hidden="1" x14ac:dyDescent="0.25">
      <c r="A241" t="s">
        <v>106</v>
      </c>
      <c r="B241" t="s">
        <v>115</v>
      </c>
      <c r="C241" t="b">
        <v>0</v>
      </c>
      <c r="D241" s="1">
        <v>37073</v>
      </c>
      <c r="E241">
        <v>2</v>
      </c>
      <c r="F241"/>
      <c r="G241"/>
      <c r="H241"/>
      <c r="I241"/>
      <c r="J241"/>
      <c r="K241"/>
      <c r="L241"/>
      <c r="M241"/>
      <c r="N241"/>
      <c r="O241"/>
    </row>
    <row r="242" spans="1:15" hidden="1" x14ac:dyDescent="0.25">
      <c r="A242" t="s">
        <v>106</v>
      </c>
      <c r="B242" t="s">
        <v>115</v>
      </c>
      <c r="C242" t="b">
        <v>0</v>
      </c>
      <c r="D242" s="1">
        <v>37073</v>
      </c>
      <c r="E242">
        <v>2</v>
      </c>
      <c r="F242"/>
      <c r="G242"/>
      <c r="H242"/>
      <c r="I242"/>
      <c r="J242"/>
      <c r="K242"/>
      <c r="L242"/>
      <c r="M242"/>
      <c r="N242"/>
      <c r="O242"/>
    </row>
    <row r="243" spans="1:15" hidden="1" x14ac:dyDescent="0.25">
      <c r="A243" t="s">
        <v>106</v>
      </c>
      <c r="B243" t="s">
        <v>115</v>
      </c>
      <c r="C243" t="b">
        <v>0</v>
      </c>
      <c r="D243" s="1">
        <v>37073</v>
      </c>
      <c r="E243">
        <v>2</v>
      </c>
      <c r="F243"/>
      <c r="G243"/>
      <c r="H243"/>
      <c r="I243"/>
      <c r="J243"/>
      <c r="K243"/>
      <c r="L243"/>
      <c r="M243"/>
      <c r="N243"/>
      <c r="O243"/>
    </row>
    <row r="244" spans="1:15" hidden="1" x14ac:dyDescent="0.25">
      <c r="A244" t="s">
        <v>106</v>
      </c>
      <c r="B244" t="s">
        <v>115</v>
      </c>
      <c r="C244" t="b">
        <v>0</v>
      </c>
      <c r="D244" s="1">
        <v>37073</v>
      </c>
      <c r="E244">
        <v>2</v>
      </c>
      <c r="F244"/>
      <c r="G244"/>
      <c r="H244"/>
      <c r="I244"/>
      <c r="J244"/>
      <c r="K244"/>
      <c r="L244"/>
      <c r="M244"/>
      <c r="N244"/>
      <c r="O244"/>
    </row>
    <row r="245" spans="1:15" hidden="1" x14ac:dyDescent="0.25">
      <c r="A245" t="s">
        <v>106</v>
      </c>
      <c r="B245" t="s">
        <v>115</v>
      </c>
      <c r="C245" t="b">
        <v>0</v>
      </c>
      <c r="D245" s="1">
        <v>37073</v>
      </c>
      <c r="E245">
        <v>2</v>
      </c>
      <c r="F245"/>
      <c r="G245"/>
      <c r="H245"/>
      <c r="I245"/>
      <c r="J245"/>
      <c r="K245"/>
      <c r="L245"/>
      <c r="M245"/>
      <c r="N245"/>
      <c r="O245"/>
    </row>
    <row r="246" spans="1:15" hidden="1" x14ac:dyDescent="0.25">
      <c r="A246" t="s">
        <v>106</v>
      </c>
      <c r="B246" t="s">
        <v>115</v>
      </c>
      <c r="C246" t="b">
        <v>0</v>
      </c>
      <c r="D246" s="1">
        <v>37073</v>
      </c>
      <c r="E246">
        <v>2</v>
      </c>
      <c r="F246"/>
      <c r="G246"/>
      <c r="H246"/>
      <c r="I246"/>
      <c r="J246"/>
      <c r="K246"/>
      <c r="L246"/>
      <c r="M246"/>
      <c r="N246"/>
      <c r="O246"/>
    </row>
    <row r="247" spans="1:15" hidden="1" x14ac:dyDescent="0.25">
      <c r="A247" t="s">
        <v>106</v>
      </c>
      <c r="B247" t="s">
        <v>115</v>
      </c>
      <c r="C247" t="b">
        <v>0</v>
      </c>
      <c r="D247" s="1">
        <v>37073</v>
      </c>
      <c r="E247">
        <v>2</v>
      </c>
      <c r="F247"/>
      <c r="G247"/>
      <c r="H247"/>
      <c r="I247"/>
      <c r="J247"/>
      <c r="K247"/>
      <c r="L247"/>
      <c r="M247"/>
      <c r="N247"/>
      <c r="O247"/>
    </row>
    <row r="248" spans="1:15" hidden="1" x14ac:dyDescent="0.25">
      <c r="A248" t="s">
        <v>106</v>
      </c>
      <c r="B248" t="s">
        <v>115</v>
      </c>
      <c r="C248" t="b">
        <v>0</v>
      </c>
      <c r="D248" s="1">
        <v>37073</v>
      </c>
      <c r="E248">
        <v>2</v>
      </c>
      <c r="F248"/>
      <c r="G248"/>
      <c r="H248"/>
      <c r="I248"/>
      <c r="J248"/>
      <c r="K248"/>
      <c r="L248"/>
      <c r="M248"/>
      <c r="N248"/>
      <c r="O248"/>
    </row>
    <row r="249" spans="1:15" hidden="1" x14ac:dyDescent="0.25">
      <c r="A249" t="s">
        <v>106</v>
      </c>
      <c r="B249" t="s">
        <v>115</v>
      </c>
      <c r="C249" t="b">
        <v>0</v>
      </c>
      <c r="D249" s="1">
        <v>37073</v>
      </c>
      <c r="E249">
        <v>2</v>
      </c>
      <c r="F249"/>
      <c r="G249"/>
      <c r="H249"/>
      <c r="I249"/>
      <c r="J249"/>
      <c r="K249"/>
      <c r="L249"/>
      <c r="M249"/>
      <c r="N249"/>
      <c r="O249"/>
    </row>
    <row r="250" spans="1:15" hidden="1" x14ac:dyDescent="0.25">
      <c r="A250" t="s">
        <v>106</v>
      </c>
      <c r="B250" t="s">
        <v>115</v>
      </c>
      <c r="C250" t="b">
        <v>0</v>
      </c>
      <c r="D250" s="1">
        <v>37073</v>
      </c>
      <c r="E250">
        <v>2</v>
      </c>
      <c r="F250"/>
      <c r="G250"/>
      <c r="H250"/>
      <c r="I250"/>
      <c r="J250"/>
      <c r="K250"/>
      <c r="L250"/>
      <c r="M250"/>
      <c r="N250"/>
      <c r="O250"/>
    </row>
    <row r="251" spans="1:15" hidden="1" x14ac:dyDescent="0.25">
      <c r="A251" t="s">
        <v>106</v>
      </c>
      <c r="B251" t="s">
        <v>115</v>
      </c>
      <c r="C251" t="b">
        <v>0</v>
      </c>
      <c r="D251" s="1">
        <v>37073</v>
      </c>
      <c r="E251">
        <v>2</v>
      </c>
      <c r="F251"/>
      <c r="G251"/>
      <c r="H251"/>
      <c r="I251"/>
      <c r="J251"/>
      <c r="K251"/>
      <c r="L251"/>
      <c r="M251"/>
      <c r="N251"/>
      <c r="O251"/>
    </row>
    <row r="252" spans="1:15" hidden="1" x14ac:dyDescent="0.25">
      <c r="A252" t="s">
        <v>106</v>
      </c>
      <c r="B252" t="s">
        <v>115</v>
      </c>
      <c r="C252" t="b">
        <v>0</v>
      </c>
      <c r="D252" s="1">
        <v>37073</v>
      </c>
      <c r="E252">
        <v>2</v>
      </c>
      <c r="F252"/>
      <c r="G252"/>
      <c r="H252"/>
      <c r="I252"/>
      <c r="J252"/>
      <c r="K252"/>
      <c r="L252"/>
      <c r="M252"/>
      <c r="N252"/>
      <c r="O252"/>
    </row>
    <row r="253" spans="1:15" hidden="1" x14ac:dyDescent="0.25">
      <c r="A253" t="s">
        <v>106</v>
      </c>
      <c r="B253" t="s">
        <v>115</v>
      </c>
      <c r="C253" t="b">
        <v>0</v>
      </c>
      <c r="D253" s="1">
        <v>37073</v>
      </c>
      <c r="E253">
        <v>2</v>
      </c>
      <c r="F253"/>
      <c r="G253"/>
      <c r="H253"/>
      <c r="I253"/>
      <c r="J253"/>
      <c r="K253"/>
      <c r="L253"/>
      <c r="M253"/>
      <c r="N253"/>
      <c r="O253"/>
    </row>
    <row r="254" spans="1:15" hidden="1" x14ac:dyDescent="0.25">
      <c r="A254" t="s">
        <v>43</v>
      </c>
      <c r="B254" t="s">
        <v>115</v>
      </c>
      <c r="C254" t="b">
        <v>0</v>
      </c>
      <c r="D254" s="1">
        <v>37073</v>
      </c>
      <c r="E254">
        <v>2</v>
      </c>
      <c r="F254"/>
      <c r="G254"/>
      <c r="H254"/>
      <c r="I254"/>
      <c r="J254"/>
      <c r="K254"/>
      <c r="L254"/>
      <c r="M254"/>
      <c r="N254"/>
      <c r="O254"/>
    </row>
    <row r="255" spans="1:15" hidden="1" x14ac:dyDescent="0.25">
      <c r="A255" t="s">
        <v>30</v>
      </c>
      <c r="B255" t="s">
        <v>115</v>
      </c>
      <c r="C255" t="b">
        <v>0</v>
      </c>
      <c r="D255" s="1">
        <v>37073</v>
      </c>
      <c r="E255">
        <v>2</v>
      </c>
      <c r="F255"/>
      <c r="G255"/>
      <c r="H255"/>
      <c r="I255"/>
      <c r="J255"/>
      <c r="K255"/>
      <c r="L255"/>
      <c r="M255"/>
      <c r="N255"/>
      <c r="O255"/>
    </row>
    <row r="256" spans="1:15" hidden="1" x14ac:dyDescent="0.25">
      <c r="A256" t="s">
        <v>39</v>
      </c>
      <c r="B256" t="s">
        <v>115</v>
      </c>
      <c r="C256" t="b">
        <v>0</v>
      </c>
      <c r="D256" s="1">
        <v>37073</v>
      </c>
      <c r="E256">
        <v>2</v>
      </c>
      <c r="F256"/>
      <c r="G256"/>
      <c r="H256"/>
      <c r="I256"/>
      <c r="J256"/>
      <c r="K256"/>
      <c r="L256"/>
      <c r="M256"/>
      <c r="N256"/>
      <c r="O256"/>
    </row>
    <row r="257" spans="1:15" hidden="1" x14ac:dyDescent="0.25">
      <c r="A257" t="s">
        <v>57</v>
      </c>
      <c r="B257" t="s">
        <v>115</v>
      </c>
      <c r="C257" t="b">
        <v>0</v>
      </c>
      <c r="D257" s="1">
        <v>37073</v>
      </c>
      <c r="E257">
        <v>2</v>
      </c>
      <c r="F257"/>
      <c r="G257"/>
      <c r="H257"/>
      <c r="I257"/>
      <c r="J257"/>
      <c r="K257"/>
      <c r="L257"/>
      <c r="M257"/>
      <c r="N257"/>
      <c r="O257"/>
    </row>
    <row r="258" spans="1:15" hidden="1" x14ac:dyDescent="0.25">
      <c r="A258" t="s">
        <v>99</v>
      </c>
      <c r="B258" t="s">
        <v>114</v>
      </c>
      <c r="C258" t="b">
        <v>0</v>
      </c>
      <c r="D258" s="1">
        <v>37073</v>
      </c>
      <c r="E258">
        <v>0.2</v>
      </c>
      <c r="F258"/>
      <c r="G258"/>
      <c r="H258"/>
      <c r="I258"/>
      <c r="J258"/>
      <c r="K258"/>
      <c r="L258"/>
      <c r="M258"/>
      <c r="N258"/>
      <c r="O258"/>
    </row>
    <row r="259" spans="1:15" hidden="1" x14ac:dyDescent="0.25">
      <c r="A259" t="s">
        <v>100</v>
      </c>
      <c r="B259" t="s">
        <v>117</v>
      </c>
      <c r="C259" t="b">
        <v>0</v>
      </c>
      <c r="D259" s="1">
        <v>37104</v>
      </c>
      <c r="E259" s="2">
        <v>-65.150000000000006</v>
      </c>
      <c r="F259"/>
      <c r="G259"/>
      <c r="H259"/>
      <c r="I259"/>
      <c r="J259"/>
      <c r="K259"/>
      <c r="L259"/>
      <c r="M259"/>
      <c r="N259"/>
      <c r="O259"/>
    </row>
    <row r="260" spans="1:15" hidden="1" x14ac:dyDescent="0.25">
      <c r="A260" t="s">
        <v>102</v>
      </c>
      <c r="B260" t="s">
        <v>117</v>
      </c>
      <c r="C260" t="b">
        <v>0</v>
      </c>
      <c r="D260" s="1">
        <v>37104</v>
      </c>
      <c r="E260" s="2">
        <v>-0.05</v>
      </c>
      <c r="F260"/>
      <c r="G260"/>
      <c r="H260"/>
      <c r="I260"/>
      <c r="J260"/>
      <c r="K260"/>
      <c r="L260"/>
      <c r="M260"/>
      <c r="N260"/>
      <c r="O260"/>
    </row>
    <row r="261" spans="1:15" hidden="1" x14ac:dyDescent="0.25">
      <c r="A261" t="s">
        <v>13</v>
      </c>
      <c r="B261" t="s">
        <v>115</v>
      </c>
      <c r="C261" t="b">
        <v>0</v>
      </c>
      <c r="D261" s="1">
        <v>37104</v>
      </c>
      <c r="E261">
        <v>2</v>
      </c>
      <c r="F261"/>
      <c r="G261"/>
      <c r="H261"/>
      <c r="I261"/>
      <c r="J261"/>
      <c r="K261"/>
      <c r="L261"/>
      <c r="M261"/>
      <c r="N261"/>
      <c r="O261"/>
    </row>
    <row r="262" spans="1:15" hidden="1" x14ac:dyDescent="0.25">
      <c r="A262" t="s">
        <v>12</v>
      </c>
      <c r="B262" t="s">
        <v>115</v>
      </c>
      <c r="C262" t="b">
        <v>0</v>
      </c>
      <c r="D262" s="1">
        <v>37104</v>
      </c>
      <c r="E262">
        <v>2</v>
      </c>
      <c r="F262"/>
      <c r="G262"/>
      <c r="H262"/>
      <c r="I262"/>
      <c r="J262"/>
      <c r="K262"/>
      <c r="L262"/>
      <c r="M262"/>
      <c r="N262"/>
      <c r="O262"/>
    </row>
    <row r="263" spans="1:15" hidden="1" x14ac:dyDescent="0.25">
      <c r="A263" t="s">
        <v>14</v>
      </c>
      <c r="B263" t="s">
        <v>115</v>
      </c>
      <c r="C263" t="b">
        <v>0</v>
      </c>
      <c r="D263" s="1">
        <v>37104</v>
      </c>
      <c r="E263">
        <v>2</v>
      </c>
      <c r="F263"/>
      <c r="G263"/>
      <c r="H263"/>
      <c r="I263"/>
      <c r="J263"/>
      <c r="K263"/>
      <c r="L263"/>
      <c r="M263"/>
      <c r="N263"/>
      <c r="O263"/>
    </row>
    <row r="264" spans="1:15" hidden="1" x14ac:dyDescent="0.25">
      <c r="A264" t="s">
        <v>15</v>
      </c>
      <c r="B264" t="s">
        <v>115</v>
      </c>
      <c r="C264" t="b">
        <v>0</v>
      </c>
      <c r="D264" s="1">
        <v>37104</v>
      </c>
      <c r="E264">
        <v>2</v>
      </c>
      <c r="F264"/>
      <c r="G264"/>
      <c r="H264"/>
      <c r="I264"/>
      <c r="J264"/>
      <c r="K264"/>
      <c r="L264"/>
      <c r="M264"/>
      <c r="N264"/>
      <c r="O264"/>
    </row>
    <row r="265" spans="1:15" hidden="1" x14ac:dyDescent="0.25">
      <c r="A265" t="s">
        <v>106</v>
      </c>
      <c r="B265" t="s">
        <v>115</v>
      </c>
      <c r="C265" t="b">
        <v>0</v>
      </c>
      <c r="D265" s="1">
        <v>37104</v>
      </c>
      <c r="E265">
        <v>2</v>
      </c>
      <c r="F265"/>
      <c r="G265"/>
      <c r="H265"/>
      <c r="I265"/>
      <c r="J265"/>
      <c r="K265"/>
      <c r="L265"/>
      <c r="M265"/>
      <c r="N265"/>
      <c r="O265"/>
    </row>
    <row r="266" spans="1:15" hidden="1" x14ac:dyDescent="0.25">
      <c r="A266" t="s">
        <v>106</v>
      </c>
      <c r="B266" t="s">
        <v>115</v>
      </c>
      <c r="C266" t="b">
        <v>0</v>
      </c>
      <c r="D266" s="1">
        <v>37104</v>
      </c>
      <c r="E266">
        <v>1</v>
      </c>
      <c r="F266"/>
      <c r="G266"/>
      <c r="H266"/>
      <c r="I266"/>
      <c r="J266"/>
      <c r="K266"/>
      <c r="L266"/>
      <c r="M266"/>
      <c r="N266"/>
      <c r="O266"/>
    </row>
    <row r="267" spans="1:15" hidden="1" x14ac:dyDescent="0.25">
      <c r="A267" t="s">
        <v>106</v>
      </c>
      <c r="B267" t="s">
        <v>115</v>
      </c>
      <c r="C267" t="b">
        <v>0</v>
      </c>
      <c r="D267" s="1">
        <v>37104</v>
      </c>
      <c r="E267">
        <v>2</v>
      </c>
      <c r="F267"/>
      <c r="G267"/>
      <c r="H267"/>
      <c r="I267"/>
      <c r="J267"/>
      <c r="K267"/>
      <c r="L267"/>
      <c r="M267"/>
      <c r="N267"/>
      <c r="O267"/>
    </row>
    <row r="268" spans="1:15" hidden="1" x14ac:dyDescent="0.25">
      <c r="A268" t="s">
        <v>106</v>
      </c>
      <c r="B268" t="s">
        <v>115</v>
      </c>
      <c r="C268" t="b">
        <v>0</v>
      </c>
      <c r="D268" s="1">
        <v>37104</v>
      </c>
      <c r="E268">
        <v>2</v>
      </c>
      <c r="F268"/>
      <c r="G268"/>
      <c r="H268"/>
      <c r="I268"/>
      <c r="J268"/>
      <c r="K268"/>
      <c r="L268"/>
      <c r="M268"/>
      <c r="N268"/>
      <c r="O268"/>
    </row>
    <row r="269" spans="1:15" hidden="1" x14ac:dyDescent="0.25">
      <c r="A269" t="s">
        <v>106</v>
      </c>
      <c r="B269" t="s">
        <v>115</v>
      </c>
      <c r="C269" t="b">
        <v>0</v>
      </c>
      <c r="D269" s="1">
        <v>37104</v>
      </c>
      <c r="E269">
        <v>2</v>
      </c>
      <c r="F269"/>
      <c r="G269"/>
      <c r="H269"/>
      <c r="I269"/>
      <c r="J269"/>
      <c r="K269"/>
      <c r="L269"/>
      <c r="M269"/>
      <c r="N269"/>
      <c r="O269"/>
    </row>
    <row r="270" spans="1:15" hidden="1" x14ac:dyDescent="0.25">
      <c r="A270" t="s">
        <v>106</v>
      </c>
      <c r="B270" t="s">
        <v>115</v>
      </c>
      <c r="C270" t="b">
        <v>0</v>
      </c>
      <c r="D270" s="1">
        <v>37104</v>
      </c>
      <c r="E270">
        <v>2</v>
      </c>
      <c r="F270"/>
      <c r="G270"/>
      <c r="H270"/>
      <c r="I270"/>
      <c r="J270"/>
      <c r="K270"/>
      <c r="L270"/>
      <c r="M270"/>
      <c r="N270"/>
      <c r="O270"/>
    </row>
    <row r="271" spans="1:15" hidden="1" x14ac:dyDescent="0.25">
      <c r="A271" t="s">
        <v>106</v>
      </c>
      <c r="B271" t="s">
        <v>115</v>
      </c>
      <c r="C271" t="b">
        <v>0</v>
      </c>
      <c r="D271" s="1">
        <v>37104</v>
      </c>
      <c r="E271">
        <v>2</v>
      </c>
      <c r="F271"/>
      <c r="G271"/>
      <c r="H271"/>
      <c r="I271"/>
      <c r="J271"/>
      <c r="K271"/>
      <c r="L271"/>
      <c r="M271"/>
      <c r="N271"/>
      <c r="O271"/>
    </row>
    <row r="272" spans="1:15" hidden="1" x14ac:dyDescent="0.25">
      <c r="A272" t="s">
        <v>106</v>
      </c>
      <c r="B272" t="s">
        <v>115</v>
      </c>
      <c r="C272" t="b">
        <v>0</v>
      </c>
      <c r="D272" s="1">
        <v>37104</v>
      </c>
      <c r="E272">
        <v>2</v>
      </c>
      <c r="F272"/>
      <c r="G272"/>
      <c r="H272"/>
      <c r="I272"/>
      <c r="J272"/>
      <c r="K272"/>
      <c r="L272"/>
      <c r="M272"/>
      <c r="N272"/>
      <c r="O272"/>
    </row>
    <row r="273" spans="1:15" hidden="1" x14ac:dyDescent="0.25">
      <c r="A273" t="s">
        <v>106</v>
      </c>
      <c r="B273" t="s">
        <v>115</v>
      </c>
      <c r="C273" t="b">
        <v>0</v>
      </c>
      <c r="D273" s="1">
        <v>37104</v>
      </c>
      <c r="E273">
        <v>2</v>
      </c>
      <c r="F273"/>
      <c r="G273"/>
      <c r="H273"/>
      <c r="I273"/>
      <c r="J273"/>
      <c r="K273"/>
      <c r="L273"/>
      <c r="M273"/>
      <c r="N273"/>
      <c r="O273"/>
    </row>
    <row r="274" spans="1:15" hidden="1" x14ac:dyDescent="0.25">
      <c r="A274" t="s">
        <v>106</v>
      </c>
      <c r="B274" t="s">
        <v>115</v>
      </c>
      <c r="C274" t="b">
        <v>0</v>
      </c>
      <c r="D274" s="1">
        <v>37104</v>
      </c>
      <c r="E274">
        <v>2</v>
      </c>
      <c r="F274"/>
      <c r="G274"/>
      <c r="H274"/>
      <c r="I274"/>
      <c r="J274"/>
      <c r="K274"/>
      <c r="L274"/>
      <c r="M274"/>
      <c r="N274"/>
      <c r="O274"/>
    </row>
    <row r="275" spans="1:15" hidden="1" x14ac:dyDescent="0.25">
      <c r="A275" t="s">
        <v>106</v>
      </c>
      <c r="B275" t="s">
        <v>115</v>
      </c>
      <c r="C275" t="b">
        <v>0</v>
      </c>
      <c r="D275" s="1">
        <v>37104</v>
      </c>
      <c r="E275">
        <v>2</v>
      </c>
      <c r="F275"/>
      <c r="G275"/>
      <c r="H275"/>
      <c r="I275"/>
      <c r="J275"/>
      <c r="K275"/>
      <c r="L275"/>
      <c r="M275"/>
      <c r="N275"/>
      <c r="O275"/>
    </row>
    <row r="276" spans="1:15" hidden="1" x14ac:dyDescent="0.25">
      <c r="A276" t="s">
        <v>106</v>
      </c>
      <c r="B276" t="s">
        <v>115</v>
      </c>
      <c r="C276" t="b">
        <v>0</v>
      </c>
      <c r="D276" s="1">
        <v>37104</v>
      </c>
      <c r="E276">
        <v>2</v>
      </c>
      <c r="F276"/>
      <c r="G276"/>
      <c r="H276"/>
      <c r="I276"/>
      <c r="J276"/>
      <c r="K276"/>
      <c r="L276"/>
      <c r="M276"/>
      <c r="N276"/>
      <c r="O276"/>
    </row>
    <row r="277" spans="1:15" hidden="1" x14ac:dyDescent="0.25">
      <c r="A277" t="s">
        <v>106</v>
      </c>
      <c r="B277" t="s">
        <v>115</v>
      </c>
      <c r="C277" t="b">
        <v>0</v>
      </c>
      <c r="D277" s="1">
        <v>37104</v>
      </c>
      <c r="E277">
        <v>2</v>
      </c>
      <c r="F277"/>
      <c r="G277"/>
      <c r="H277"/>
      <c r="I277"/>
      <c r="J277"/>
      <c r="K277"/>
      <c r="L277"/>
      <c r="M277"/>
      <c r="N277"/>
      <c r="O277"/>
    </row>
    <row r="278" spans="1:15" hidden="1" x14ac:dyDescent="0.25">
      <c r="A278" t="s">
        <v>106</v>
      </c>
      <c r="B278" t="s">
        <v>115</v>
      </c>
      <c r="C278" t="b">
        <v>0</v>
      </c>
      <c r="D278" s="1">
        <v>37104</v>
      </c>
      <c r="E278">
        <v>2</v>
      </c>
      <c r="F278"/>
      <c r="G278"/>
      <c r="H278"/>
      <c r="I278"/>
      <c r="J278"/>
      <c r="K278"/>
      <c r="L278"/>
      <c r="M278"/>
      <c r="N278"/>
      <c r="O278"/>
    </row>
    <row r="279" spans="1:15" hidden="1" x14ac:dyDescent="0.25">
      <c r="A279" t="s">
        <v>106</v>
      </c>
      <c r="B279" t="s">
        <v>115</v>
      </c>
      <c r="C279" t="b">
        <v>0</v>
      </c>
      <c r="D279" s="1">
        <v>37104</v>
      </c>
      <c r="E279">
        <v>2</v>
      </c>
      <c r="F279"/>
      <c r="G279"/>
      <c r="H279"/>
      <c r="I279"/>
      <c r="J279"/>
      <c r="K279"/>
      <c r="L279"/>
      <c r="M279"/>
      <c r="N279"/>
      <c r="O279"/>
    </row>
    <row r="280" spans="1:15" hidden="1" x14ac:dyDescent="0.25">
      <c r="A280" t="s">
        <v>106</v>
      </c>
      <c r="B280" t="s">
        <v>115</v>
      </c>
      <c r="C280" t="b">
        <v>0</v>
      </c>
      <c r="D280" s="1">
        <v>37104</v>
      </c>
      <c r="E280">
        <v>2</v>
      </c>
      <c r="F280"/>
      <c r="G280"/>
      <c r="H280"/>
      <c r="I280"/>
      <c r="J280"/>
      <c r="K280"/>
      <c r="L280"/>
      <c r="M280"/>
      <c r="N280"/>
      <c r="O280"/>
    </row>
    <row r="281" spans="1:15" hidden="1" x14ac:dyDescent="0.25">
      <c r="A281" t="s">
        <v>106</v>
      </c>
      <c r="B281" t="s">
        <v>115</v>
      </c>
      <c r="C281" t="b">
        <v>0</v>
      </c>
      <c r="D281" s="1">
        <v>37104</v>
      </c>
      <c r="E281">
        <v>2</v>
      </c>
      <c r="F281"/>
      <c r="G281"/>
      <c r="H281"/>
      <c r="I281"/>
      <c r="J281"/>
      <c r="K281"/>
      <c r="L281"/>
      <c r="M281"/>
      <c r="N281"/>
      <c r="O281"/>
    </row>
    <row r="282" spans="1:15" hidden="1" x14ac:dyDescent="0.25">
      <c r="A282" t="s">
        <v>106</v>
      </c>
      <c r="B282" t="s">
        <v>115</v>
      </c>
      <c r="C282" t="b">
        <v>0</v>
      </c>
      <c r="D282" s="1">
        <v>37104</v>
      </c>
      <c r="E282">
        <v>2</v>
      </c>
      <c r="F282"/>
      <c r="G282"/>
      <c r="H282"/>
      <c r="I282"/>
      <c r="J282"/>
      <c r="K282"/>
      <c r="L282"/>
      <c r="M282"/>
      <c r="N282"/>
      <c r="O282"/>
    </row>
    <row r="283" spans="1:15" hidden="1" x14ac:dyDescent="0.25">
      <c r="A283" t="s">
        <v>106</v>
      </c>
      <c r="B283" t="s">
        <v>115</v>
      </c>
      <c r="C283" t="b">
        <v>0</v>
      </c>
      <c r="D283" s="1">
        <v>37104</v>
      </c>
      <c r="E283">
        <v>2</v>
      </c>
      <c r="F283"/>
      <c r="G283"/>
      <c r="H283"/>
      <c r="I283"/>
      <c r="J283"/>
      <c r="K283"/>
      <c r="L283"/>
      <c r="M283"/>
      <c r="N283"/>
      <c r="O283"/>
    </row>
    <row r="284" spans="1:15" hidden="1" x14ac:dyDescent="0.25">
      <c r="A284" t="s">
        <v>106</v>
      </c>
      <c r="B284" t="s">
        <v>115</v>
      </c>
      <c r="C284" t="b">
        <v>0</v>
      </c>
      <c r="D284" s="1">
        <v>37104</v>
      </c>
      <c r="E284">
        <v>2</v>
      </c>
      <c r="F284"/>
      <c r="G284"/>
      <c r="H284"/>
      <c r="I284"/>
      <c r="J284"/>
      <c r="K284"/>
      <c r="L284"/>
      <c r="M284"/>
      <c r="N284"/>
      <c r="O284"/>
    </row>
    <row r="285" spans="1:15" hidden="1" x14ac:dyDescent="0.25">
      <c r="A285" t="s">
        <v>106</v>
      </c>
      <c r="B285" t="s">
        <v>115</v>
      </c>
      <c r="C285" t="b">
        <v>0</v>
      </c>
      <c r="D285" s="1">
        <v>37104</v>
      </c>
      <c r="E285">
        <v>2</v>
      </c>
      <c r="F285"/>
      <c r="G285"/>
      <c r="H285"/>
      <c r="I285"/>
      <c r="J285"/>
      <c r="K285"/>
      <c r="L285"/>
      <c r="M285"/>
      <c r="N285"/>
      <c r="O285"/>
    </row>
    <row r="286" spans="1:15" hidden="1" x14ac:dyDescent="0.25">
      <c r="A286" t="s">
        <v>106</v>
      </c>
      <c r="B286" t="s">
        <v>115</v>
      </c>
      <c r="C286" t="b">
        <v>0</v>
      </c>
      <c r="D286" s="1">
        <v>37104</v>
      </c>
      <c r="E286">
        <v>2</v>
      </c>
      <c r="F286"/>
      <c r="G286"/>
      <c r="H286"/>
      <c r="I286"/>
      <c r="J286"/>
      <c r="K286"/>
      <c r="L286"/>
      <c r="M286"/>
      <c r="N286"/>
      <c r="O286"/>
    </row>
    <row r="287" spans="1:15" hidden="1" x14ac:dyDescent="0.25">
      <c r="A287" t="s">
        <v>106</v>
      </c>
      <c r="B287" t="s">
        <v>115</v>
      </c>
      <c r="C287" t="b">
        <v>0</v>
      </c>
      <c r="D287" s="1">
        <v>37104</v>
      </c>
      <c r="E287">
        <v>2</v>
      </c>
      <c r="F287"/>
      <c r="G287"/>
      <c r="H287"/>
      <c r="I287"/>
      <c r="J287"/>
      <c r="K287"/>
      <c r="L287"/>
      <c r="M287"/>
      <c r="N287"/>
      <c r="O287"/>
    </row>
    <row r="288" spans="1:15" hidden="1" x14ac:dyDescent="0.25">
      <c r="A288" t="s">
        <v>106</v>
      </c>
      <c r="B288" t="s">
        <v>115</v>
      </c>
      <c r="C288" t="b">
        <v>0</v>
      </c>
      <c r="D288" s="1">
        <v>37104</v>
      </c>
      <c r="E288">
        <v>2</v>
      </c>
      <c r="F288"/>
      <c r="G288"/>
      <c r="H288"/>
      <c r="I288"/>
      <c r="J288"/>
      <c r="K288"/>
      <c r="L288"/>
      <c r="M288"/>
      <c r="N288"/>
      <c r="O288"/>
    </row>
    <row r="289" spans="1:15" hidden="1" x14ac:dyDescent="0.25">
      <c r="A289" t="s">
        <v>106</v>
      </c>
      <c r="B289" t="s">
        <v>115</v>
      </c>
      <c r="C289" t="b">
        <v>0</v>
      </c>
      <c r="D289" s="1">
        <v>37104</v>
      </c>
      <c r="E289">
        <v>2</v>
      </c>
      <c r="F289"/>
      <c r="G289"/>
      <c r="H289"/>
      <c r="I289"/>
      <c r="J289"/>
      <c r="K289"/>
      <c r="L289"/>
      <c r="M289"/>
      <c r="N289"/>
      <c r="O289"/>
    </row>
    <row r="290" spans="1:15" hidden="1" x14ac:dyDescent="0.25">
      <c r="A290" t="s">
        <v>106</v>
      </c>
      <c r="B290" t="s">
        <v>115</v>
      </c>
      <c r="C290" t="b">
        <v>0</v>
      </c>
      <c r="D290" s="1">
        <v>37104</v>
      </c>
      <c r="E290">
        <v>2</v>
      </c>
      <c r="F290"/>
      <c r="G290"/>
      <c r="H290"/>
      <c r="I290"/>
      <c r="J290"/>
      <c r="K290"/>
      <c r="L290"/>
      <c r="M290"/>
      <c r="N290"/>
      <c r="O290"/>
    </row>
    <row r="291" spans="1:15" hidden="1" x14ac:dyDescent="0.25">
      <c r="A291" t="s">
        <v>106</v>
      </c>
      <c r="B291" t="s">
        <v>115</v>
      </c>
      <c r="C291" t="b">
        <v>0</v>
      </c>
      <c r="D291" s="1">
        <v>37104</v>
      </c>
      <c r="E291">
        <v>2</v>
      </c>
      <c r="F291"/>
      <c r="G291"/>
      <c r="H291"/>
      <c r="I291"/>
      <c r="J291"/>
      <c r="K291"/>
      <c r="L291"/>
      <c r="M291"/>
      <c r="N291"/>
      <c r="O291"/>
    </row>
    <row r="292" spans="1:15" hidden="1" x14ac:dyDescent="0.25">
      <c r="A292" t="s">
        <v>106</v>
      </c>
      <c r="B292" t="s">
        <v>115</v>
      </c>
      <c r="C292" t="b">
        <v>0</v>
      </c>
      <c r="D292" s="1">
        <v>37104</v>
      </c>
      <c r="E292">
        <v>2</v>
      </c>
      <c r="F292"/>
      <c r="G292"/>
      <c r="H292"/>
      <c r="I292"/>
      <c r="J292"/>
      <c r="K292"/>
      <c r="L292"/>
      <c r="M292"/>
      <c r="N292"/>
      <c r="O292"/>
    </row>
    <row r="293" spans="1:15" hidden="1" x14ac:dyDescent="0.25">
      <c r="A293" t="s">
        <v>106</v>
      </c>
      <c r="B293" t="s">
        <v>115</v>
      </c>
      <c r="C293" t="b">
        <v>0</v>
      </c>
      <c r="D293" s="1">
        <v>37104</v>
      </c>
      <c r="E293">
        <v>2</v>
      </c>
      <c r="F293"/>
      <c r="G293"/>
      <c r="H293"/>
      <c r="I293"/>
      <c r="J293"/>
      <c r="K293"/>
      <c r="L293"/>
      <c r="M293"/>
      <c r="N293"/>
      <c r="O293"/>
    </row>
    <row r="294" spans="1:15" hidden="1" x14ac:dyDescent="0.25">
      <c r="A294" t="s">
        <v>43</v>
      </c>
      <c r="B294" t="s">
        <v>115</v>
      </c>
      <c r="C294" t="b">
        <v>0</v>
      </c>
      <c r="D294" s="1">
        <v>37104</v>
      </c>
      <c r="E294">
        <v>2</v>
      </c>
      <c r="F294"/>
      <c r="G294"/>
      <c r="H294"/>
      <c r="I294"/>
      <c r="J294"/>
      <c r="K294"/>
      <c r="L294"/>
      <c r="M294"/>
      <c r="N294"/>
      <c r="O294"/>
    </row>
    <row r="295" spans="1:15" hidden="1" x14ac:dyDescent="0.25">
      <c r="A295" t="s">
        <v>30</v>
      </c>
      <c r="B295" t="s">
        <v>115</v>
      </c>
      <c r="C295" t="b">
        <v>0</v>
      </c>
      <c r="D295" s="1">
        <v>37104</v>
      </c>
      <c r="E295">
        <v>2</v>
      </c>
      <c r="F295"/>
      <c r="G295"/>
      <c r="H295"/>
      <c r="I295"/>
      <c r="J295"/>
      <c r="K295"/>
      <c r="L295"/>
      <c r="M295"/>
      <c r="N295"/>
      <c r="O295"/>
    </row>
    <row r="296" spans="1:15" hidden="1" x14ac:dyDescent="0.25">
      <c r="A296" t="s">
        <v>39</v>
      </c>
      <c r="B296" t="s">
        <v>115</v>
      </c>
      <c r="C296" t="b">
        <v>0</v>
      </c>
      <c r="D296" s="1">
        <v>37104</v>
      </c>
      <c r="E296">
        <v>2</v>
      </c>
      <c r="F296"/>
      <c r="G296"/>
      <c r="H296"/>
      <c r="I296"/>
      <c r="J296"/>
      <c r="K296"/>
      <c r="L296"/>
      <c r="M296"/>
      <c r="N296"/>
      <c r="O296"/>
    </row>
    <row r="297" spans="1:15" hidden="1" x14ac:dyDescent="0.25">
      <c r="A297" t="s">
        <v>57</v>
      </c>
      <c r="B297" t="s">
        <v>115</v>
      </c>
      <c r="C297" t="b">
        <v>0</v>
      </c>
      <c r="D297" s="1">
        <v>37104</v>
      </c>
      <c r="E297">
        <v>2</v>
      </c>
      <c r="F297"/>
      <c r="G297"/>
      <c r="H297"/>
      <c r="I297"/>
      <c r="J297"/>
      <c r="K297"/>
      <c r="L297"/>
      <c r="M297"/>
      <c r="N297"/>
      <c r="O297"/>
    </row>
    <row r="298" spans="1:15" hidden="1" x14ac:dyDescent="0.25">
      <c r="A298" t="s">
        <v>99</v>
      </c>
      <c r="B298" t="s">
        <v>114</v>
      </c>
      <c r="C298" t="b">
        <v>0</v>
      </c>
      <c r="D298" s="1">
        <v>37104</v>
      </c>
      <c r="E298">
        <v>0.25</v>
      </c>
      <c r="F298"/>
      <c r="G298"/>
      <c r="H298"/>
      <c r="I298"/>
      <c r="J298"/>
      <c r="K298"/>
      <c r="L298"/>
      <c r="M298"/>
      <c r="N298"/>
      <c r="O298"/>
    </row>
    <row r="299" spans="1:15" hidden="1" x14ac:dyDescent="0.25">
      <c r="A299" t="s">
        <v>100</v>
      </c>
      <c r="B299" t="s">
        <v>117</v>
      </c>
      <c r="C299" t="b">
        <v>0</v>
      </c>
      <c r="D299" s="1">
        <v>37135</v>
      </c>
      <c r="E299" s="2">
        <v>-40</v>
      </c>
      <c r="F299"/>
      <c r="G299"/>
      <c r="H299"/>
      <c r="I299"/>
      <c r="J299"/>
      <c r="K299"/>
      <c r="L299"/>
      <c r="M299"/>
      <c r="N299"/>
      <c r="O299"/>
    </row>
    <row r="300" spans="1:15" hidden="1" x14ac:dyDescent="0.25">
      <c r="A300" t="s">
        <v>104</v>
      </c>
      <c r="B300" t="s">
        <v>117</v>
      </c>
      <c r="C300" t="b">
        <v>1</v>
      </c>
      <c r="D300" s="1">
        <v>37135</v>
      </c>
      <c r="E300" s="2">
        <v>-23</v>
      </c>
      <c r="F300"/>
      <c r="G300"/>
      <c r="H300"/>
      <c r="I300"/>
      <c r="J300"/>
      <c r="K300"/>
      <c r="L300"/>
      <c r="M300"/>
      <c r="N300"/>
      <c r="O300"/>
    </row>
    <row r="301" spans="1:15" hidden="1" x14ac:dyDescent="0.25">
      <c r="A301" t="s">
        <v>103</v>
      </c>
      <c r="B301" t="s">
        <v>117</v>
      </c>
      <c r="C301" t="b">
        <v>0</v>
      </c>
      <c r="D301" s="1">
        <v>37135</v>
      </c>
      <c r="E301" s="2">
        <v>-1.59</v>
      </c>
      <c r="F301"/>
      <c r="G301"/>
      <c r="H301"/>
      <c r="I301"/>
      <c r="J301"/>
      <c r="K301"/>
      <c r="L301"/>
      <c r="M301"/>
      <c r="N301"/>
      <c r="O301"/>
    </row>
    <row r="302" spans="1:15" hidden="1" x14ac:dyDescent="0.25">
      <c r="A302" t="s">
        <v>13</v>
      </c>
      <c r="B302" t="s">
        <v>115</v>
      </c>
      <c r="C302" t="b">
        <v>0</v>
      </c>
      <c r="D302" s="1">
        <v>37135</v>
      </c>
      <c r="E302">
        <v>2</v>
      </c>
      <c r="F302"/>
      <c r="G302"/>
      <c r="H302"/>
      <c r="I302"/>
      <c r="J302"/>
      <c r="K302"/>
      <c r="L302"/>
      <c r="M302"/>
      <c r="N302"/>
      <c r="O302"/>
    </row>
    <row r="303" spans="1:15" hidden="1" x14ac:dyDescent="0.25">
      <c r="A303" t="s">
        <v>12</v>
      </c>
      <c r="B303" t="s">
        <v>115</v>
      </c>
      <c r="C303" t="b">
        <v>0</v>
      </c>
      <c r="D303" s="1">
        <v>37135</v>
      </c>
      <c r="E303">
        <v>2</v>
      </c>
      <c r="F303"/>
      <c r="G303"/>
      <c r="H303"/>
      <c r="I303"/>
      <c r="J303"/>
      <c r="K303"/>
      <c r="L303"/>
      <c r="M303"/>
      <c r="N303"/>
      <c r="O303"/>
    </row>
    <row r="304" spans="1:15" hidden="1" x14ac:dyDescent="0.25">
      <c r="A304" t="s">
        <v>14</v>
      </c>
      <c r="B304" t="s">
        <v>115</v>
      </c>
      <c r="C304" t="b">
        <v>0</v>
      </c>
      <c r="D304" s="1">
        <v>37135</v>
      </c>
      <c r="E304">
        <v>2</v>
      </c>
      <c r="F304"/>
      <c r="G304"/>
      <c r="H304"/>
      <c r="I304"/>
      <c r="J304"/>
      <c r="K304"/>
      <c r="L304"/>
      <c r="M304"/>
      <c r="N304"/>
      <c r="O304"/>
    </row>
    <row r="305" spans="1:15" hidden="1" x14ac:dyDescent="0.25">
      <c r="A305" t="s">
        <v>15</v>
      </c>
      <c r="B305" t="s">
        <v>115</v>
      </c>
      <c r="C305" t="b">
        <v>0</v>
      </c>
      <c r="D305" s="1">
        <v>37135</v>
      </c>
      <c r="E305">
        <v>2</v>
      </c>
      <c r="F305"/>
      <c r="G305"/>
      <c r="H305"/>
      <c r="I305"/>
      <c r="J305"/>
      <c r="K305"/>
      <c r="L305"/>
      <c r="M305"/>
      <c r="N305"/>
      <c r="O305"/>
    </row>
    <row r="306" spans="1:15" hidden="1" x14ac:dyDescent="0.25">
      <c r="A306" t="s">
        <v>106</v>
      </c>
      <c r="B306" t="s">
        <v>115</v>
      </c>
      <c r="C306" t="b">
        <v>0</v>
      </c>
      <c r="D306" s="1">
        <v>37135</v>
      </c>
      <c r="E306">
        <v>2</v>
      </c>
      <c r="F306"/>
      <c r="G306"/>
      <c r="H306"/>
      <c r="I306"/>
      <c r="J306"/>
      <c r="K306"/>
      <c r="L306"/>
      <c r="M306"/>
      <c r="N306"/>
      <c r="O306"/>
    </row>
    <row r="307" spans="1:15" hidden="1" x14ac:dyDescent="0.25">
      <c r="A307" t="s">
        <v>106</v>
      </c>
      <c r="B307" t="s">
        <v>115</v>
      </c>
      <c r="C307" t="b">
        <v>0</v>
      </c>
      <c r="D307" s="1">
        <v>37135</v>
      </c>
      <c r="E307">
        <v>2</v>
      </c>
      <c r="F307"/>
      <c r="G307"/>
      <c r="H307"/>
      <c r="I307"/>
      <c r="J307"/>
      <c r="K307"/>
      <c r="L307"/>
      <c r="M307"/>
      <c r="N307"/>
      <c r="O307"/>
    </row>
    <row r="308" spans="1:15" hidden="1" x14ac:dyDescent="0.25">
      <c r="A308" t="s">
        <v>106</v>
      </c>
      <c r="B308" t="s">
        <v>115</v>
      </c>
      <c r="C308" t="b">
        <v>0</v>
      </c>
      <c r="D308" s="1">
        <v>37135</v>
      </c>
      <c r="E308">
        <v>2</v>
      </c>
      <c r="F308"/>
      <c r="G308"/>
      <c r="H308"/>
      <c r="I308"/>
      <c r="J308"/>
      <c r="K308"/>
      <c r="L308"/>
      <c r="M308"/>
      <c r="N308"/>
      <c r="O308"/>
    </row>
    <row r="309" spans="1:15" hidden="1" x14ac:dyDescent="0.25">
      <c r="A309" t="s">
        <v>106</v>
      </c>
      <c r="B309" t="s">
        <v>115</v>
      </c>
      <c r="C309" t="b">
        <v>0</v>
      </c>
      <c r="D309" s="1">
        <v>37135</v>
      </c>
      <c r="E309">
        <v>2</v>
      </c>
      <c r="F309"/>
      <c r="G309"/>
      <c r="H309"/>
      <c r="I309"/>
      <c r="J309"/>
      <c r="K309"/>
      <c r="L309"/>
      <c r="M309"/>
      <c r="N309"/>
      <c r="O309"/>
    </row>
    <row r="310" spans="1:15" hidden="1" x14ac:dyDescent="0.25">
      <c r="A310" t="s">
        <v>106</v>
      </c>
      <c r="B310" t="s">
        <v>115</v>
      </c>
      <c r="C310" t="b">
        <v>0</v>
      </c>
      <c r="D310" s="1">
        <v>37135</v>
      </c>
      <c r="E310">
        <v>2</v>
      </c>
      <c r="F310"/>
      <c r="G310"/>
      <c r="H310"/>
      <c r="I310"/>
      <c r="J310"/>
      <c r="K310"/>
      <c r="L310"/>
      <c r="M310"/>
      <c r="N310"/>
      <c r="O310"/>
    </row>
    <row r="311" spans="1:15" hidden="1" x14ac:dyDescent="0.25">
      <c r="A311" t="s">
        <v>106</v>
      </c>
      <c r="B311" t="s">
        <v>115</v>
      </c>
      <c r="C311" t="b">
        <v>0</v>
      </c>
      <c r="D311" s="1">
        <v>37135</v>
      </c>
      <c r="E311">
        <v>2</v>
      </c>
      <c r="F311"/>
      <c r="G311"/>
      <c r="H311"/>
      <c r="I311"/>
      <c r="J311"/>
      <c r="K311"/>
      <c r="L311"/>
      <c r="M311"/>
      <c r="N311"/>
      <c r="O311"/>
    </row>
    <row r="312" spans="1:15" hidden="1" x14ac:dyDescent="0.25">
      <c r="A312" t="s">
        <v>106</v>
      </c>
      <c r="B312" t="s">
        <v>115</v>
      </c>
      <c r="C312" t="b">
        <v>0</v>
      </c>
      <c r="D312" s="1">
        <v>37135</v>
      </c>
      <c r="E312">
        <v>2</v>
      </c>
      <c r="F312"/>
      <c r="G312"/>
      <c r="H312"/>
      <c r="I312"/>
      <c r="J312"/>
      <c r="K312"/>
      <c r="L312"/>
      <c r="M312"/>
      <c r="N312"/>
      <c r="O312"/>
    </row>
    <row r="313" spans="1:15" hidden="1" x14ac:dyDescent="0.25">
      <c r="A313" t="s">
        <v>106</v>
      </c>
      <c r="B313" t="s">
        <v>115</v>
      </c>
      <c r="C313" t="b">
        <v>0</v>
      </c>
      <c r="D313" s="1">
        <v>37135</v>
      </c>
      <c r="E313">
        <v>2</v>
      </c>
      <c r="F313"/>
      <c r="G313"/>
      <c r="H313"/>
      <c r="I313"/>
      <c r="J313"/>
      <c r="K313"/>
      <c r="L313"/>
      <c r="M313"/>
      <c r="N313"/>
      <c r="O313"/>
    </row>
    <row r="314" spans="1:15" hidden="1" x14ac:dyDescent="0.25">
      <c r="A314" t="s">
        <v>106</v>
      </c>
      <c r="B314" t="s">
        <v>115</v>
      </c>
      <c r="C314" t="b">
        <v>0</v>
      </c>
      <c r="D314" s="1">
        <v>37135</v>
      </c>
      <c r="E314">
        <v>2</v>
      </c>
      <c r="F314"/>
      <c r="G314"/>
      <c r="H314"/>
      <c r="I314"/>
      <c r="J314"/>
      <c r="K314"/>
      <c r="L314"/>
      <c r="M314"/>
      <c r="N314"/>
      <c r="O314"/>
    </row>
    <row r="315" spans="1:15" hidden="1" x14ac:dyDescent="0.25">
      <c r="A315" t="s">
        <v>106</v>
      </c>
      <c r="B315" t="s">
        <v>115</v>
      </c>
      <c r="C315" t="b">
        <v>0</v>
      </c>
      <c r="D315" s="1">
        <v>37135</v>
      </c>
      <c r="E315">
        <v>2</v>
      </c>
      <c r="F315"/>
      <c r="G315"/>
      <c r="H315"/>
      <c r="I315"/>
      <c r="J315"/>
      <c r="K315"/>
      <c r="L315"/>
      <c r="M315"/>
      <c r="N315"/>
      <c r="O315"/>
    </row>
    <row r="316" spans="1:15" hidden="1" x14ac:dyDescent="0.25">
      <c r="A316" t="s">
        <v>106</v>
      </c>
      <c r="B316" t="s">
        <v>115</v>
      </c>
      <c r="C316" t="b">
        <v>0</v>
      </c>
      <c r="D316" s="1">
        <v>37135</v>
      </c>
      <c r="E316">
        <v>2</v>
      </c>
      <c r="F316"/>
      <c r="G316"/>
      <c r="H316"/>
      <c r="I316"/>
      <c r="J316"/>
      <c r="K316"/>
      <c r="L316"/>
      <c r="M316"/>
      <c r="N316"/>
      <c r="O316"/>
    </row>
    <row r="317" spans="1:15" hidden="1" x14ac:dyDescent="0.25">
      <c r="A317" t="s">
        <v>106</v>
      </c>
      <c r="B317" t="s">
        <v>115</v>
      </c>
      <c r="C317" t="b">
        <v>0</v>
      </c>
      <c r="D317" s="1">
        <v>37135</v>
      </c>
      <c r="E317">
        <v>2</v>
      </c>
      <c r="F317"/>
      <c r="G317"/>
      <c r="H317"/>
      <c r="I317"/>
      <c r="J317"/>
      <c r="K317"/>
      <c r="L317"/>
      <c r="M317"/>
      <c r="N317"/>
      <c r="O317"/>
    </row>
    <row r="318" spans="1:15" hidden="1" x14ac:dyDescent="0.25">
      <c r="A318" t="s">
        <v>106</v>
      </c>
      <c r="B318" t="s">
        <v>115</v>
      </c>
      <c r="C318" t="b">
        <v>0</v>
      </c>
      <c r="D318" s="1">
        <v>37135</v>
      </c>
      <c r="E318">
        <v>2</v>
      </c>
      <c r="F318"/>
      <c r="G318"/>
      <c r="H318"/>
      <c r="I318"/>
      <c r="J318"/>
      <c r="K318"/>
      <c r="L318"/>
      <c r="M318"/>
      <c r="N318"/>
      <c r="O318"/>
    </row>
    <row r="319" spans="1:15" hidden="1" x14ac:dyDescent="0.25">
      <c r="A319" t="s">
        <v>106</v>
      </c>
      <c r="B319" t="s">
        <v>115</v>
      </c>
      <c r="C319" t="b">
        <v>0</v>
      </c>
      <c r="D319" s="1">
        <v>37135</v>
      </c>
      <c r="E319">
        <v>2</v>
      </c>
      <c r="F319"/>
      <c r="G319"/>
      <c r="H319"/>
      <c r="I319"/>
      <c r="J319"/>
      <c r="K319"/>
      <c r="L319"/>
      <c r="M319"/>
      <c r="N319"/>
      <c r="O319"/>
    </row>
    <row r="320" spans="1:15" hidden="1" x14ac:dyDescent="0.25">
      <c r="A320" t="s">
        <v>106</v>
      </c>
      <c r="B320" t="s">
        <v>115</v>
      </c>
      <c r="C320" t="b">
        <v>0</v>
      </c>
      <c r="D320" s="1">
        <v>37135</v>
      </c>
      <c r="E320">
        <v>2</v>
      </c>
      <c r="F320"/>
      <c r="G320"/>
      <c r="H320"/>
      <c r="I320"/>
      <c r="J320"/>
      <c r="K320"/>
      <c r="L320"/>
      <c r="M320"/>
      <c r="N320"/>
      <c r="O320"/>
    </row>
    <row r="321" spans="1:15" hidden="1" x14ac:dyDescent="0.25">
      <c r="A321" t="s">
        <v>106</v>
      </c>
      <c r="B321" t="s">
        <v>115</v>
      </c>
      <c r="C321" t="b">
        <v>0</v>
      </c>
      <c r="D321" s="1">
        <v>37135</v>
      </c>
      <c r="E321">
        <v>2</v>
      </c>
      <c r="F321"/>
      <c r="G321"/>
      <c r="H321"/>
      <c r="I321"/>
      <c r="J321"/>
      <c r="K321"/>
      <c r="L321"/>
      <c r="M321"/>
      <c r="N321"/>
      <c r="O321"/>
    </row>
    <row r="322" spans="1:15" hidden="1" x14ac:dyDescent="0.25">
      <c r="A322" t="s">
        <v>106</v>
      </c>
      <c r="B322" t="s">
        <v>115</v>
      </c>
      <c r="C322" t="b">
        <v>0</v>
      </c>
      <c r="D322" s="1">
        <v>37135</v>
      </c>
      <c r="E322">
        <v>2</v>
      </c>
      <c r="F322"/>
      <c r="G322"/>
      <c r="H322"/>
      <c r="I322"/>
      <c r="J322"/>
      <c r="K322"/>
      <c r="L322"/>
      <c r="M322"/>
      <c r="N322"/>
      <c r="O322"/>
    </row>
    <row r="323" spans="1:15" hidden="1" x14ac:dyDescent="0.25">
      <c r="A323" t="s">
        <v>106</v>
      </c>
      <c r="B323" t="s">
        <v>115</v>
      </c>
      <c r="C323" t="b">
        <v>0</v>
      </c>
      <c r="D323" s="1">
        <v>37135</v>
      </c>
      <c r="E323">
        <v>2</v>
      </c>
      <c r="F323"/>
      <c r="G323"/>
      <c r="H323"/>
      <c r="I323"/>
      <c r="J323"/>
      <c r="K323"/>
      <c r="L323"/>
      <c r="M323"/>
      <c r="N323"/>
      <c r="O323"/>
    </row>
    <row r="324" spans="1:15" hidden="1" x14ac:dyDescent="0.25">
      <c r="A324" t="s">
        <v>106</v>
      </c>
      <c r="B324" t="s">
        <v>115</v>
      </c>
      <c r="C324" t="b">
        <v>0</v>
      </c>
      <c r="D324" s="1">
        <v>37135</v>
      </c>
      <c r="E324">
        <v>2</v>
      </c>
      <c r="F324"/>
      <c r="G324"/>
      <c r="H324"/>
      <c r="I324"/>
      <c r="J324"/>
      <c r="K324"/>
      <c r="L324"/>
      <c r="M324"/>
      <c r="N324"/>
      <c r="O324"/>
    </row>
    <row r="325" spans="1:15" hidden="1" x14ac:dyDescent="0.25">
      <c r="A325" t="s">
        <v>106</v>
      </c>
      <c r="B325" t="s">
        <v>115</v>
      </c>
      <c r="C325" t="b">
        <v>0</v>
      </c>
      <c r="D325" s="1">
        <v>37135</v>
      </c>
      <c r="E325">
        <v>2</v>
      </c>
      <c r="F325"/>
      <c r="G325"/>
      <c r="H325"/>
      <c r="I325"/>
      <c r="J325"/>
      <c r="K325"/>
      <c r="L325"/>
      <c r="M325"/>
      <c r="N325"/>
      <c r="O325"/>
    </row>
    <row r="326" spans="1:15" hidden="1" x14ac:dyDescent="0.25">
      <c r="A326" t="s">
        <v>106</v>
      </c>
      <c r="B326" t="s">
        <v>115</v>
      </c>
      <c r="C326" t="b">
        <v>0</v>
      </c>
      <c r="D326" s="1">
        <v>37135</v>
      </c>
      <c r="E326">
        <v>2</v>
      </c>
      <c r="F326"/>
      <c r="G326"/>
      <c r="H326"/>
      <c r="I326"/>
      <c r="J326"/>
      <c r="K326"/>
      <c r="L326"/>
      <c r="M326"/>
      <c r="N326"/>
      <c r="O326"/>
    </row>
    <row r="327" spans="1:15" hidden="1" x14ac:dyDescent="0.25">
      <c r="A327" t="s">
        <v>106</v>
      </c>
      <c r="B327" t="s">
        <v>115</v>
      </c>
      <c r="C327" t="b">
        <v>0</v>
      </c>
      <c r="D327" s="1">
        <v>37135</v>
      </c>
      <c r="E327">
        <v>1</v>
      </c>
      <c r="F327"/>
      <c r="G327"/>
      <c r="H327"/>
      <c r="I327"/>
      <c r="J327"/>
      <c r="K327"/>
      <c r="L327"/>
      <c r="M327"/>
      <c r="N327"/>
      <c r="O327"/>
    </row>
    <row r="328" spans="1:15" hidden="1" x14ac:dyDescent="0.25">
      <c r="A328" t="s">
        <v>106</v>
      </c>
      <c r="B328" t="s">
        <v>115</v>
      </c>
      <c r="C328" t="b">
        <v>0</v>
      </c>
      <c r="D328" s="1">
        <v>37135</v>
      </c>
      <c r="E328">
        <v>2</v>
      </c>
      <c r="F328"/>
      <c r="G328"/>
      <c r="H328"/>
      <c r="I328"/>
      <c r="J328"/>
      <c r="K328"/>
      <c r="L328"/>
      <c r="M328"/>
      <c r="N328"/>
      <c r="O328"/>
    </row>
    <row r="329" spans="1:15" hidden="1" x14ac:dyDescent="0.25">
      <c r="A329" t="s">
        <v>106</v>
      </c>
      <c r="B329" t="s">
        <v>115</v>
      </c>
      <c r="C329" t="b">
        <v>0</v>
      </c>
      <c r="D329" s="1">
        <v>37135</v>
      </c>
      <c r="E329">
        <v>2</v>
      </c>
      <c r="F329"/>
      <c r="G329"/>
      <c r="H329"/>
      <c r="I329"/>
      <c r="J329"/>
      <c r="K329"/>
      <c r="L329"/>
      <c r="M329"/>
      <c r="N329"/>
      <c r="O329"/>
    </row>
    <row r="330" spans="1:15" hidden="1" x14ac:dyDescent="0.25">
      <c r="A330" t="s">
        <v>106</v>
      </c>
      <c r="B330" t="s">
        <v>115</v>
      </c>
      <c r="C330" t="b">
        <v>0</v>
      </c>
      <c r="D330" s="1">
        <v>37135</v>
      </c>
      <c r="E330">
        <v>2</v>
      </c>
      <c r="F330"/>
      <c r="G330"/>
      <c r="H330"/>
      <c r="I330"/>
      <c r="J330"/>
      <c r="K330"/>
      <c r="L330"/>
      <c r="M330"/>
      <c r="N330"/>
      <c r="O330"/>
    </row>
    <row r="331" spans="1:15" hidden="1" x14ac:dyDescent="0.25">
      <c r="A331" t="s">
        <v>106</v>
      </c>
      <c r="B331" t="s">
        <v>115</v>
      </c>
      <c r="C331" t="b">
        <v>0</v>
      </c>
      <c r="D331" s="1">
        <v>37135</v>
      </c>
      <c r="E331">
        <v>2</v>
      </c>
      <c r="F331"/>
      <c r="G331"/>
      <c r="H331"/>
      <c r="I331"/>
      <c r="J331"/>
      <c r="K331"/>
      <c r="L331"/>
      <c r="M331"/>
      <c r="N331"/>
      <c r="O331"/>
    </row>
    <row r="332" spans="1:15" hidden="1" x14ac:dyDescent="0.25">
      <c r="A332" t="s">
        <v>106</v>
      </c>
      <c r="B332" t="s">
        <v>115</v>
      </c>
      <c r="C332" t="b">
        <v>0</v>
      </c>
      <c r="D332" s="1">
        <v>37135</v>
      </c>
      <c r="E332">
        <v>2</v>
      </c>
      <c r="F332"/>
      <c r="G332"/>
      <c r="H332"/>
      <c r="I332"/>
      <c r="J332"/>
      <c r="K332"/>
      <c r="L332"/>
      <c r="M332"/>
      <c r="N332"/>
      <c r="O332"/>
    </row>
    <row r="333" spans="1:15" hidden="1" x14ac:dyDescent="0.25">
      <c r="A333" t="s">
        <v>106</v>
      </c>
      <c r="B333" t="s">
        <v>115</v>
      </c>
      <c r="C333" t="b">
        <v>0</v>
      </c>
      <c r="D333" s="1">
        <v>37135</v>
      </c>
      <c r="E333">
        <v>2</v>
      </c>
      <c r="F333"/>
      <c r="G333"/>
      <c r="H333"/>
      <c r="I333"/>
      <c r="J333"/>
      <c r="K333"/>
      <c r="L333"/>
      <c r="M333"/>
      <c r="N333"/>
      <c r="O333"/>
    </row>
    <row r="334" spans="1:15" hidden="1" x14ac:dyDescent="0.25">
      <c r="A334" t="s">
        <v>43</v>
      </c>
      <c r="B334" t="s">
        <v>115</v>
      </c>
      <c r="C334" t="b">
        <v>0</v>
      </c>
      <c r="D334" s="1">
        <v>37135</v>
      </c>
      <c r="E334">
        <v>2</v>
      </c>
      <c r="F334"/>
      <c r="G334"/>
      <c r="H334"/>
      <c r="I334"/>
      <c r="J334"/>
      <c r="K334"/>
      <c r="L334"/>
      <c r="M334"/>
      <c r="N334"/>
      <c r="O334"/>
    </row>
    <row r="335" spans="1:15" hidden="1" x14ac:dyDescent="0.25">
      <c r="A335" t="s">
        <v>30</v>
      </c>
      <c r="B335" t="s">
        <v>115</v>
      </c>
      <c r="C335" t="b">
        <v>0</v>
      </c>
      <c r="D335" s="1">
        <v>37135</v>
      </c>
      <c r="E335">
        <v>2</v>
      </c>
      <c r="F335"/>
      <c r="G335"/>
      <c r="H335"/>
      <c r="I335"/>
      <c r="J335"/>
      <c r="K335"/>
      <c r="L335"/>
      <c r="M335"/>
      <c r="N335"/>
      <c r="O335"/>
    </row>
    <row r="336" spans="1:15" hidden="1" x14ac:dyDescent="0.25">
      <c r="A336" t="s">
        <v>39</v>
      </c>
      <c r="B336" t="s">
        <v>115</v>
      </c>
      <c r="C336" t="b">
        <v>0</v>
      </c>
      <c r="D336" s="1">
        <v>37135</v>
      </c>
      <c r="E336">
        <v>2</v>
      </c>
      <c r="F336"/>
      <c r="G336"/>
      <c r="H336"/>
      <c r="I336"/>
      <c r="J336"/>
      <c r="K336"/>
      <c r="L336"/>
      <c r="M336"/>
      <c r="N336"/>
      <c r="O336"/>
    </row>
    <row r="337" spans="1:15" hidden="1" x14ac:dyDescent="0.25">
      <c r="A337" t="s">
        <v>57</v>
      </c>
      <c r="B337" t="s">
        <v>115</v>
      </c>
      <c r="C337" t="b">
        <v>0</v>
      </c>
      <c r="D337" s="1">
        <v>37135</v>
      </c>
      <c r="E337">
        <v>2</v>
      </c>
      <c r="F337"/>
      <c r="G337"/>
      <c r="H337"/>
      <c r="I337"/>
      <c r="J337"/>
      <c r="K337"/>
      <c r="L337"/>
      <c r="M337"/>
      <c r="N337"/>
      <c r="O337"/>
    </row>
    <row r="338" spans="1:15" hidden="1" x14ac:dyDescent="0.25">
      <c r="A338" t="s">
        <v>100</v>
      </c>
      <c r="B338" t="s">
        <v>117</v>
      </c>
      <c r="C338" t="b">
        <v>0</v>
      </c>
      <c r="D338" s="1">
        <v>37165</v>
      </c>
      <c r="E338" s="2">
        <v>-41.73</v>
      </c>
      <c r="F338"/>
      <c r="G338"/>
      <c r="H338"/>
      <c r="I338"/>
      <c r="J338"/>
      <c r="K338"/>
      <c r="L338"/>
      <c r="M338"/>
      <c r="N338"/>
      <c r="O338"/>
    </row>
    <row r="339" spans="1:15" hidden="1" x14ac:dyDescent="0.25">
      <c r="A339" t="s">
        <v>102</v>
      </c>
      <c r="B339" t="s">
        <v>117</v>
      </c>
      <c r="C339" t="b">
        <v>0</v>
      </c>
      <c r="D339" s="1">
        <v>37165</v>
      </c>
      <c r="E339" s="2">
        <v>-47.93</v>
      </c>
      <c r="F339"/>
      <c r="G339"/>
      <c r="H339"/>
      <c r="I339"/>
      <c r="J339"/>
      <c r="K339"/>
      <c r="L339"/>
      <c r="M339"/>
      <c r="N339"/>
      <c r="O339"/>
    </row>
    <row r="340" spans="1:15" hidden="1" x14ac:dyDescent="0.25">
      <c r="A340" t="s">
        <v>103</v>
      </c>
      <c r="B340" t="s">
        <v>117</v>
      </c>
      <c r="C340" t="b">
        <v>0</v>
      </c>
      <c r="D340" s="1">
        <v>37165</v>
      </c>
      <c r="E340" s="2">
        <v>-17.21</v>
      </c>
      <c r="F340"/>
      <c r="G340"/>
      <c r="H340"/>
      <c r="I340"/>
      <c r="J340"/>
      <c r="K340"/>
      <c r="L340"/>
      <c r="M340"/>
      <c r="N340"/>
      <c r="O340"/>
    </row>
    <row r="341" spans="1:15" hidden="1" x14ac:dyDescent="0.25">
      <c r="A341" t="s">
        <v>13</v>
      </c>
      <c r="B341" t="s">
        <v>115</v>
      </c>
      <c r="C341" t="b">
        <v>0</v>
      </c>
      <c r="D341" s="1">
        <v>37165</v>
      </c>
      <c r="E341">
        <v>2</v>
      </c>
      <c r="F341"/>
      <c r="G341"/>
      <c r="H341"/>
      <c r="I341"/>
      <c r="J341"/>
      <c r="K341"/>
      <c r="L341"/>
      <c r="M341"/>
      <c r="N341"/>
      <c r="O341"/>
    </row>
    <row r="342" spans="1:15" hidden="1" x14ac:dyDescent="0.25">
      <c r="A342" t="s">
        <v>12</v>
      </c>
      <c r="B342" t="s">
        <v>115</v>
      </c>
      <c r="C342" t="b">
        <v>0</v>
      </c>
      <c r="D342" s="1">
        <v>37165</v>
      </c>
      <c r="E342">
        <v>2</v>
      </c>
      <c r="F342"/>
      <c r="G342"/>
      <c r="H342"/>
      <c r="I342"/>
      <c r="J342"/>
      <c r="K342"/>
      <c r="L342"/>
      <c r="M342"/>
      <c r="N342"/>
      <c r="O342"/>
    </row>
    <row r="343" spans="1:15" hidden="1" x14ac:dyDescent="0.25">
      <c r="A343" t="s">
        <v>14</v>
      </c>
      <c r="B343" t="s">
        <v>115</v>
      </c>
      <c r="C343" t="b">
        <v>0</v>
      </c>
      <c r="D343" s="1">
        <v>37165</v>
      </c>
      <c r="E343">
        <v>2</v>
      </c>
      <c r="F343"/>
      <c r="G343"/>
      <c r="H343"/>
      <c r="I343"/>
      <c r="J343"/>
      <c r="K343"/>
      <c r="L343"/>
      <c r="M343"/>
      <c r="N343"/>
      <c r="O343"/>
    </row>
    <row r="344" spans="1:15" hidden="1" x14ac:dyDescent="0.25">
      <c r="A344" t="s">
        <v>15</v>
      </c>
      <c r="B344" t="s">
        <v>115</v>
      </c>
      <c r="C344" t="b">
        <v>0</v>
      </c>
      <c r="D344" s="1">
        <v>37165</v>
      </c>
      <c r="E344">
        <v>2</v>
      </c>
      <c r="F344"/>
      <c r="G344"/>
      <c r="H344"/>
      <c r="I344"/>
      <c r="J344"/>
      <c r="K344"/>
      <c r="L344"/>
      <c r="M344"/>
      <c r="N344"/>
      <c r="O344"/>
    </row>
    <row r="345" spans="1:15" hidden="1" x14ac:dyDescent="0.25">
      <c r="A345" t="s">
        <v>106</v>
      </c>
      <c r="B345" t="s">
        <v>115</v>
      </c>
      <c r="C345" t="b">
        <v>0</v>
      </c>
      <c r="D345" s="1">
        <v>37165</v>
      </c>
      <c r="E345">
        <v>2</v>
      </c>
      <c r="F345"/>
      <c r="G345"/>
      <c r="H345"/>
      <c r="I345"/>
      <c r="J345"/>
      <c r="K345"/>
      <c r="L345"/>
      <c r="M345"/>
      <c r="N345"/>
      <c r="O345"/>
    </row>
    <row r="346" spans="1:15" hidden="1" x14ac:dyDescent="0.25">
      <c r="A346" t="s">
        <v>106</v>
      </c>
      <c r="B346" t="s">
        <v>115</v>
      </c>
      <c r="C346" t="b">
        <v>0</v>
      </c>
      <c r="D346" s="1">
        <v>37165</v>
      </c>
      <c r="E346">
        <v>2</v>
      </c>
      <c r="F346"/>
      <c r="G346"/>
      <c r="H346"/>
      <c r="I346"/>
      <c r="J346"/>
      <c r="K346"/>
      <c r="L346"/>
      <c r="M346"/>
      <c r="N346"/>
      <c r="O346"/>
    </row>
    <row r="347" spans="1:15" hidden="1" x14ac:dyDescent="0.25">
      <c r="A347" t="s">
        <v>106</v>
      </c>
      <c r="B347" t="s">
        <v>115</v>
      </c>
      <c r="C347" t="b">
        <v>0</v>
      </c>
      <c r="D347" s="1">
        <v>37165</v>
      </c>
      <c r="E347">
        <v>2</v>
      </c>
      <c r="F347"/>
      <c r="G347"/>
      <c r="H347"/>
      <c r="I347"/>
      <c r="J347"/>
      <c r="K347"/>
      <c r="L347"/>
      <c r="M347"/>
      <c r="N347"/>
      <c r="O347"/>
    </row>
    <row r="348" spans="1:15" hidden="1" x14ac:dyDescent="0.25">
      <c r="A348" t="s">
        <v>106</v>
      </c>
      <c r="B348" t="s">
        <v>115</v>
      </c>
      <c r="C348" t="b">
        <v>0</v>
      </c>
      <c r="D348" s="1">
        <v>37165</v>
      </c>
      <c r="E348">
        <v>2</v>
      </c>
      <c r="F348"/>
      <c r="G348"/>
      <c r="H348"/>
      <c r="I348"/>
      <c r="J348"/>
      <c r="K348"/>
      <c r="L348"/>
      <c r="M348"/>
      <c r="N348"/>
      <c r="O348"/>
    </row>
    <row r="349" spans="1:15" hidden="1" x14ac:dyDescent="0.25">
      <c r="A349" t="s">
        <v>106</v>
      </c>
      <c r="B349" t="s">
        <v>115</v>
      </c>
      <c r="C349" t="b">
        <v>0</v>
      </c>
      <c r="D349" s="1">
        <v>37165</v>
      </c>
      <c r="E349">
        <v>2</v>
      </c>
      <c r="F349"/>
      <c r="G349"/>
      <c r="H349"/>
      <c r="I349"/>
      <c r="J349"/>
      <c r="K349"/>
      <c r="L349"/>
      <c r="M349"/>
      <c r="N349"/>
      <c r="O349"/>
    </row>
    <row r="350" spans="1:15" hidden="1" x14ac:dyDescent="0.25">
      <c r="A350" t="s">
        <v>106</v>
      </c>
      <c r="B350" t="s">
        <v>115</v>
      </c>
      <c r="C350" t="b">
        <v>0</v>
      </c>
      <c r="D350" s="1">
        <v>37165</v>
      </c>
      <c r="E350">
        <v>2</v>
      </c>
      <c r="F350"/>
      <c r="G350"/>
      <c r="H350"/>
      <c r="I350"/>
      <c r="J350"/>
      <c r="K350"/>
      <c r="L350"/>
      <c r="M350"/>
      <c r="N350"/>
      <c r="O350"/>
    </row>
    <row r="351" spans="1:15" hidden="1" x14ac:dyDescent="0.25">
      <c r="A351" t="s">
        <v>106</v>
      </c>
      <c r="B351" t="s">
        <v>115</v>
      </c>
      <c r="C351" t="b">
        <v>0</v>
      </c>
      <c r="D351" s="1">
        <v>37165</v>
      </c>
      <c r="E351">
        <v>2</v>
      </c>
      <c r="F351"/>
      <c r="G351"/>
      <c r="H351"/>
      <c r="I351"/>
      <c r="J351"/>
      <c r="K351"/>
      <c r="L351"/>
      <c r="M351"/>
      <c r="N351"/>
      <c r="O351"/>
    </row>
    <row r="352" spans="1:15" hidden="1" x14ac:dyDescent="0.25">
      <c r="A352" t="s">
        <v>106</v>
      </c>
      <c r="B352" t="s">
        <v>115</v>
      </c>
      <c r="C352" t="b">
        <v>0</v>
      </c>
      <c r="D352" s="1">
        <v>37165</v>
      </c>
      <c r="E352">
        <v>2</v>
      </c>
      <c r="F352"/>
      <c r="G352"/>
      <c r="H352"/>
      <c r="I352"/>
      <c r="J352"/>
      <c r="K352"/>
      <c r="L352"/>
      <c r="M352"/>
      <c r="N352"/>
      <c r="O352"/>
    </row>
    <row r="353" spans="1:15" hidden="1" x14ac:dyDescent="0.25">
      <c r="A353" t="s">
        <v>106</v>
      </c>
      <c r="B353" t="s">
        <v>115</v>
      </c>
      <c r="C353" t="b">
        <v>0</v>
      </c>
      <c r="D353" s="1">
        <v>37165</v>
      </c>
      <c r="E353">
        <v>2</v>
      </c>
      <c r="F353"/>
      <c r="G353"/>
      <c r="H353"/>
      <c r="I353"/>
      <c r="J353"/>
      <c r="K353"/>
      <c r="L353"/>
      <c r="M353"/>
      <c r="N353"/>
      <c r="O353"/>
    </row>
    <row r="354" spans="1:15" hidden="1" x14ac:dyDescent="0.25">
      <c r="A354" t="s">
        <v>106</v>
      </c>
      <c r="B354" t="s">
        <v>115</v>
      </c>
      <c r="C354" t="b">
        <v>0</v>
      </c>
      <c r="D354" s="1">
        <v>37165</v>
      </c>
      <c r="E354">
        <v>2</v>
      </c>
      <c r="F354"/>
      <c r="G354"/>
      <c r="H354"/>
      <c r="I354"/>
      <c r="J354"/>
      <c r="K354"/>
      <c r="L354"/>
      <c r="M354"/>
      <c r="N354"/>
      <c r="O354"/>
    </row>
    <row r="355" spans="1:15" hidden="1" x14ac:dyDescent="0.25">
      <c r="A355" t="s">
        <v>106</v>
      </c>
      <c r="B355" t="s">
        <v>115</v>
      </c>
      <c r="C355" t="b">
        <v>0</v>
      </c>
      <c r="D355" s="1">
        <v>37165</v>
      </c>
      <c r="E355">
        <v>2</v>
      </c>
      <c r="F355"/>
      <c r="G355"/>
      <c r="H355"/>
      <c r="I355"/>
      <c r="J355"/>
      <c r="K355"/>
      <c r="L355"/>
      <c r="M355"/>
      <c r="N355"/>
      <c r="O355"/>
    </row>
    <row r="356" spans="1:15" hidden="1" x14ac:dyDescent="0.25">
      <c r="A356" t="s">
        <v>106</v>
      </c>
      <c r="B356" t="s">
        <v>115</v>
      </c>
      <c r="C356" t="b">
        <v>0</v>
      </c>
      <c r="D356" s="1">
        <v>37165</v>
      </c>
      <c r="E356">
        <v>2</v>
      </c>
      <c r="F356"/>
      <c r="G356"/>
      <c r="H356"/>
      <c r="I356"/>
      <c r="J356"/>
      <c r="K356"/>
      <c r="L356"/>
      <c r="M356"/>
      <c r="N356"/>
      <c r="O356"/>
    </row>
    <row r="357" spans="1:15" hidden="1" x14ac:dyDescent="0.25">
      <c r="A357" t="s">
        <v>106</v>
      </c>
      <c r="B357" t="s">
        <v>115</v>
      </c>
      <c r="C357" t="b">
        <v>0</v>
      </c>
      <c r="D357" s="1">
        <v>37165</v>
      </c>
      <c r="E357">
        <v>2</v>
      </c>
      <c r="F357"/>
      <c r="G357"/>
      <c r="H357"/>
      <c r="I357"/>
      <c r="J357"/>
      <c r="K357"/>
      <c r="L357"/>
      <c r="M357"/>
      <c r="N357"/>
      <c r="O357"/>
    </row>
    <row r="358" spans="1:15" hidden="1" x14ac:dyDescent="0.25">
      <c r="A358" t="s">
        <v>106</v>
      </c>
      <c r="B358" t="s">
        <v>115</v>
      </c>
      <c r="C358" t="b">
        <v>0</v>
      </c>
      <c r="D358" s="1">
        <v>37165</v>
      </c>
      <c r="E358">
        <v>2</v>
      </c>
      <c r="F358"/>
      <c r="G358"/>
      <c r="H358"/>
      <c r="I358"/>
      <c r="J358"/>
      <c r="K358"/>
      <c r="L358"/>
      <c r="M358"/>
      <c r="N358"/>
      <c r="O358"/>
    </row>
    <row r="359" spans="1:15" hidden="1" x14ac:dyDescent="0.25">
      <c r="A359" t="s">
        <v>106</v>
      </c>
      <c r="B359" t="s">
        <v>115</v>
      </c>
      <c r="C359" t="b">
        <v>0</v>
      </c>
      <c r="D359" s="1">
        <v>37165</v>
      </c>
      <c r="E359">
        <v>2</v>
      </c>
      <c r="F359"/>
      <c r="G359"/>
      <c r="H359"/>
      <c r="I359"/>
      <c r="J359"/>
      <c r="K359"/>
      <c r="L359"/>
      <c r="M359"/>
      <c r="N359"/>
      <c r="O359"/>
    </row>
    <row r="360" spans="1:15" hidden="1" x14ac:dyDescent="0.25">
      <c r="A360" t="s">
        <v>106</v>
      </c>
      <c r="B360" t="s">
        <v>115</v>
      </c>
      <c r="C360" t="b">
        <v>0</v>
      </c>
      <c r="D360" s="1">
        <v>37165</v>
      </c>
      <c r="E360">
        <v>2</v>
      </c>
      <c r="F360"/>
      <c r="G360"/>
      <c r="H360"/>
      <c r="I360"/>
      <c r="J360"/>
      <c r="K360"/>
      <c r="L360"/>
      <c r="M360"/>
      <c r="N360"/>
      <c r="O360"/>
    </row>
    <row r="361" spans="1:15" hidden="1" x14ac:dyDescent="0.25">
      <c r="A361" t="s">
        <v>106</v>
      </c>
      <c r="B361" t="s">
        <v>115</v>
      </c>
      <c r="C361" t="b">
        <v>0</v>
      </c>
      <c r="D361" s="1">
        <v>37165</v>
      </c>
      <c r="E361">
        <v>2</v>
      </c>
      <c r="F361"/>
      <c r="G361"/>
      <c r="H361"/>
      <c r="I361"/>
      <c r="J361"/>
      <c r="K361"/>
      <c r="L361"/>
      <c r="M361"/>
      <c r="N361"/>
      <c r="O361"/>
    </row>
    <row r="362" spans="1:15" hidden="1" x14ac:dyDescent="0.25">
      <c r="A362" t="s">
        <v>106</v>
      </c>
      <c r="B362" t="s">
        <v>115</v>
      </c>
      <c r="C362" t="b">
        <v>0</v>
      </c>
      <c r="D362" s="1">
        <v>37165</v>
      </c>
      <c r="E362">
        <v>2</v>
      </c>
      <c r="F362"/>
      <c r="G362"/>
      <c r="H362"/>
      <c r="I362"/>
      <c r="J362"/>
      <c r="K362"/>
      <c r="L362"/>
      <c r="M362"/>
      <c r="N362"/>
      <c r="O362"/>
    </row>
    <row r="363" spans="1:15" hidden="1" x14ac:dyDescent="0.25">
      <c r="A363" t="s">
        <v>106</v>
      </c>
      <c r="B363" t="s">
        <v>115</v>
      </c>
      <c r="C363" t="b">
        <v>0</v>
      </c>
      <c r="D363" s="1">
        <v>37165</v>
      </c>
      <c r="E363">
        <v>2</v>
      </c>
      <c r="F363"/>
      <c r="G363"/>
      <c r="H363"/>
      <c r="I363"/>
      <c r="J363"/>
      <c r="K363"/>
      <c r="L363"/>
      <c r="M363"/>
      <c r="N363"/>
      <c r="O363"/>
    </row>
    <row r="364" spans="1:15" hidden="1" x14ac:dyDescent="0.25">
      <c r="A364" t="s">
        <v>106</v>
      </c>
      <c r="B364" t="s">
        <v>115</v>
      </c>
      <c r="C364" t="b">
        <v>0</v>
      </c>
      <c r="D364" s="1">
        <v>37165</v>
      </c>
      <c r="E364">
        <v>2</v>
      </c>
      <c r="F364"/>
      <c r="G364"/>
      <c r="H364"/>
      <c r="I364"/>
      <c r="J364"/>
      <c r="K364"/>
      <c r="L364"/>
      <c r="M364"/>
      <c r="N364"/>
      <c r="O364"/>
    </row>
    <row r="365" spans="1:15" hidden="1" x14ac:dyDescent="0.25">
      <c r="A365" t="s">
        <v>106</v>
      </c>
      <c r="B365" t="s">
        <v>115</v>
      </c>
      <c r="C365" t="b">
        <v>0</v>
      </c>
      <c r="D365" s="1">
        <v>37165</v>
      </c>
      <c r="E365">
        <v>2</v>
      </c>
      <c r="F365"/>
      <c r="G365"/>
      <c r="H365"/>
      <c r="I365"/>
      <c r="J365"/>
      <c r="K365"/>
      <c r="L365"/>
      <c r="M365"/>
      <c r="N365"/>
      <c r="O365"/>
    </row>
    <row r="366" spans="1:15" hidden="1" x14ac:dyDescent="0.25">
      <c r="A366" t="s">
        <v>106</v>
      </c>
      <c r="B366" t="s">
        <v>115</v>
      </c>
      <c r="C366" t="b">
        <v>0</v>
      </c>
      <c r="D366" s="1">
        <v>37165</v>
      </c>
      <c r="E366">
        <v>2</v>
      </c>
      <c r="F366"/>
      <c r="G366"/>
      <c r="H366"/>
      <c r="I366"/>
      <c r="J366"/>
      <c r="K366"/>
      <c r="L366"/>
      <c r="M366"/>
      <c r="N366"/>
      <c r="O366"/>
    </row>
    <row r="367" spans="1:15" hidden="1" x14ac:dyDescent="0.25">
      <c r="A367" t="s">
        <v>106</v>
      </c>
      <c r="B367" t="s">
        <v>115</v>
      </c>
      <c r="C367" t="b">
        <v>0</v>
      </c>
      <c r="D367" s="1">
        <v>37165</v>
      </c>
      <c r="E367">
        <v>2</v>
      </c>
      <c r="F367"/>
      <c r="G367"/>
      <c r="H367"/>
      <c r="I367"/>
      <c r="J367"/>
      <c r="K367"/>
      <c r="L367"/>
      <c r="M367"/>
      <c r="N367"/>
      <c r="O367"/>
    </row>
    <row r="368" spans="1:15" hidden="1" x14ac:dyDescent="0.25">
      <c r="A368" t="s">
        <v>106</v>
      </c>
      <c r="B368" t="s">
        <v>115</v>
      </c>
      <c r="C368" t="b">
        <v>0</v>
      </c>
      <c r="D368" s="1">
        <v>37165</v>
      </c>
      <c r="E368">
        <v>2</v>
      </c>
      <c r="F368"/>
      <c r="G368"/>
      <c r="H368"/>
      <c r="I368"/>
      <c r="J368"/>
      <c r="K368"/>
      <c r="L368"/>
      <c r="M368"/>
      <c r="N368"/>
      <c r="O368"/>
    </row>
    <row r="369" spans="1:15" hidden="1" x14ac:dyDescent="0.25">
      <c r="A369" t="s">
        <v>106</v>
      </c>
      <c r="B369" t="s">
        <v>115</v>
      </c>
      <c r="C369" t="b">
        <v>0</v>
      </c>
      <c r="D369" s="1">
        <v>37165</v>
      </c>
      <c r="E369">
        <v>2</v>
      </c>
      <c r="F369"/>
      <c r="G369"/>
      <c r="H369"/>
      <c r="I369"/>
      <c r="J369"/>
      <c r="K369"/>
      <c r="L369"/>
      <c r="M369"/>
      <c r="N369"/>
      <c r="O369"/>
    </row>
    <row r="370" spans="1:15" hidden="1" x14ac:dyDescent="0.25">
      <c r="A370" t="s">
        <v>106</v>
      </c>
      <c r="B370" t="s">
        <v>115</v>
      </c>
      <c r="C370" t="b">
        <v>0</v>
      </c>
      <c r="D370" s="1">
        <v>37165</v>
      </c>
      <c r="E370">
        <v>2</v>
      </c>
      <c r="F370"/>
      <c r="G370"/>
      <c r="H370"/>
      <c r="I370"/>
      <c r="J370"/>
      <c r="K370"/>
      <c r="L370"/>
      <c r="M370"/>
      <c r="N370"/>
      <c r="O370"/>
    </row>
    <row r="371" spans="1:15" hidden="1" x14ac:dyDescent="0.25">
      <c r="A371" t="s">
        <v>43</v>
      </c>
      <c r="B371" t="s">
        <v>115</v>
      </c>
      <c r="C371" t="b">
        <v>0</v>
      </c>
      <c r="D371" s="1">
        <v>37165</v>
      </c>
      <c r="E371">
        <v>2</v>
      </c>
      <c r="F371"/>
      <c r="G371"/>
      <c r="H371"/>
      <c r="I371"/>
      <c r="J371"/>
      <c r="K371"/>
      <c r="L371"/>
      <c r="M371"/>
      <c r="N371"/>
      <c r="O371"/>
    </row>
    <row r="372" spans="1:15" hidden="1" x14ac:dyDescent="0.25">
      <c r="A372" t="s">
        <v>30</v>
      </c>
      <c r="B372" t="s">
        <v>115</v>
      </c>
      <c r="C372" t="b">
        <v>0</v>
      </c>
      <c r="D372" s="1">
        <v>37165</v>
      </c>
      <c r="E372">
        <v>2</v>
      </c>
      <c r="F372"/>
      <c r="G372"/>
      <c r="H372"/>
      <c r="I372"/>
      <c r="J372"/>
      <c r="K372"/>
      <c r="L372"/>
      <c r="M372"/>
      <c r="N372"/>
      <c r="O372"/>
    </row>
    <row r="373" spans="1:15" hidden="1" x14ac:dyDescent="0.25">
      <c r="A373" t="s">
        <v>39</v>
      </c>
      <c r="B373" t="s">
        <v>115</v>
      </c>
      <c r="C373" t="b">
        <v>0</v>
      </c>
      <c r="D373" s="1">
        <v>37165</v>
      </c>
      <c r="E373">
        <v>2</v>
      </c>
      <c r="F373"/>
      <c r="G373"/>
      <c r="H373"/>
      <c r="I373"/>
      <c r="J373"/>
      <c r="K373"/>
      <c r="L373"/>
      <c r="M373"/>
      <c r="N373"/>
      <c r="O373"/>
    </row>
    <row r="374" spans="1:15" hidden="1" x14ac:dyDescent="0.25">
      <c r="A374" t="s">
        <v>57</v>
      </c>
      <c r="B374" t="s">
        <v>115</v>
      </c>
      <c r="C374" t="b">
        <v>0</v>
      </c>
      <c r="D374" s="1">
        <v>37165</v>
      </c>
      <c r="E374">
        <v>2</v>
      </c>
      <c r="F374"/>
      <c r="G374"/>
      <c r="H374"/>
      <c r="I374"/>
      <c r="J374"/>
      <c r="K374"/>
      <c r="L374"/>
      <c r="M374"/>
      <c r="N374"/>
      <c r="O374"/>
    </row>
    <row r="375" spans="1:15" hidden="1" x14ac:dyDescent="0.25">
      <c r="A375" t="s">
        <v>100</v>
      </c>
      <c r="B375" t="s">
        <v>117</v>
      </c>
      <c r="C375" t="b">
        <v>0</v>
      </c>
      <c r="D375" s="1">
        <v>37196</v>
      </c>
      <c r="E375" s="2">
        <v>-22.14</v>
      </c>
      <c r="F375"/>
      <c r="G375"/>
      <c r="H375"/>
      <c r="I375"/>
      <c r="J375"/>
      <c r="K375"/>
      <c r="L375"/>
      <c r="M375"/>
      <c r="N375"/>
      <c r="O375"/>
    </row>
    <row r="376" spans="1:15" hidden="1" x14ac:dyDescent="0.25">
      <c r="A376" t="s">
        <v>102</v>
      </c>
      <c r="B376" t="s">
        <v>117</v>
      </c>
      <c r="C376" t="b">
        <v>0</v>
      </c>
      <c r="D376" s="1">
        <v>37196</v>
      </c>
      <c r="E376" s="2">
        <v>-15.76</v>
      </c>
      <c r="F376"/>
      <c r="G376"/>
      <c r="H376"/>
      <c r="I376"/>
      <c r="J376"/>
      <c r="K376"/>
      <c r="L376"/>
      <c r="M376"/>
      <c r="N376"/>
      <c r="O376"/>
    </row>
    <row r="377" spans="1:15" hidden="1" x14ac:dyDescent="0.25">
      <c r="A377" t="s">
        <v>103</v>
      </c>
      <c r="B377" t="s">
        <v>117</v>
      </c>
      <c r="C377" t="b">
        <v>0</v>
      </c>
      <c r="D377" s="1">
        <v>37196</v>
      </c>
      <c r="E377" s="2">
        <v>-0.1</v>
      </c>
      <c r="F377"/>
      <c r="G377"/>
      <c r="H377"/>
      <c r="I377"/>
      <c r="J377"/>
      <c r="K377"/>
      <c r="L377"/>
      <c r="M377"/>
      <c r="N377"/>
      <c r="O377"/>
    </row>
    <row r="378" spans="1:15" hidden="1" x14ac:dyDescent="0.25">
      <c r="A378" t="s">
        <v>108</v>
      </c>
      <c r="B378" t="s">
        <v>115</v>
      </c>
      <c r="C378" t="b">
        <v>0</v>
      </c>
      <c r="D378" s="1">
        <v>37196</v>
      </c>
      <c r="E378">
        <v>1</v>
      </c>
      <c r="F378"/>
      <c r="G378"/>
      <c r="H378"/>
      <c r="I378"/>
      <c r="J378"/>
      <c r="K378"/>
      <c r="L378"/>
      <c r="M378"/>
      <c r="N378"/>
      <c r="O378"/>
    </row>
    <row r="379" spans="1:15" hidden="1" x14ac:dyDescent="0.25">
      <c r="A379" t="s">
        <v>13</v>
      </c>
      <c r="B379" t="s">
        <v>115</v>
      </c>
      <c r="C379" t="b">
        <v>0</v>
      </c>
      <c r="D379" s="1">
        <v>37196</v>
      </c>
      <c r="E379">
        <v>2</v>
      </c>
      <c r="F379"/>
      <c r="G379"/>
      <c r="H379"/>
      <c r="I379"/>
      <c r="J379"/>
      <c r="K379"/>
      <c r="L379"/>
      <c r="M379"/>
      <c r="N379"/>
      <c r="O379"/>
    </row>
    <row r="380" spans="1:15" hidden="1" x14ac:dyDescent="0.25">
      <c r="A380" t="s">
        <v>12</v>
      </c>
      <c r="B380" t="s">
        <v>115</v>
      </c>
      <c r="C380" t="b">
        <v>0</v>
      </c>
      <c r="D380" s="1">
        <v>37196</v>
      </c>
      <c r="E380">
        <v>2</v>
      </c>
      <c r="F380"/>
      <c r="G380"/>
      <c r="H380"/>
      <c r="I380"/>
      <c r="J380"/>
      <c r="K380"/>
      <c r="L380"/>
      <c r="M380"/>
      <c r="N380"/>
      <c r="O380"/>
    </row>
    <row r="381" spans="1:15" hidden="1" x14ac:dyDescent="0.25">
      <c r="A381" t="s">
        <v>14</v>
      </c>
      <c r="B381" t="s">
        <v>115</v>
      </c>
      <c r="C381" t="b">
        <v>0</v>
      </c>
      <c r="D381" s="1">
        <v>37196</v>
      </c>
      <c r="E381">
        <v>2</v>
      </c>
      <c r="F381"/>
      <c r="G381"/>
      <c r="H381"/>
      <c r="I381"/>
      <c r="J381"/>
      <c r="K381"/>
      <c r="L381"/>
      <c r="M381"/>
      <c r="N381"/>
      <c r="O381"/>
    </row>
    <row r="382" spans="1:15" hidden="1" x14ac:dyDescent="0.25">
      <c r="A382" t="s">
        <v>15</v>
      </c>
      <c r="B382" t="s">
        <v>115</v>
      </c>
      <c r="C382" t="b">
        <v>0</v>
      </c>
      <c r="D382" s="1">
        <v>37196</v>
      </c>
      <c r="E382">
        <v>2</v>
      </c>
      <c r="F382"/>
      <c r="G382"/>
      <c r="H382"/>
      <c r="I382"/>
      <c r="J382"/>
      <c r="K382"/>
      <c r="L382"/>
      <c r="M382"/>
      <c r="N382"/>
      <c r="O382"/>
    </row>
    <row r="383" spans="1:15" hidden="1" x14ac:dyDescent="0.25">
      <c r="A383" t="s">
        <v>106</v>
      </c>
      <c r="B383" t="s">
        <v>115</v>
      </c>
      <c r="C383" t="b">
        <v>0</v>
      </c>
      <c r="D383" s="1">
        <v>37196</v>
      </c>
      <c r="E383">
        <v>2</v>
      </c>
      <c r="F383"/>
      <c r="G383"/>
      <c r="H383"/>
      <c r="I383"/>
      <c r="J383"/>
      <c r="K383"/>
      <c r="L383"/>
      <c r="M383"/>
      <c r="N383"/>
      <c r="O383"/>
    </row>
    <row r="384" spans="1:15" hidden="1" x14ac:dyDescent="0.25">
      <c r="A384" t="s">
        <v>106</v>
      </c>
      <c r="B384" t="s">
        <v>115</v>
      </c>
      <c r="C384" t="b">
        <v>0</v>
      </c>
      <c r="D384" s="1">
        <v>37196</v>
      </c>
      <c r="E384">
        <v>2</v>
      </c>
      <c r="F384"/>
      <c r="G384"/>
      <c r="H384"/>
      <c r="I384"/>
      <c r="J384"/>
      <c r="K384"/>
      <c r="L384"/>
      <c r="M384"/>
      <c r="N384"/>
      <c r="O384"/>
    </row>
    <row r="385" spans="1:15" hidden="1" x14ac:dyDescent="0.25">
      <c r="A385" t="s">
        <v>106</v>
      </c>
      <c r="B385" t="s">
        <v>115</v>
      </c>
      <c r="C385" t="b">
        <v>0</v>
      </c>
      <c r="D385" s="1">
        <v>37196</v>
      </c>
      <c r="E385">
        <v>2</v>
      </c>
      <c r="F385"/>
      <c r="G385"/>
      <c r="H385"/>
      <c r="I385"/>
      <c r="J385"/>
      <c r="K385"/>
      <c r="L385"/>
      <c r="M385"/>
      <c r="N385"/>
      <c r="O385"/>
    </row>
    <row r="386" spans="1:15" hidden="1" x14ac:dyDescent="0.25">
      <c r="A386" t="s">
        <v>106</v>
      </c>
      <c r="B386" t="s">
        <v>115</v>
      </c>
      <c r="C386" t="b">
        <v>0</v>
      </c>
      <c r="D386" s="1">
        <v>37196</v>
      </c>
      <c r="E386">
        <v>2</v>
      </c>
      <c r="F386"/>
      <c r="G386"/>
      <c r="H386"/>
      <c r="I386"/>
      <c r="J386"/>
      <c r="K386"/>
      <c r="L386"/>
      <c r="M386"/>
      <c r="N386"/>
      <c r="O386"/>
    </row>
    <row r="387" spans="1:15" hidden="1" x14ac:dyDescent="0.25">
      <c r="A387" t="s">
        <v>106</v>
      </c>
      <c r="B387" t="s">
        <v>115</v>
      </c>
      <c r="C387" t="b">
        <v>0</v>
      </c>
      <c r="D387" s="1">
        <v>37196</v>
      </c>
      <c r="E387">
        <v>2</v>
      </c>
      <c r="F387"/>
      <c r="G387"/>
      <c r="H387"/>
      <c r="I387"/>
      <c r="J387"/>
      <c r="K387"/>
      <c r="L387"/>
      <c r="M387"/>
      <c r="N387"/>
      <c r="O387"/>
    </row>
    <row r="388" spans="1:15" hidden="1" x14ac:dyDescent="0.25">
      <c r="A388" t="s">
        <v>106</v>
      </c>
      <c r="B388" t="s">
        <v>115</v>
      </c>
      <c r="C388" t="b">
        <v>0</v>
      </c>
      <c r="D388" s="1">
        <v>37196</v>
      </c>
      <c r="E388">
        <v>2</v>
      </c>
      <c r="F388"/>
      <c r="G388"/>
      <c r="H388"/>
      <c r="I388"/>
      <c r="J388"/>
      <c r="K388"/>
      <c r="L388"/>
      <c r="M388"/>
      <c r="N388"/>
      <c r="O388"/>
    </row>
    <row r="389" spans="1:15" hidden="1" x14ac:dyDescent="0.25">
      <c r="A389" t="s">
        <v>106</v>
      </c>
      <c r="B389" t="s">
        <v>115</v>
      </c>
      <c r="C389" t="b">
        <v>0</v>
      </c>
      <c r="D389" s="1">
        <v>37196</v>
      </c>
      <c r="E389">
        <v>2</v>
      </c>
      <c r="F389"/>
      <c r="G389"/>
      <c r="H389"/>
      <c r="I389"/>
      <c r="J389"/>
      <c r="K389"/>
      <c r="L389"/>
      <c r="M389"/>
      <c r="N389"/>
      <c r="O389"/>
    </row>
    <row r="390" spans="1:15" hidden="1" x14ac:dyDescent="0.25">
      <c r="A390" t="s">
        <v>106</v>
      </c>
      <c r="B390" t="s">
        <v>115</v>
      </c>
      <c r="C390" t="b">
        <v>0</v>
      </c>
      <c r="D390" s="1">
        <v>37196</v>
      </c>
      <c r="E390">
        <v>2</v>
      </c>
      <c r="F390"/>
      <c r="G390"/>
      <c r="H390"/>
      <c r="I390"/>
      <c r="J390"/>
      <c r="K390"/>
      <c r="L390"/>
      <c r="M390"/>
      <c r="N390"/>
      <c r="O390"/>
    </row>
    <row r="391" spans="1:15" hidden="1" x14ac:dyDescent="0.25">
      <c r="A391" t="s">
        <v>106</v>
      </c>
      <c r="B391" t="s">
        <v>115</v>
      </c>
      <c r="C391" t="b">
        <v>0</v>
      </c>
      <c r="D391" s="1">
        <v>37196</v>
      </c>
      <c r="E391">
        <v>2</v>
      </c>
      <c r="F391"/>
      <c r="G391"/>
      <c r="H391"/>
      <c r="I391"/>
      <c r="J391"/>
      <c r="K391"/>
      <c r="L391"/>
      <c r="M391"/>
      <c r="N391"/>
      <c r="O391"/>
    </row>
    <row r="392" spans="1:15" hidden="1" x14ac:dyDescent="0.25">
      <c r="A392" t="s">
        <v>106</v>
      </c>
      <c r="B392" t="s">
        <v>115</v>
      </c>
      <c r="C392" t="b">
        <v>0</v>
      </c>
      <c r="D392" s="1">
        <v>37196</v>
      </c>
      <c r="E392">
        <v>2</v>
      </c>
      <c r="F392"/>
      <c r="G392"/>
      <c r="H392"/>
      <c r="I392"/>
      <c r="J392"/>
      <c r="K392"/>
      <c r="L392"/>
      <c r="M392"/>
      <c r="N392"/>
      <c r="O392"/>
    </row>
    <row r="393" spans="1:15" hidden="1" x14ac:dyDescent="0.25">
      <c r="A393" t="s">
        <v>106</v>
      </c>
      <c r="B393" t="s">
        <v>115</v>
      </c>
      <c r="C393" t="b">
        <v>0</v>
      </c>
      <c r="D393" s="1">
        <v>37196</v>
      </c>
      <c r="E393">
        <v>2</v>
      </c>
      <c r="F393"/>
      <c r="G393"/>
      <c r="H393"/>
      <c r="I393"/>
      <c r="J393"/>
      <c r="K393"/>
      <c r="L393"/>
      <c r="M393"/>
      <c r="N393"/>
      <c r="O393"/>
    </row>
    <row r="394" spans="1:15" hidden="1" x14ac:dyDescent="0.25">
      <c r="A394" t="s">
        <v>106</v>
      </c>
      <c r="B394" t="s">
        <v>115</v>
      </c>
      <c r="C394" t="b">
        <v>0</v>
      </c>
      <c r="D394" s="1">
        <v>37196</v>
      </c>
      <c r="E394">
        <v>2</v>
      </c>
      <c r="F394"/>
      <c r="G394"/>
      <c r="H394"/>
      <c r="I394"/>
      <c r="J394"/>
      <c r="K394"/>
      <c r="L394"/>
      <c r="M394"/>
      <c r="N394"/>
      <c r="O394"/>
    </row>
    <row r="395" spans="1:15" hidden="1" x14ac:dyDescent="0.25">
      <c r="A395" t="s">
        <v>106</v>
      </c>
      <c r="B395" t="s">
        <v>115</v>
      </c>
      <c r="C395" t="b">
        <v>0</v>
      </c>
      <c r="D395" s="1">
        <v>37196</v>
      </c>
      <c r="E395">
        <v>2</v>
      </c>
      <c r="F395"/>
      <c r="G395"/>
      <c r="H395"/>
      <c r="I395"/>
      <c r="J395"/>
      <c r="K395"/>
      <c r="L395"/>
      <c r="M395"/>
      <c r="N395"/>
      <c r="O395"/>
    </row>
    <row r="396" spans="1:15" hidden="1" x14ac:dyDescent="0.25">
      <c r="A396" t="s">
        <v>106</v>
      </c>
      <c r="B396" t="s">
        <v>115</v>
      </c>
      <c r="C396" t="b">
        <v>0</v>
      </c>
      <c r="D396" s="1">
        <v>37196</v>
      </c>
      <c r="E396">
        <v>2</v>
      </c>
      <c r="F396"/>
      <c r="G396"/>
      <c r="H396"/>
      <c r="I396"/>
      <c r="J396"/>
      <c r="K396"/>
      <c r="L396"/>
      <c r="M396"/>
      <c r="N396"/>
      <c r="O396"/>
    </row>
    <row r="397" spans="1:15" hidden="1" x14ac:dyDescent="0.25">
      <c r="A397" t="s">
        <v>106</v>
      </c>
      <c r="B397" t="s">
        <v>115</v>
      </c>
      <c r="C397" t="b">
        <v>0</v>
      </c>
      <c r="D397" s="1">
        <v>37196</v>
      </c>
      <c r="E397">
        <v>2</v>
      </c>
      <c r="F397"/>
      <c r="G397"/>
      <c r="H397"/>
      <c r="I397"/>
      <c r="J397"/>
      <c r="K397"/>
      <c r="L397"/>
      <c r="M397"/>
      <c r="N397"/>
      <c r="O397"/>
    </row>
    <row r="398" spans="1:15" hidden="1" x14ac:dyDescent="0.25">
      <c r="A398" t="s">
        <v>106</v>
      </c>
      <c r="B398" t="s">
        <v>115</v>
      </c>
      <c r="C398" t="b">
        <v>0</v>
      </c>
      <c r="D398" s="1">
        <v>37196</v>
      </c>
      <c r="E398">
        <v>2</v>
      </c>
      <c r="F398"/>
      <c r="G398"/>
      <c r="H398"/>
      <c r="I398"/>
      <c r="J398"/>
      <c r="K398"/>
      <c r="L398"/>
      <c r="M398"/>
      <c r="N398"/>
      <c r="O398"/>
    </row>
    <row r="399" spans="1:15" hidden="1" x14ac:dyDescent="0.25">
      <c r="A399" t="s">
        <v>106</v>
      </c>
      <c r="B399" t="s">
        <v>115</v>
      </c>
      <c r="C399" t="b">
        <v>0</v>
      </c>
      <c r="D399" s="1">
        <v>37196</v>
      </c>
      <c r="E399">
        <v>2</v>
      </c>
      <c r="F399"/>
      <c r="G399"/>
      <c r="H399"/>
      <c r="I399"/>
      <c r="J399"/>
      <c r="K399"/>
      <c r="L399"/>
      <c r="M399"/>
      <c r="N399"/>
      <c r="O399"/>
    </row>
    <row r="400" spans="1:15" hidden="1" x14ac:dyDescent="0.25">
      <c r="A400" t="s">
        <v>106</v>
      </c>
      <c r="B400" t="s">
        <v>115</v>
      </c>
      <c r="C400" t="b">
        <v>0</v>
      </c>
      <c r="D400" s="1">
        <v>37196</v>
      </c>
      <c r="E400">
        <v>2</v>
      </c>
      <c r="F400"/>
      <c r="G400"/>
      <c r="H400"/>
      <c r="I400"/>
      <c r="J400"/>
      <c r="K400"/>
      <c r="L400"/>
      <c r="M400"/>
      <c r="N400"/>
      <c r="O400"/>
    </row>
    <row r="401" spans="1:15" hidden="1" x14ac:dyDescent="0.25">
      <c r="A401" t="s">
        <v>106</v>
      </c>
      <c r="B401" t="s">
        <v>115</v>
      </c>
      <c r="C401" t="b">
        <v>0</v>
      </c>
      <c r="D401" s="1">
        <v>37196</v>
      </c>
      <c r="E401">
        <v>2</v>
      </c>
      <c r="F401"/>
      <c r="G401"/>
      <c r="H401"/>
      <c r="I401"/>
      <c r="J401"/>
      <c r="K401"/>
      <c r="L401"/>
      <c r="M401"/>
      <c r="N401"/>
      <c r="O401"/>
    </row>
    <row r="402" spans="1:15" hidden="1" x14ac:dyDescent="0.25">
      <c r="A402" t="s">
        <v>106</v>
      </c>
      <c r="B402" t="s">
        <v>115</v>
      </c>
      <c r="C402" t="b">
        <v>0</v>
      </c>
      <c r="D402" s="1">
        <v>37196</v>
      </c>
      <c r="E402">
        <v>2</v>
      </c>
      <c r="F402"/>
      <c r="G402"/>
      <c r="H402"/>
      <c r="I402"/>
      <c r="J402"/>
      <c r="K402"/>
      <c r="L402"/>
      <c r="M402"/>
      <c r="N402"/>
      <c r="O402"/>
    </row>
    <row r="403" spans="1:15" hidden="1" x14ac:dyDescent="0.25">
      <c r="A403" t="s">
        <v>106</v>
      </c>
      <c r="B403" t="s">
        <v>115</v>
      </c>
      <c r="C403" t="b">
        <v>0</v>
      </c>
      <c r="D403" s="1">
        <v>37196</v>
      </c>
      <c r="E403">
        <v>2</v>
      </c>
      <c r="F403"/>
      <c r="G403"/>
      <c r="H403"/>
      <c r="I403"/>
      <c r="J403"/>
      <c r="K403"/>
      <c r="L403"/>
      <c r="M403"/>
      <c r="N403"/>
      <c r="O403"/>
    </row>
    <row r="404" spans="1:15" hidden="1" x14ac:dyDescent="0.25">
      <c r="A404" t="s">
        <v>106</v>
      </c>
      <c r="B404" t="s">
        <v>115</v>
      </c>
      <c r="C404" t="b">
        <v>0</v>
      </c>
      <c r="D404" s="1">
        <v>37196</v>
      </c>
      <c r="E404">
        <v>2</v>
      </c>
      <c r="F404"/>
      <c r="G404"/>
      <c r="H404"/>
      <c r="I404"/>
      <c r="J404"/>
      <c r="K404"/>
      <c r="L404"/>
      <c r="M404"/>
      <c r="N404"/>
      <c r="O404"/>
    </row>
    <row r="405" spans="1:15" hidden="1" x14ac:dyDescent="0.25">
      <c r="A405" t="s">
        <v>106</v>
      </c>
      <c r="B405" t="s">
        <v>115</v>
      </c>
      <c r="C405" t="b">
        <v>0</v>
      </c>
      <c r="D405" s="1">
        <v>37196</v>
      </c>
      <c r="E405">
        <v>2</v>
      </c>
      <c r="F405"/>
      <c r="G405"/>
      <c r="H405"/>
      <c r="I405"/>
      <c r="J405"/>
      <c r="K405"/>
      <c r="L405"/>
      <c r="M405"/>
      <c r="N405"/>
      <c r="O405"/>
    </row>
    <row r="406" spans="1:15" hidden="1" x14ac:dyDescent="0.25">
      <c r="A406" t="s">
        <v>106</v>
      </c>
      <c r="B406" t="s">
        <v>115</v>
      </c>
      <c r="C406" t="b">
        <v>0</v>
      </c>
      <c r="D406" s="1">
        <v>37196</v>
      </c>
      <c r="E406">
        <v>2</v>
      </c>
      <c r="F406"/>
      <c r="G406"/>
      <c r="H406"/>
      <c r="I406"/>
      <c r="J406"/>
      <c r="K406"/>
      <c r="L406"/>
      <c r="M406"/>
      <c r="N406"/>
      <c r="O406"/>
    </row>
    <row r="407" spans="1:15" hidden="1" x14ac:dyDescent="0.25">
      <c r="A407" t="s">
        <v>106</v>
      </c>
      <c r="B407" t="s">
        <v>115</v>
      </c>
      <c r="C407" t="b">
        <v>0</v>
      </c>
      <c r="D407" s="1">
        <v>37196</v>
      </c>
      <c r="E407">
        <v>2</v>
      </c>
      <c r="F407"/>
      <c r="G407"/>
      <c r="H407"/>
      <c r="I407"/>
      <c r="J407"/>
      <c r="K407"/>
      <c r="L407"/>
      <c r="M407"/>
      <c r="N407"/>
      <c r="O407"/>
    </row>
    <row r="408" spans="1:15" hidden="1" x14ac:dyDescent="0.25">
      <c r="A408" t="s">
        <v>106</v>
      </c>
      <c r="B408" t="s">
        <v>115</v>
      </c>
      <c r="C408" t="b">
        <v>0</v>
      </c>
      <c r="D408" s="1">
        <v>37196</v>
      </c>
      <c r="E408">
        <v>2</v>
      </c>
      <c r="F408"/>
      <c r="G408"/>
      <c r="H408"/>
      <c r="I408"/>
      <c r="J408"/>
      <c r="K408"/>
      <c r="L408"/>
      <c r="M408"/>
      <c r="N408"/>
      <c r="O408"/>
    </row>
    <row r="409" spans="1:15" hidden="1" x14ac:dyDescent="0.25">
      <c r="A409" t="s">
        <v>106</v>
      </c>
      <c r="B409" t="s">
        <v>115</v>
      </c>
      <c r="C409" t="b">
        <v>0</v>
      </c>
      <c r="D409" s="1">
        <v>37196</v>
      </c>
      <c r="E409">
        <v>2</v>
      </c>
      <c r="F409"/>
      <c r="G409"/>
      <c r="H409"/>
      <c r="I409"/>
      <c r="J409"/>
      <c r="K409"/>
      <c r="L409"/>
      <c r="M409"/>
      <c r="N409"/>
      <c r="O409"/>
    </row>
    <row r="410" spans="1:15" hidden="1" x14ac:dyDescent="0.25">
      <c r="A410" t="s">
        <v>106</v>
      </c>
      <c r="B410" t="s">
        <v>115</v>
      </c>
      <c r="C410" t="b">
        <v>0</v>
      </c>
      <c r="D410" s="1">
        <v>37196</v>
      </c>
      <c r="E410">
        <v>2</v>
      </c>
      <c r="F410"/>
      <c r="G410"/>
      <c r="H410"/>
      <c r="I410"/>
      <c r="J410"/>
      <c r="K410"/>
      <c r="L410"/>
      <c r="M410"/>
      <c r="N410"/>
      <c r="O410"/>
    </row>
    <row r="411" spans="1:15" hidden="1" x14ac:dyDescent="0.25">
      <c r="A411" t="s">
        <v>43</v>
      </c>
      <c r="B411" t="s">
        <v>115</v>
      </c>
      <c r="C411" t="b">
        <v>0</v>
      </c>
      <c r="D411" s="1">
        <v>37196</v>
      </c>
      <c r="E411">
        <v>2</v>
      </c>
      <c r="F411"/>
      <c r="G411"/>
      <c r="H411"/>
      <c r="I411"/>
      <c r="J411"/>
      <c r="K411"/>
      <c r="L411"/>
      <c r="M411"/>
      <c r="N411"/>
      <c r="O411"/>
    </row>
    <row r="412" spans="1:15" hidden="1" x14ac:dyDescent="0.25">
      <c r="A412" t="s">
        <v>30</v>
      </c>
      <c r="B412" t="s">
        <v>115</v>
      </c>
      <c r="C412" t="b">
        <v>0</v>
      </c>
      <c r="D412" s="1">
        <v>37196</v>
      </c>
      <c r="E412">
        <v>2</v>
      </c>
      <c r="F412"/>
      <c r="G412"/>
      <c r="H412"/>
      <c r="I412"/>
      <c r="J412"/>
      <c r="K412"/>
      <c r="L412"/>
      <c r="M412"/>
      <c r="N412"/>
      <c r="O412"/>
    </row>
    <row r="413" spans="1:15" hidden="1" x14ac:dyDescent="0.25">
      <c r="A413" t="s">
        <v>39</v>
      </c>
      <c r="B413" t="s">
        <v>115</v>
      </c>
      <c r="C413" t="b">
        <v>0</v>
      </c>
      <c r="D413" s="1">
        <v>37196</v>
      </c>
      <c r="E413">
        <v>2</v>
      </c>
      <c r="F413"/>
      <c r="G413"/>
      <c r="H413"/>
      <c r="I413"/>
      <c r="J413"/>
      <c r="K413"/>
      <c r="L413"/>
      <c r="M413"/>
      <c r="N413"/>
      <c r="O413"/>
    </row>
    <row r="414" spans="1:15" hidden="1" x14ac:dyDescent="0.25">
      <c r="A414" t="s">
        <v>57</v>
      </c>
      <c r="B414" t="s">
        <v>115</v>
      </c>
      <c r="C414" t="b">
        <v>0</v>
      </c>
      <c r="D414" s="1">
        <v>37196</v>
      </c>
      <c r="E414">
        <v>2</v>
      </c>
      <c r="F414"/>
      <c r="G414"/>
      <c r="H414"/>
      <c r="I414"/>
      <c r="J414"/>
      <c r="K414"/>
      <c r="L414"/>
      <c r="M414"/>
      <c r="N414"/>
      <c r="O414"/>
    </row>
    <row r="415" spans="1:15" hidden="1" x14ac:dyDescent="0.25">
      <c r="A415" t="s">
        <v>99</v>
      </c>
      <c r="B415" t="s">
        <v>114</v>
      </c>
      <c r="C415" t="b">
        <v>0</v>
      </c>
      <c r="D415" s="1">
        <v>37196</v>
      </c>
      <c r="E415">
        <v>3</v>
      </c>
      <c r="F415"/>
      <c r="G415"/>
      <c r="H415"/>
      <c r="I415"/>
      <c r="J415"/>
      <c r="K415"/>
      <c r="L415"/>
      <c r="M415"/>
      <c r="N415"/>
      <c r="O415"/>
    </row>
    <row r="416" spans="1:15" hidden="1" x14ac:dyDescent="0.25">
      <c r="A416" t="s">
        <v>108</v>
      </c>
      <c r="B416" t="s">
        <v>115</v>
      </c>
      <c r="C416" t="b">
        <v>0</v>
      </c>
      <c r="D416" s="1">
        <v>37226</v>
      </c>
      <c r="E416">
        <v>2</v>
      </c>
      <c r="F416"/>
      <c r="G416"/>
      <c r="H416"/>
      <c r="I416"/>
      <c r="J416"/>
      <c r="K416"/>
      <c r="L416"/>
      <c r="M416"/>
      <c r="N416"/>
      <c r="O416"/>
    </row>
    <row r="417" spans="1:15" hidden="1" x14ac:dyDescent="0.25">
      <c r="A417" t="s">
        <v>13</v>
      </c>
      <c r="B417" t="s">
        <v>115</v>
      </c>
      <c r="C417" t="b">
        <v>0</v>
      </c>
      <c r="D417" s="1">
        <v>37226</v>
      </c>
      <c r="E417">
        <v>2</v>
      </c>
      <c r="F417"/>
      <c r="G417"/>
      <c r="H417"/>
      <c r="I417"/>
      <c r="J417"/>
      <c r="K417"/>
      <c r="L417"/>
      <c r="M417"/>
      <c r="N417"/>
      <c r="O417"/>
    </row>
    <row r="418" spans="1:15" hidden="1" x14ac:dyDescent="0.25">
      <c r="A418" t="s">
        <v>12</v>
      </c>
      <c r="B418" t="s">
        <v>115</v>
      </c>
      <c r="C418" t="b">
        <v>0</v>
      </c>
      <c r="D418" s="1">
        <v>37226</v>
      </c>
      <c r="E418">
        <v>2</v>
      </c>
      <c r="F418"/>
      <c r="G418"/>
      <c r="H418"/>
      <c r="I418"/>
      <c r="J418"/>
      <c r="K418"/>
      <c r="L418"/>
      <c r="M418"/>
      <c r="N418"/>
      <c r="O418"/>
    </row>
    <row r="419" spans="1:15" hidden="1" x14ac:dyDescent="0.25">
      <c r="A419" t="s">
        <v>14</v>
      </c>
      <c r="B419" t="s">
        <v>115</v>
      </c>
      <c r="C419" t="b">
        <v>0</v>
      </c>
      <c r="D419" s="1">
        <v>37226</v>
      </c>
      <c r="E419">
        <v>2</v>
      </c>
      <c r="F419"/>
      <c r="G419"/>
      <c r="H419"/>
      <c r="I419"/>
      <c r="J419"/>
      <c r="K419"/>
      <c r="L419"/>
      <c r="M419"/>
      <c r="N419"/>
      <c r="O419"/>
    </row>
    <row r="420" spans="1:15" hidden="1" x14ac:dyDescent="0.25">
      <c r="A420" t="s">
        <v>15</v>
      </c>
      <c r="B420" t="s">
        <v>115</v>
      </c>
      <c r="C420" t="b">
        <v>0</v>
      </c>
      <c r="D420" s="1">
        <v>37226</v>
      </c>
      <c r="E420">
        <v>2</v>
      </c>
      <c r="F420"/>
      <c r="G420"/>
      <c r="H420"/>
      <c r="I420"/>
      <c r="J420"/>
      <c r="K420"/>
      <c r="L420"/>
      <c r="M420"/>
      <c r="N420"/>
      <c r="O420"/>
    </row>
    <row r="421" spans="1:15" hidden="1" x14ac:dyDescent="0.25">
      <c r="A421" t="s">
        <v>106</v>
      </c>
      <c r="B421" t="s">
        <v>115</v>
      </c>
      <c r="C421" t="b">
        <v>0</v>
      </c>
      <c r="D421" s="1">
        <v>37226</v>
      </c>
      <c r="E421">
        <v>2</v>
      </c>
      <c r="F421"/>
      <c r="G421"/>
      <c r="H421"/>
      <c r="I421"/>
      <c r="J421"/>
      <c r="K421"/>
      <c r="L421"/>
      <c r="M421"/>
      <c r="N421"/>
      <c r="O421"/>
    </row>
    <row r="422" spans="1:15" hidden="1" x14ac:dyDescent="0.25">
      <c r="A422" t="s">
        <v>106</v>
      </c>
      <c r="B422" t="s">
        <v>115</v>
      </c>
      <c r="C422" t="b">
        <v>0</v>
      </c>
      <c r="D422" s="1">
        <v>37226</v>
      </c>
      <c r="E422">
        <v>2</v>
      </c>
      <c r="F422"/>
      <c r="G422"/>
      <c r="H422"/>
      <c r="I422"/>
      <c r="J422"/>
      <c r="K422"/>
      <c r="L422"/>
      <c r="M422"/>
      <c r="N422"/>
      <c r="O422"/>
    </row>
    <row r="423" spans="1:15" hidden="1" x14ac:dyDescent="0.25">
      <c r="A423" t="s">
        <v>106</v>
      </c>
      <c r="B423" t="s">
        <v>115</v>
      </c>
      <c r="C423" t="b">
        <v>0</v>
      </c>
      <c r="D423" s="1">
        <v>37226</v>
      </c>
      <c r="E423">
        <v>2</v>
      </c>
      <c r="F423"/>
      <c r="G423"/>
      <c r="H423"/>
      <c r="I423"/>
      <c r="J423"/>
      <c r="K423"/>
      <c r="L423"/>
      <c r="M423"/>
      <c r="N423"/>
      <c r="O423"/>
    </row>
    <row r="424" spans="1:15" hidden="1" x14ac:dyDescent="0.25">
      <c r="A424" t="s">
        <v>106</v>
      </c>
      <c r="B424" t="s">
        <v>115</v>
      </c>
      <c r="C424" t="b">
        <v>0</v>
      </c>
      <c r="D424" s="1">
        <v>37226</v>
      </c>
      <c r="E424">
        <v>2</v>
      </c>
      <c r="F424"/>
      <c r="G424"/>
      <c r="H424"/>
      <c r="I424"/>
      <c r="J424"/>
      <c r="K424"/>
      <c r="L424"/>
      <c r="M424"/>
      <c r="N424"/>
      <c r="O424"/>
    </row>
    <row r="425" spans="1:15" hidden="1" x14ac:dyDescent="0.25">
      <c r="A425" t="s">
        <v>106</v>
      </c>
      <c r="B425" t="s">
        <v>115</v>
      </c>
      <c r="C425" t="b">
        <v>0</v>
      </c>
      <c r="D425" s="1">
        <v>37226</v>
      </c>
      <c r="E425">
        <v>2</v>
      </c>
      <c r="F425"/>
      <c r="G425"/>
      <c r="H425"/>
      <c r="I425"/>
      <c r="J425"/>
      <c r="K425"/>
      <c r="L425"/>
      <c r="M425"/>
      <c r="N425"/>
      <c r="O425"/>
    </row>
    <row r="426" spans="1:15" hidden="1" x14ac:dyDescent="0.25">
      <c r="A426" t="s">
        <v>106</v>
      </c>
      <c r="B426" t="s">
        <v>115</v>
      </c>
      <c r="C426" t="b">
        <v>0</v>
      </c>
      <c r="D426" s="1">
        <v>37226</v>
      </c>
      <c r="E426">
        <v>2</v>
      </c>
      <c r="F426"/>
      <c r="G426"/>
      <c r="H426"/>
      <c r="I426"/>
      <c r="J426"/>
      <c r="K426"/>
      <c r="L426"/>
      <c r="M426"/>
      <c r="N426"/>
      <c r="O426"/>
    </row>
    <row r="427" spans="1:15" hidden="1" x14ac:dyDescent="0.25">
      <c r="A427" t="s">
        <v>106</v>
      </c>
      <c r="B427" t="s">
        <v>115</v>
      </c>
      <c r="C427" t="b">
        <v>0</v>
      </c>
      <c r="D427" s="1">
        <v>37226</v>
      </c>
      <c r="E427">
        <v>2</v>
      </c>
      <c r="F427"/>
      <c r="G427"/>
      <c r="H427"/>
      <c r="I427"/>
      <c r="J427"/>
      <c r="K427"/>
      <c r="L427"/>
      <c r="M427"/>
      <c r="N427"/>
      <c r="O427"/>
    </row>
    <row r="428" spans="1:15" hidden="1" x14ac:dyDescent="0.25">
      <c r="A428" t="s">
        <v>106</v>
      </c>
      <c r="B428" t="s">
        <v>115</v>
      </c>
      <c r="C428" t="b">
        <v>0</v>
      </c>
      <c r="D428" s="1">
        <v>37226</v>
      </c>
      <c r="E428">
        <v>2</v>
      </c>
      <c r="F428"/>
      <c r="G428"/>
      <c r="H428"/>
      <c r="I428"/>
      <c r="J428"/>
      <c r="K428"/>
      <c r="L428"/>
      <c r="M428"/>
      <c r="N428"/>
      <c r="O428"/>
    </row>
    <row r="429" spans="1:15" hidden="1" x14ac:dyDescent="0.25">
      <c r="A429" t="s">
        <v>106</v>
      </c>
      <c r="B429" t="s">
        <v>115</v>
      </c>
      <c r="C429" t="b">
        <v>0</v>
      </c>
      <c r="D429" s="1">
        <v>37226</v>
      </c>
      <c r="E429">
        <v>2</v>
      </c>
      <c r="F429"/>
      <c r="G429"/>
      <c r="H429"/>
      <c r="I429"/>
      <c r="J429"/>
      <c r="K429"/>
      <c r="L429"/>
      <c r="M429"/>
      <c r="N429"/>
      <c r="O429"/>
    </row>
    <row r="430" spans="1:15" hidden="1" x14ac:dyDescent="0.25">
      <c r="A430" t="s">
        <v>106</v>
      </c>
      <c r="B430" t="s">
        <v>115</v>
      </c>
      <c r="C430" t="b">
        <v>0</v>
      </c>
      <c r="D430" s="1">
        <v>37226</v>
      </c>
      <c r="E430">
        <v>2</v>
      </c>
      <c r="F430"/>
      <c r="G430"/>
      <c r="H430"/>
      <c r="I430"/>
      <c r="J430"/>
      <c r="K430"/>
      <c r="L430"/>
      <c r="M430"/>
      <c r="N430"/>
      <c r="O430"/>
    </row>
    <row r="431" spans="1:15" hidden="1" x14ac:dyDescent="0.25">
      <c r="A431" t="s">
        <v>106</v>
      </c>
      <c r="B431" t="s">
        <v>115</v>
      </c>
      <c r="C431" t="b">
        <v>0</v>
      </c>
      <c r="D431" s="1">
        <v>37226</v>
      </c>
      <c r="E431">
        <v>2</v>
      </c>
      <c r="F431"/>
      <c r="G431"/>
      <c r="H431"/>
      <c r="I431"/>
      <c r="J431"/>
      <c r="K431"/>
      <c r="L431"/>
      <c r="M431"/>
      <c r="N431"/>
      <c r="O431"/>
    </row>
    <row r="432" spans="1:15" hidden="1" x14ac:dyDescent="0.25">
      <c r="A432" t="s">
        <v>106</v>
      </c>
      <c r="B432" t="s">
        <v>115</v>
      </c>
      <c r="C432" t="b">
        <v>0</v>
      </c>
      <c r="D432" s="1">
        <v>37226</v>
      </c>
      <c r="E432">
        <v>2</v>
      </c>
      <c r="F432"/>
      <c r="G432"/>
      <c r="H432"/>
      <c r="I432"/>
      <c r="J432"/>
      <c r="K432"/>
      <c r="L432"/>
      <c r="M432"/>
      <c r="N432"/>
      <c r="O432"/>
    </row>
    <row r="433" spans="1:15" hidden="1" x14ac:dyDescent="0.25">
      <c r="A433" t="s">
        <v>106</v>
      </c>
      <c r="B433" t="s">
        <v>115</v>
      </c>
      <c r="C433" t="b">
        <v>0</v>
      </c>
      <c r="D433" s="1">
        <v>37226</v>
      </c>
      <c r="E433">
        <v>2</v>
      </c>
      <c r="F433"/>
      <c r="G433"/>
      <c r="H433"/>
      <c r="I433"/>
      <c r="J433"/>
      <c r="K433"/>
      <c r="L433"/>
      <c r="M433"/>
      <c r="N433"/>
      <c r="O433"/>
    </row>
    <row r="434" spans="1:15" hidden="1" x14ac:dyDescent="0.25">
      <c r="A434" t="s">
        <v>106</v>
      </c>
      <c r="B434" t="s">
        <v>115</v>
      </c>
      <c r="C434" t="b">
        <v>0</v>
      </c>
      <c r="D434" s="1">
        <v>37226</v>
      </c>
      <c r="E434">
        <v>2</v>
      </c>
      <c r="F434"/>
      <c r="G434"/>
      <c r="H434"/>
      <c r="I434"/>
      <c r="J434"/>
      <c r="K434"/>
      <c r="L434"/>
      <c r="M434"/>
      <c r="N434"/>
      <c r="O434"/>
    </row>
    <row r="435" spans="1:15" hidden="1" x14ac:dyDescent="0.25">
      <c r="A435" t="s">
        <v>106</v>
      </c>
      <c r="B435" t="s">
        <v>115</v>
      </c>
      <c r="C435" t="b">
        <v>0</v>
      </c>
      <c r="D435" s="1">
        <v>37226</v>
      </c>
      <c r="E435">
        <v>2</v>
      </c>
      <c r="F435"/>
      <c r="G435"/>
      <c r="H435"/>
      <c r="I435"/>
      <c r="J435"/>
      <c r="K435"/>
      <c r="L435"/>
      <c r="M435"/>
      <c r="N435"/>
      <c r="O435"/>
    </row>
    <row r="436" spans="1:15" hidden="1" x14ac:dyDescent="0.25">
      <c r="A436" t="s">
        <v>106</v>
      </c>
      <c r="B436" t="s">
        <v>115</v>
      </c>
      <c r="C436" t="b">
        <v>0</v>
      </c>
      <c r="D436" s="1">
        <v>37226</v>
      </c>
      <c r="E436">
        <v>2</v>
      </c>
      <c r="F436"/>
      <c r="G436"/>
      <c r="H436"/>
      <c r="I436"/>
      <c r="J436"/>
      <c r="K436"/>
      <c r="L436"/>
      <c r="M436"/>
      <c r="N436"/>
      <c r="O436"/>
    </row>
    <row r="437" spans="1:15" hidden="1" x14ac:dyDescent="0.25">
      <c r="A437" t="s">
        <v>106</v>
      </c>
      <c r="B437" t="s">
        <v>115</v>
      </c>
      <c r="C437" t="b">
        <v>0</v>
      </c>
      <c r="D437" s="1">
        <v>37226</v>
      </c>
      <c r="E437">
        <v>2</v>
      </c>
      <c r="F437"/>
      <c r="G437"/>
      <c r="H437"/>
      <c r="I437"/>
      <c r="J437"/>
      <c r="K437"/>
      <c r="L437"/>
      <c r="M437"/>
      <c r="N437"/>
      <c r="O437"/>
    </row>
    <row r="438" spans="1:15" hidden="1" x14ac:dyDescent="0.25">
      <c r="A438" t="s">
        <v>106</v>
      </c>
      <c r="B438" t="s">
        <v>115</v>
      </c>
      <c r="C438" t="b">
        <v>0</v>
      </c>
      <c r="D438" s="1">
        <v>37226</v>
      </c>
      <c r="E438">
        <v>2</v>
      </c>
      <c r="F438"/>
      <c r="G438"/>
      <c r="H438"/>
      <c r="I438"/>
      <c r="J438"/>
      <c r="K438"/>
      <c r="L438"/>
      <c r="M438"/>
      <c r="N438"/>
      <c r="O438"/>
    </row>
    <row r="439" spans="1:15" hidden="1" x14ac:dyDescent="0.25">
      <c r="A439" t="s">
        <v>106</v>
      </c>
      <c r="B439" t="s">
        <v>115</v>
      </c>
      <c r="C439" t="b">
        <v>0</v>
      </c>
      <c r="D439" s="1">
        <v>37226</v>
      </c>
      <c r="E439">
        <v>2</v>
      </c>
      <c r="F439"/>
      <c r="G439"/>
      <c r="H439"/>
      <c r="I439"/>
      <c r="J439"/>
      <c r="K439"/>
      <c r="L439"/>
      <c r="M439"/>
      <c r="N439"/>
      <c r="O439"/>
    </row>
    <row r="440" spans="1:15" hidden="1" x14ac:dyDescent="0.25">
      <c r="A440" t="s">
        <v>106</v>
      </c>
      <c r="B440" t="s">
        <v>115</v>
      </c>
      <c r="C440" t="b">
        <v>0</v>
      </c>
      <c r="D440" s="1">
        <v>37226</v>
      </c>
      <c r="E440">
        <v>2</v>
      </c>
      <c r="F440"/>
      <c r="G440"/>
      <c r="H440"/>
      <c r="I440"/>
      <c r="J440"/>
      <c r="K440"/>
      <c r="L440"/>
      <c r="M440"/>
      <c r="N440"/>
      <c r="O440"/>
    </row>
    <row r="441" spans="1:15" hidden="1" x14ac:dyDescent="0.25">
      <c r="A441" t="s">
        <v>106</v>
      </c>
      <c r="B441" t="s">
        <v>115</v>
      </c>
      <c r="C441" t="b">
        <v>0</v>
      </c>
      <c r="D441" s="1">
        <v>37226</v>
      </c>
      <c r="E441">
        <v>2</v>
      </c>
      <c r="F441"/>
      <c r="G441"/>
      <c r="H441"/>
      <c r="I441"/>
      <c r="J441"/>
      <c r="K441"/>
      <c r="L441"/>
      <c r="M441"/>
      <c r="N441"/>
      <c r="O441"/>
    </row>
    <row r="442" spans="1:15" hidden="1" x14ac:dyDescent="0.25">
      <c r="A442" t="s">
        <v>106</v>
      </c>
      <c r="B442" t="s">
        <v>115</v>
      </c>
      <c r="C442" t="b">
        <v>0</v>
      </c>
      <c r="D442" s="1">
        <v>37226</v>
      </c>
      <c r="E442">
        <v>2</v>
      </c>
      <c r="F442"/>
      <c r="G442"/>
      <c r="H442"/>
      <c r="I442"/>
      <c r="J442"/>
      <c r="K442"/>
      <c r="L442"/>
      <c r="M442"/>
      <c r="N442"/>
      <c r="O442"/>
    </row>
    <row r="443" spans="1:15" hidden="1" x14ac:dyDescent="0.25">
      <c r="A443" t="s">
        <v>106</v>
      </c>
      <c r="B443" t="s">
        <v>115</v>
      </c>
      <c r="C443" t="b">
        <v>0</v>
      </c>
      <c r="D443" s="1">
        <v>37226</v>
      </c>
      <c r="E443">
        <v>2</v>
      </c>
      <c r="F443"/>
      <c r="G443"/>
      <c r="H443"/>
      <c r="I443"/>
      <c r="J443"/>
      <c r="K443"/>
      <c r="L443"/>
      <c r="M443"/>
      <c r="N443"/>
      <c r="O443"/>
    </row>
    <row r="444" spans="1:15" hidden="1" x14ac:dyDescent="0.25">
      <c r="A444" t="s">
        <v>106</v>
      </c>
      <c r="B444" t="s">
        <v>115</v>
      </c>
      <c r="C444" t="b">
        <v>0</v>
      </c>
      <c r="D444" s="1">
        <v>37226</v>
      </c>
      <c r="E444">
        <v>2</v>
      </c>
      <c r="F444"/>
      <c r="G444"/>
      <c r="H444"/>
      <c r="I444"/>
      <c r="J444"/>
      <c r="K444"/>
      <c r="L444"/>
      <c r="M444"/>
      <c r="N444"/>
      <c r="O444"/>
    </row>
    <row r="445" spans="1:15" hidden="1" x14ac:dyDescent="0.25">
      <c r="A445" t="s">
        <v>106</v>
      </c>
      <c r="B445" t="s">
        <v>115</v>
      </c>
      <c r="C445" t="b">
        <v>0</v>
      </c>
      <c r="D445" s="1">
        <v>37226</v>
      </c>
      <c r="E445">
        <v>2</v>
      </c>
      <c r="F445"/>
      <c r="G445"/>
      <c r="H445"/>
      <c r="I445"/>
      <c r="J445"/>
      <c r="K445"/>
      <c r="L445"/>
      <c r="M445"/>
      <c r="N445"/>
      <c r="O445"/>
    </row>
    <row r="446" spans="1:15" hidden="1" x14ac:dyDescent="0.25">
      <c r="A446" t="s">
        <v>106</v>
      </c>
      <c r="B446" t="s">
        <v>115</v>
      </c>
      <c r="C446" t="b">
        <v>0</v>
      </c>
      <c r="D446" s="1">
        <v>37226</v>
      </c>
      <c r="E446">
        <v>2</v>
      </c>
      <c r="F446"/>
      <c r="G446"/>
      <c r="H446"/>
      <c r="I446"/>
      <c r="J446"/>
      <c r="K446"/>
      <c r="L446"/>
      <c r="M446"/>
      <c r="N446"/>
      <c r="O446"/>
    </row>
    <row r="447" spans="1:15" hidden="1" x14ac:dyDescent="0.25">
      <c r="A447" t="s">
        <v>106</v>
      </c>
      <c r="B447" t="s">
        <v>115</v>
      </c>
      <c r="C447" t="b">
        <v>0</v>
      </c>
      <c r="D447" s="1">
        <v>37226</v>
      </c>
      <c r="E447">
        <v>2</v>
      </c>
      <c r="F447"/>
      <c r="G447"/>
      <c r="H447"/>
      <c r="I447"/>
      <c r="J447"/>
      <c r="K447"/>
      <c r="L447"/>
      <c r="M447"/>
      <c r="N447"/>
      <c r="O447"/>
    </row>
    <row r="448" spans="1:15" hidden="1" x14ac:dyDescent="0.25">
      <c r="A448" t="s">
        <v>106</v>
      </c>
      <c r="B448" t="s">
        <v>115</v>
      </c>
      <c r="C448" t="b">
        <v>0</v>
      </c>
      <c r="D448" s="1">
        <v>37226</v>
      </c>
      <c r="E448">
        <v>2</v>
      </c>
      <c r="F448"/>
      <c r="G448"/>
      <c r="H448"/>
      <c r="I448"/>
      <c r="J448"/>
      <c r="K448"/>
      <c r="L448"/>
      <c r="M448"/>
      <c r="N448"/>
      <c r="O448"/>
    </row>
    <row r="449" spans="1:15" hidden="1" x14ac:dyDescent="0.25">
      <c r="A449" t="s">
        <v>43</v>
      </c>
      <c r="B449" t="s">
        <v>115</v>
      </c>
      <c r="C449" t="b">
        <v>0</v>
      </c>
      <c r="D449" s="1">
        <v>37226</v>
      </c>
      <c r="E449">
        <v>2</v>
      </c>
      <c r="F449"/>
      <c r="G449"/>
      <c r="H449"/>
      <c r="I449"/>
      <c r="J449"/>
      <c r="K449"/>
      <c r="L449"/>
      <c r="M449"/>
      <c r="N449"/>
      <c r="O449"/>
    </row>
    <row r="450" spans="1:15" hidden="1" x14ac:dyDescent="0.25">
      <c r="A450" t="s">
        <v>30</v>
      </c>
      <c r="B450" t="s">
        <v>115</v>
      </c>
      <c r="C450" t="b">
        <v>0</v>
      </c>
      <c r="D450" s="1">
        <v>37226</v>
      </c>
      <c r="E450">
        <v>2</v>
      </c>
      <c r="F450"/>
      <c r="G450"/>
      <c r="H450"/>
      <c r="I450"/>
      <c r="J450"/>
      <c r="K450"/>
      <c r="L450"/>
      <c r="M450"/>
      <c r="N450"/>
      <c r="O450"/>
    </row>
    <row r="451" spans="1:15" hidden="1" x14ac:dyDescent="0.25">
      <c r="A451" t="s">
        <v>39</v>
      </c>
      <c r="B451" t="s">
        <v>115</v>
      </c>
      <c r="C451" t="b">
        <v>0</v>
      </c>
      <c r="D451" s="1">
        <v>37226</v>
      </c>
      <c r="E451">
        <v>2</v>
      </c>
      <c r="F451"/>
      <c r="G451"/>
      <c r="H451"/>
      <c r="I451"/>
      <c r="J451"/>
      <c r="K451"/>
      <c r="L451"/>
      <c r="M451"/>
      <c r="N451"/>
      <c r="O451"/>
    </row>
    <row r="452" spans="1:15" hidden="1" x14ac:dyDescent="0.25">
      <c r="A452" t="s">
        <v>57</v>
      </c>
      <c r="B452" t="s">
        <v>115</v>
      </c>
      <c r="C452" t="b">
        <v>0</v>
      </c>
      <c r="D452" s="1">
        <v>37226</v>
      </c>
      <c r="E452">
        <v>2</v>
      </c>
      <c r="F452"/>
      <c r="G452"/>
      <c r="H452"/>
      <c r="I452"/>
      <c r="J452"/>
      <c r="K452"/>
      <c r="L452"/>
      <c r="M452"/>
      <c r="N452"/>
      <c r="O452"/>
    </row>
    <row r="453" spans="1:15" hidden="1" x14ac:dyDescent="0.25">
      <c r="A453" t="s">
        <v>100</v>
      </c>
      <c r="B453" t="s">
        <v>117</v>
      </c>
      <c r="C453" t="b">
        <v>0</v>
      </c>
      <c r="D453" s="1">
        <v>37257</v>
      </c>
      <c r="E453" s="2">
        <v>-94.4</v>
      </c>
      <c r="F453"/>
      <c r="G453"/>
      <c r="H453"/>
      <c r="I453"/>
      <c r="J453"/>
      <c r="K453"/>
      <c r="L453"/>
      <c r="M453"/>
      <c r="N453"/>
      <c r="O453"/>
    </row>
    <row r="454" spans="1:15" hidden="1" x14ac:dyDescent="0.25">
      <c r="A454" t="s">
        <v>102</v>
      </c>
      <c r="B454" t="s">
        <v>117</v>
      </c>
      <c r="C454" t="b">
        <v>0</v>
      </c>
      <c r="D454" s="1">
        <v>37257</v>
      </c>
      <c r="E454" s="2">
        <v>-4.88</v>
      </c>
      <c r="F454"/>
      <c r="G454"/>
      <c r="H454"/>
      <c r="I454"/>
      <c r="J454"/>
      <c r="K454"/>
      <c r="L454"/>
      <c r="M454"/>
      <c r="N454"/>
      <c r="O454"/>
    </row>
    <row r="455" spans="1:15" hidden="1" x14ac:dyDescent="0.25">
      <c r="A455" t="s">
        <v>108</v>
      </c>
      <c r="B455" t="s">
        <v>115</v>
      </c>
      <c r="C455" t="b">
        <v>0</v>
      </c>
      <c r="D455" s="1">
        <v>37257</v>
      </c>
      <c r="E455">
        <v>2</v>
      </c>
      <c r="F455"/>
      <c r="G455"/>
      <c r="H455"/>
      <c r="I455"/>
      <c r="J455"/>
      <c r="K455"/>
      <c r="L455"/>
      <c r="M455"/>
      <c r="N455"/>
      <c r="O455"/>
    </row>
    <row r="456" spans="1:15" hidden="1" x14ac:dyDescent="0.25">
      <c r="A456" t="s">
        <v>13</v>
      </c>
      <c r="B456" t="s">
        <v>115</v>
      </c>
      <c r="C456" t="b">
        <v>0</v>
      </c>
      <c r="D456" s="1">
        <v>37257</v>
      </c>
      <c r="E456">
        <v>2</v>
      </c>
      <c r="F456"/>
      <c r="G456"/>
      <c r="H456"/>
      <c r="I456"/>
      <c r="J456"/>
      <c r="K456"/>
      <c r="L456"/>
      <c r="M456"/>
      <c r="N456"/>
      <c r="O456"/>
    </row>
    <row r="457" spans="1:15" hidden="1" x14ac:dyDescent="0.25">
      <c r="A457" t="s">
        <v>12</v>
      </c>
      <c r="B457" t="s">
        <v>115</v>
      </c>
      <c r="C457" t="b">
        <v>0</v>
      </c>
      <c r="D457" s="1">
        <v>37257</v>
      </c>
      <c r="E457">
        <v>2</v>
      </c>
      <c r="F457"/>
      <c r="G457"/>
      <c r="H457"/>
      <c r="I457"/>
      <c r="J457"/>
      <c r="K457"/>
      <c r="L457"/>
      <c r="M457"/>
      <c r="N457"/>
      <c r="O457"/>
    </row>
    <row r="458" spans="1:15" hidden="1" x14ac:dyDescent="0.25">
      <c r="A458" t="s">
        <v>14</v>
      </c>
      <c r="B458" t="s">
        <v>115</v>
      </c>
      <c r="C458" t="b">
        <v>0</v>
      </c>
      <c r="D458" s="1">
        <v>37257</v>
      </c>
      <c r="E458">
        <v>2</v>
      </c>
      <c r="F458"/>
      <c r="G458"/>
      <c r="H458"/>
      <c r="I458"/>
      <c r="J458"/>
      <c r="K458"/>
      <c r="L458"/>
      <c r="M458"/>
      <c r="N458"/>
      <c r="O458"/>
    </row>
    <row r="459" spans="1:15" hidden="1" x14ac:dyDescent="0.25">
      <c r="A459" t="s">
        <v>15</v>
      </c>
      <c r="B459" t="s">
        <v>115</v>
      </c>
      <c r="C459" t="b">
        <v>0</v>
      </c>
      <c r="D459" s="1">
        <v>37257</v>
      </c>
      <c r="E459">
        <v>2</v>
      </c>
      <c r="F459"/>
      <c r="G459"/>
      <c r="H459"/>
      <c r="I459"/>
      <c r="J459"/>
      <c r="K459"/>
      <c r="L459"/>
      <c r="M459"/>
      <c r="N459"/>
      <c r="O459"/>
    </row>
    <row r="460" spans="1:15" hidden="1" x14ac:dyDescent="0.25">
      <c r="A460" t="s">
        <v>106</v>
      </c>
      <c r="B460" t="s">
        <v>115</v>
      </c>
      <c r="C460" t="b">
        <v>0</v>
      </c>
      <c r="D460" s="1">
        <v>37257</v>
      </c>
      <c r="E460">
        <v>2</v>
      </c>
      <c r="F460"/>
      <c r="G460"/>
      <c r="H460"/>
      <c r="I460"/>
      <c r="J460"/>
      <c r="K460"/>
      <c r="L460"/>
      <c r="M460"/>
      <c r="N460"/>
      <c r="O460"/>
    </row>
    <row r="461" spans="1:15" hidden="1" x14ac:dyDescent="0.25">
      <c r="A461" t="s">
        <v>106</v>
      </c>
      <c r="B461" t="s">
        <v>115</v>
      </c>
      <c r="C461" t="b">
        <v>0</v>
      </c>
      <c r="D461" s="1">
        <v>37257</v>
      </c>
      <c r="E461">
        <v>2</v>
      </c>
      <c r="F461"/>
      <c r="G461"/>
      <c r="H461"/>
      <c r="I461"/>
      <c r="J461"/>
      <c r="K461"/>
      <c r="L461"/>
      <c r="M461"/>
      <c r="N461"/>
      <c r="O461"/>
    </row>
    <row r="462" spans="1:15" hidden="1" x14ac:dyDescent="0.25">
      <c r="A462" t="s">
        <v>106</v>
      </c>
      <c r="B462" t="s">
        <v>115</v>
      </c>
      <c r="C462" t="b">
        <v>0</v>
      </c>
      <c r="D462" s="1">
        <v>37257</v>
      </c>
      <c r="E462">
        <v>2</v>
      </c>
      <c r="F462"/>
      <c r="G462"/>
      <c r="H462"/>
      <c r="I462"/>
      <c r="J462"/>
      <c r="K462"/>
      <c r="L462"/>
      <c r="M462"/>
      <c r="N462"/>
      <c r="O462"/>
    </row>
    <row r="463" spans="1:15" hidden="1" x14ac:dyDescent="0.25">
      <c r="A463" t="s">
        <v>106</v>
      </c>
      <c r="B463" t="s">
        <v>115</v>
      </c>
      <c r="C463" t="b">
        <v>0</v>
      </c>
      <c r="D463" s="1">
        <v>37257</v>
      </c>
      <c r="E463">
        <v>2</v>
      </c>
      <c r="F463"/>
      <c r="G463"/>
      <c r="H463"/>
      <c r="I463"/>
      <c r="J463"/>
      <c r="K463"/>
      <c r="L463"/>
      <c r="M463"/>
      <c r="N463"/>
      <c r="O463"/>
    </row>
    <row r="464" spans="1:15" hidden="1" x14ac:dyDescent="0.25">
      <c r="A464" t="s">
        <v>106</v>
      </c>
      <c r="B464" t="s">
        <v>115</v>
      </c>
      <c r="C464" t="b">
        <v>0</v>
      </c>
      <c r="D464" s="1">
        <v>37257</v>
      </c>
      <c r="E464">
        <v>2</v>
      </c>
      <c r="F464"/>
      <c r="G464"/>
      <c r="H464"/>
      <c r="I464"/>
      <c r="J464"/>
      <c r="K464"/>
      <c r="L464"/>
      <c r="M464"/>
      <c r="N464"/>
      <c r="O464"/>
    </row>
    <row r="465" spans="1:15" hidden="1" x14ac:dyDescent="0.25">
      <c r="A465" t="s">
        <v>106</v>
      </c>
      <c r="B465" t="s">
        <v>115</v>
      </c>
      <c r="C465" t="b">
        <v>0</v>
      </c>
      <c r="D465" s="1">
        <v>37257</v>
      </c>
      <c r="E465">
        <v>2</v>
      </c>
      <c r="F465"/>
      <c r="G465"/>
      <c r="H465"/>
      <c r="I465"/>
      <c r="J465"/>
      <c r="K465"/>
      <c r="L465"/>
      <c r="M465"/>
      <c r="N465"/>
      <c r="O465"/>
    </row>
    <row r="466" spans="1:15" hidden="1" x14ac:dyDescent="0.25">
      <c r="A466" t="s">
        <v>106</v>
      </c>
      <c r="B466" t="s">
        <v>115</v>
      </c>
      <c r="C466" t="b">
        <v>0</v>
      </c>
      <c r="D466" s="1">
        <v>37257</v>
      </c>
      <c r="E466">
        <v>2</v>
      </c>
      <c r="F466"/>
      <c r="G466"/>
      <c r="H466"/>
      <c r="I466"/>
      <c r="J466"/>
      <c r="K466"/>
      <c r="L466"/>
      <c r="M466"/>
      <c r="N466"/>
      <c r="O466"/>
    </row>
    <row r="467" spans="1:15" hidden="1" x14ac:dyDescent="0.25">
      <c r="A467" t="s">
        <v>106</v>
      </c>
      <c r="B467" t="s">
        <v>115</v>
      </c>
      <c r="C467" t="b">
        <v>0</v>
      </c>
      <c r="D467" s="1">
        <v>37257</v>
      </c>
      <c r="E467">
        <v>2</v>
      </c>
      <c r="F467"/>
      <c r="G467"/>
      <c r="H467"/>
      <c r="I467"/>
      <c r="J467"/>
      <c r="K467"/>
      <c r="L467"/>
      <c r="M467"/>
      <c r="N467"/>
      <c r="O467"/>
    </row>
    <row r="468" spans="1:15" hidden="1" x14ac:dyDescent="0.25">
      <c r="A468" t="s">
        <v>106</v>
      </c>
      <c r="B468" t="s">
        <v>115</v>
      </c>
      <c r="C468" t="b">
        <v>0</v>
      </c>
      <c r="D468" s="1">
        <v>37257</v>
      </c>
      <c r="E468">
        <v>2</v>
      </c>
      <c r="F468"/>
      <c r="G468"/>
      <c r="H468"/>
      <c r="I468"/>
      <c r="J468"/>
      <c r="K468"/>
      <c r="L468"/>
      <c r="M468"/>
      <c r="N468"/>
      <c r="O468"/>
    </row>
    <row r="469" spans="1:15" hidden="1" x14ac:dyDescent="0.25">
      <c r="A469" t="s">
        <v>106</v>
      </c>
      <c r="B469" t="s">
        <v>115</v>
      </c>
      <c r="C469" t="b">
        <v>0</v>
      </c>
      <c r="D469" s="1">
        <v>37257</v>
      </c>
      <c r="E469">
        <v>2</v>
      </c>
      <c r="F469"/>
      <c r="G469"/>
      <c r="H469"/>
      <c r="I469"/>
      <c r="J469"/>
      <c r="K469"/>
      <c r="L469"/>
      <c r="M469"/>
      <c r="N469"/>
      <c r="O469"/>
    </row>
    <row r="470" spans="1:15" hidden="1" x14ac:dyDescent="0.25">
      <c r="A470" t="s">
        <v>106</v>
      </c>
      <c r="B470" t="s">
        <v>115</v>
      </c>
      <c r="C470" t="b">
        <v>0</v>
      </c>
      <c r="D470" s="1">
        <v>37257</v>
      </c>
      <c r="E470">
        <v>2</v>
      </c>
      <c r="F470"/>
      <c r="G470"/>
      <c r="H470"/>
      <c r="I470"/>
      <c r="J470"/>
      <c r="K470"/>
      <c r="L470"/>
      <c r="M470"/>
      <c r="N470"/>
      <c r="O470"/>
    </row>
    <row r="471" spans="1:15" hidden="1" x14ac:dyDescent="0.25">
      <c r="A471" t="s">
        <v>106</v>
      </c>
      <c r="B471" t="s">
        <v>115</v>
      </c>
      <c r="C471" t="b">
        <v>0</v>
      </c>
      <c r="D471" s="1">
        <v>37257</v>
      </c>
      <c r="E471">
        <v>2</v>
      </c>
      <c r="F471"/>
      <c r="G471"/>
      <c r="H471"/>
      <c r="I471"/>
      <c r="J471"/>
      <c r="K471"/>
      <c r="L471"/>
      <c r="M471"/>
      <c r="N471"/>
      <c r="O471"/>
    </row>
    <row r="472" spans="1:15" hidden="1" x14ac:dyDescent="0.25">
      <c r="A472" t="s">
        <v>106</v>
      </c>
      <c r="B472" t="s">
        <v>115</v>
      </c>
      <c r="C472" t="b">
        <v>0</v>
      </c>
      <c r="D472" s="1">
        <v>37257</v>
      </c>
      <c r="E472">
        <v>2</v>
      </c>
      <c r="F472"/>
      <c r="G472"/>
      <c r="H472"/>
      <c r="I472"/>
      <c r="J472"/>
      <c r="K472"/>
      <c r="L472"/>
      <c r="M472"/>
      <c r="N472"/>
      <c r="O472"/>
    </row>
    <row r="473" spans="1:15" hidden="1" x14ac:dyDescent="0.25">
      <c r="A473" t="s">
        <v>106</v>
      </c>
      <c r="B473" t="s">
        <v>115</v>
      </c>
      <c r="C473" t="b">
        <v>0</v>
      </c>
      <c r="D473" s="1">
        <v>37257</v>
      </c>
      <c r="E473">
        <v>2</v>
      </c>
      <c r="F473"/>
      <c r="G473"/>
      <c r="H473"/>
      <c r="I473"/>
      <c r="J473"/>
      <c r="K473"/>
      <c r="L473"/>
      <c r="M473"/>
      <c r="N473"/>
      <c r="O473"/>
    </row>
    <row r="474" spans="1:15" hidden="1" x14ac:dyDescent="0.25">
      <c r="A474" t="s">
        <v>106</v>
      </c>
      <c r="B474" t="s">
        <v>115</v>
      </c>
      <c r="C474" t="b">
        <v>0</v>
      </c>
      <c r="D474" s="1">
        <v>37257</v>
      </c>
      <c r="E474">
        <v>2</v>
      </c>
      <c r="F474"/>
      <c r="G474"/>
      <c r="H474"/>
      <c r="I474"/>
      <c r="J474"/>
      <c r="K474"/>
      <c r="L474"/>
      <c r="M474"/>
      <c r="N474"/>
      <c r="O474"/>
    </row>
    <row r="475" spans="1:15" hidden="1" x14ac:dyDescent="0.25">
      <c r="A475" t="s">
        <v>106</v>
      </c>
      <c r="B475" t="s">
        <v>115</v>
      </c>
      <c r="C475" t="b">
        <v>0</v>
      </c>
      <c r="D475" s="1">
        <v>37257</v>
      </c>
      <c r="E475">
        <v>2</v>
      </c>
      <c r="F475"/>
      <c r="G475"/>
      <c r="H475"/>
      <c r="I475"/>
      <c r="J475"/>
      <c r="K475"/>
      <c r="L475"/>
      <c r="M475"/>
      <c r="N475"/>
      <c r="O475"/>
    </row>
    <row r="476" spans="1:15" hidden="1" x14ac:dyDescent="0.25">
      <c r="A476" t="s">
        <v>106</v>
      </c>
      <c r="B476" t="s">
        <v>115</v>
      </c>
      <c r="C476" t="b">
        <v>0</v>
      </c>
      <c r="D476" s="1">
        <v>37257</v>
      </c>
      <c r="E476">
        <v>2</v>
      </c>
      <c r="F476"/>
      <c r="G476"/>
      <c r="H476"/>
      <c r="I476"/>
      <c r="J476"/>
      <c r="K476"/>
      <c r="L476"/>
      <c r="M476"/>
      <c r="N476"/>
      <c r="O476"/>
    </row>
    <row r="477" spans="1:15" hidden="1" x14ac:dyDescent="0.25">
      <c r="A477" t="s">
        <v>106</v>
      </c>
      <c r="B477" t="s">
        <v>115</v>
      </c>
      <c r="C477" t="b">
        <v>0</v>
      </c>
      <c r="D477" s="1">
        <v>37257</v>
      </c>
      <c r="E477">
        <v>2</v>
      </c>
      <c r="F477"/>
      <c r="G477"/>
      <c r="H477"/>
      <c r="I477"/>
      <c r="J477"/>
      <c r="K477"/>
      <c r="L477"/>
      <c r="M477"/>
      <c r="N477"/>
      <c r="O477"/>
    </row>
    <row r="478" spans="1:15" hidden="1" x14ac:dyDescent="0.25">
      <c r="A478" t="s">
        <v>106</v>
      </c>
      <c r="B478" t="s">
        <v>115</v>
      </c>
      <c r="C478" t="b">
        <v>0</v>
      </c>
      <c r="D478" s="1">
        <v>37257</v>
      </c>
      <c r="E478">
        <v>2</v>
      </c>
      <c r="F478"/>
      <c r="G478"/>
      <c r="H478"/>
      <c r="I478"/>
      <c r="J478"/>
      <c r="K478"/>
      <c r="L478"/>
      <c r="M478"/>
      <c r="N478"/>
      <c r="O478"/>
    </row>
    <row r="479" spans="1:15" hidden="1" x14ac:dyDescent="0.25">
      <c r="A479" t="s">
        <v>106</v>
      </c>
      <c r="B479" t="s">
        <v>115</v>
      </c>
      <c r="C479" t="b">
        <v>0</v>
      </c>
      <c r="D479" s="1">
        <v>37257</v>
      </c>
      <c r="E479">
        <v>2</v>
      </c>
      <c r="F479"/>
      <c r="G479"/>
      <c r="H479"/>
      <c r="I479"/>
      <c r="J479"/>
      <c r="K479"/>
      <c r="L479"/>
      <c r="M479"/>
      <c r="N479"/>
      <c r="O479"/>
    </row>
    <row r="480" spans="1:15" hidden="1" x14ac:dyDescent="0.25">
      <c r="A480" t="s">
        <v>106</v>
      </c>
      <c r="B480" t="s">
        <v>115</v>
      </c>
      <c r="C480" t="b">
        <v>0</v>
      </c>
      <c r="D480" s="1">
        <v>37257</v>
      </c>
      <c r="E480">
        <v>2</v>
      </c>
      <c r="F480"/>
      <c r="G480"/>
      <c r="H480"/>
      <c r="I480"/>
      <c r="J480"/>
      <c r="K480"/>
      <c r="L480"/>
      <c r="M480"/>
      <c r="N480"/>
      <c r="O480"/>
    </row>
    <row r="481" spans="1:15" hidden="1" x14ac:dyDescent="0.25">
      <c r="A481" t="s">
        <v>106</v>
      </c>
      <c r="B481" t="s">
        <v>115</v>
      </c>
      <c r="C481" t="b">
        <v>0</v>
      </c>
      <c r="D481" s="1">
        <v>37257</v>
      </c>
      <c r="E481">
        <v>2</v>
      </c>
      <c r="F481"/>
      <c r="G481"/>
      <c r="H481"/>
      <c r="I481"/>
      <c r="J481"/>
      <c r="K481"/>
      <c r="L481"/>
      <c r="M481"/>
      <c r="N481"/>
      <c r="O481"/>
    </row>
    <row r="482" spans="1:15" hidden="1" x14ac:dyDescent="0.25">
      <c r="A482" t="s">
        <v>106</v>
      </c>
      <c r="B482" t="s">
        <v>115</v>
      </c>
      <c r="C482" t="b">
        <v>0</v>
      </c>
      <c r="D482" s="1">
        <v>37257</v>
      </c>
      <c r="E482">
        <v>2</v>
      </c>
      <c r="F482"/>
      <c r="G482"/>
      <c r="H482"/>
      <c r="I482"/>
      <c r="J482"/>
      <c r="K482"/>
      <c r="L482"/>
      <c r="M482"/>
      <c r="N482"/>
      <c r="O482"/>
    </row>
    <row r="483" spans="1:15" hidden="1" x14ac:dyDescent="0.25">
      <c r="A483" t="s">
        <v>106</v>
      </c>
      <c r="B483" t="s">
        <v>115</v>
      </c>
      <c r="C483" t="b">
        <v>0</v>
      </c>
      <c r="D483" s="1">
        <v>37257</v>
      </c>
      <c r="E483">
        <v>2</v>
      </c>
      <c r="F483"/>
      <c r="G483"/>
      <c r="H483"/>
      <c r="I483"/>
      <c r="J483"/>
      <c r="K483"/>
      <c r="L483"/>
      <c r="M483"/>
      <c r="N483"/>
      <c r="O483"/>
    </row>
    <row r="484" spans="1:15" hidden="1" x14ac:dyDescent="0.25">
      <c r="A484" t="s">
        <v>106</v>
      </c>
      <c r="B484" t="s">
        <v>115</v>
      </c>
      <c r="C484" t="b">
        <v>0</v>
      </c>
      <c r="D484" s="1">
        <v>37257</v>
      </c>
      <c r="E484">
        <v>2</v>
      </c>
      <c r="F484"/>
      <c r="G484"/>
      <c r="H484"/>
      <c r="I484"/>
      <c r="J484"/>
      <c r="K484"/>
      <c r="L484"/>
      <c r="M484"/>
      <c r="N484"/>
      <c r="O484"/>
    </row>
    <row r="485" spans="1:15" hidden="1" x14ac:dyDescent="0.25">
      <c r="A485" t="s">
        <v>106</v>
      </c>
      <c r="B485" t="s">
        <v>115</v>
      </c>
      <c r="C485" t="b">
        <v>0</v>
      </c>
      <c r="D485" s="1">
        <v>37257</v>
      </c>
      <c r="E485">
        <v>2</v>
      </c>
      <c r="F485"/>
      <c r="G485"/>
      <c r="H485"/>
      <c r="I485"/>
      <c r="J485"/>
      <c r="K485"/>
      <c r="L485"/>
      <c r="M485"/>
      <c r="N485"/>
      <c r="O485"/>
    </row>
    <row r="486" spans="1:15" hidden="1" x14ac:dyDescent="0.25">
      <c r="A486" t="s">
        <v>106</v>
      </c>
      <c r="B486" t="s">
        <v>115</v>
      </c>
      <c r="C486" t="b">
        <v>0</v>
      </c>
      <c r="D486" s="1">
        <v>37257</v>
      </c>
      <c r="E486">
        <v>2</v>
      </c>
      <c r="F486"/>
      <c r="G486"/>
      <c r="H486"/>
      <c r="I486"/>
      <c r="J486"/>
      <c r="K486"/>
      <c r="L486"/>
      <c r="M486"/>
      <c r="N486"/>
      <c r="O486"/>
    </row>
    <row r="487" spans="1:15" hidden="1" x14ac:dyDescent="0.25">
      <c r="A487" t="s">
        <v>106</v>
      </c>
      <c r="B487" t="s">
        <v>115</v>
      </c>
      <c r="C487" t="b">
        <v>0</v>
      </c>
      <c r="D487" s="1">
        <v>37257</v>
      </c>
      <c r="E487">
        <v>2</v>
      </c>
      <c r="F487"/>
      <c r="G487"/>
      <c r="H487"/>
      <c r="I487"/>
      <c r="J487"/>
      <c r="K487"/>
      <c r="L487"/>
      <c r="M487"/>
      <c r="N487"/>
      <c r="O487"/>
    </row>
    <row r="488" spans="1:15" hidden="1" x14ac:dyDescent="0.25">
      <c r="A488" t="s">
        <v>43</v>
      </c>
      <c r="B488" t="s">
        <v>115</v>
      </c>
      <c r="C488" t="b">
        <v>0</v>
      </c>
      <c r="D488" s="1">
        <v>37257</v>
      </c>
      <c r="E488">
        <v>2</v>
      </c>
      <c r="F488"/>
      <c r="G488"/>
      <c r="H488"/>
      <c r="I488"/>
      <c r="J488"/>
      <c r="K488"/>
      <c r="L488"/>
      <c r="M488"/>
      <c r="N488"/>
      <c r="O488"/>
    </row>
    <row r="489" spans="1:15" hidden="1" x14ac:dyDescent="0.25">
      <c r="A489" t="s">
        <v>30</v>
      </c>
      <c r="B489" t="s">
        <v>115</v>
      </c>
      <c r="C489" t="b">
        <v>0</v>
      </c>
      <c r="D489" s="1">
        <v>37257</v>
      </c>
      <c r="E489">
        <v>2</v>
      </c>
      <c r="F489"/>
      <c r="G489"/>
      <c r="H489"/>
      <c r="I489"/>
      <c r="J489"/>
      <c r="K489"/>
      <c r="L489"/>
      <c r="M489"/>
      <c r="N489"/>
      <c r="O489"/>
    </row>
    <row r="490" spans="1:15" hidden="1" x14ac:dyDescent="0.25">
      <c r="A490" t="s">
        <v>39</v>
      </c>
      <c r="B490" t="s">
        <v>115</v>
      </c>
      <c r="C490" t="b">
        <v>0</v>
      </c>
      <c r="D490" s="1">
        <v>37257</v>
      </c>
      <c r="E490">
        <v>2</v>
      </c>
      <c r="F490"/>
      <c r="G490"/>
      <c r="H490"/>
      <c r="I490"/>
      <c r="J490"/>
      <c r="K490"/>
      <c r="L490"/>
      <c r="M490"/>
      <c r="N490"/>
      <c r="O490"/>
    </row>
    <row r="491" spans="1:15" hidden="1" x14ac:dyDescent="0.25">
      <c r="A491" t="s">
        <v>57</v>
      </c>
      <c r="B491" t="s">
        <v>115</v>
      </c>
      <c r="C491" t="b">
        <v>0</v>
      </c>
      <c r="D491" s="1">
        <v>37257</v>
      </c>
      <c r="E491">
        <v>2</v>
      </c>
      <c r="F491"/>
      <c r="G491"/>
      <c r="H491"/>
      <c r="I491"/>
      <c r="J491"/>
      <c r="K491"/>
      <c r="L491"/>
      <c r="M491"/>
      <c r="N491"/>
      <c r="O491"/>
    </row>
    <row r="492" spans="1:15" hidden="1" x14ac:dyDescent="0.25">
      <c r="A492" t="s">
        <v>99</v>
      </c>
      <c r="B492" t="s">
        <v>114</v>
      </c>
      <c r="C492" t="b">
        <v>0</v>
      </c>
      <c r="D492" s="1">
        <v>37257</v>
      </c>
      <c r="E492">
        <v>6</v>
      </c>
      <c r="F492"/>
      <c r="G492"/>
      <c r="H492"/>
      <c r="I492"/>
      <c r="J492"/>
      <c r="K492"/>
      <c r="L492"/>
      <c r="M492"/>
      <c r="N492"/>
      <c r="O492"/>
    </row>
    <row r="493" spans="1:15" hidden="1" x14ac:dyDescent="0.25">
      <c r="A493" t="s">
        <v>100</v>
      </c>
      <c r="B493" t="s">
        <v>117</v>
      </c>
      <c r="C493" t="b">
        <v>0</v>
      </c>
      <c r="D493" s="1">
        <v>37288</v>
      </c>
      <c r="E493" s="2">
        <v>-113</v>
      </c>
      <c r="F493"/>
      <c r="G493"/>
      <c r="H493"/>
      <c r="I493"/>
      <c r="J493"/>
      <c r="K493"/>
      <c r="L493"/>
      <c r="M493"/>
      <c r="N493"/>
      <c r="O493"/>
    </row>
    <row r="494" spans="1:15" hidden="1" x14ac:dyDescent="0.25">
      <c r="A494" t="s">
        <v>103</v>
      </c>
      <c r="B494" t="s">
        <v>117</v>
      </c>
      <c r="C494" t="b">
        <v>0</v>
      </c>
      <c r="D494" s="1">
        <v>37288</v>
      </c>
      <c r="E494" s="2">
        <v>-2</v>
      </c>
      <c r="F494"/>
      <c r="G494"/>
      <c r="H494"/>
      <c r="I494"/>
      <c r="J494"/>
      <c r="K494"/>
      <c r="L494"/>
      <c r="M494"/>
      <c r="N494"/>
      <c r="O494"/>
    </row>
    <row r="495" spans="1:15" hidden="1" x14ac:dyDescent="0.25">
      <c r="A495" t="s">
        <v>108</v>
      </c>
      <c r="B495" t="s">
        <v>115</v>
      </c>
      <c r="C495" t="b">
        <v>0</v>
      </c>
      <c r="D495" s="1">
        <v>37288</v>
      </c>
      <c r="E495">
        <v>2</v>
      </c>
      <c r="F495"/>
      <c r="G495"/>
      <c r="H495"/>
      <c r="I495"/>
      <c r="J495"/>
      <c r="K495"/>
      <c r="L495"/>
      <c r="M495"/>
      <c r="N495"/>
      <c r="O495"/>
    </row>
    <row r="496" spans="1:15" hidden="1" x14ac:dyDescent="0.25">
      <c r="A496" t="s">
        <v>13</v>
      </c>
      <c r="B496" t="s">
        <v>115</v>
      </c>
      <c r="C496" t="b">
        <v>0</v>
      </c>
      <c r="D496" s="1">
        <v>37288</v>
      </c>
      <c r="E496">
        <v>2</v>
      </c>
      <c r="F496"/>
      <c r="G496"/>
      <c r="H496"/>
      <c r="I496"/>
      <c r="J496"/>
      <c r="K496"/>
      <c r="L496"/>
      <c r="M496"/>
      <c r="N496"/>
      <c r="O496"/>
    </row>
    <row r="497" spans="1:15" hidden="1" x14ac:dyDescent="0.25">
      <c r="A497" t="s">
        <v>12</v>
      </c>
      <c r="B497" t="s">
        <v>115</v>
      </c>
      <c r="C497" t="b">
        <v>0</v>
      </c>
      <c r="D497" s="1">
        <v>37288</v>
      </c>
      <c r="E497">
        <v>2</v>
      </c>
      <c r="F497"/>
      <c r="G497"/>
      <c r="H497"/>
      <c r="I497"/>
      <c r="J497"/>
      <c r="K497"/>
      <c r="L497"/>
      <c r="M497"/>
      <c r="N497"/>
      <c r="O497"/>
    </row>
    <row r="498" spans="1:15" hidden="1" x14ac:dyDescent="0.25">
      <c r="A498" t="s">
        <v>14</v>
      </c>
      <c r="B498" t="s">
        <v>115</v>
      </c>
      <c r="C498" t="b">
        <v>0</v>
      </c>
      <c r="D498" s="1">
        <v>37288</v>
      </c>
      <c r="E498">
        <v>2</v>
      </c>
      <c r="F498"/>
      <c r="G498"/>
      <c r="H498"/>
      <c r="I498"/>
      <c r="J498"/>
      <c r="K498"/>
      <c r="L498"/>
      <c r="M498"/>
      <c r="N498"/>
      <c r="O498"/>
    </row>
    <row r="499" spans="1:15" hidden="1" x14ac:dyDescent="0.25">
      <c r="A499" t="s">
        <v>15</v>
      </c>
      <c r="B499" t="s">
        <v>115</v>
      </c>
      <c r="C499" t="b">
        <v>0</v>
      </c>
      <c r="D499" s="1">
        <v>37288</v>
      </c>
      <c r="E499">
        <v>2</v>
      </c>
      <c r="F499"/>
      <c r="G499"/>
      <c r="H499"/>
      <c r="I499"/>
      <c r="J499"/>
      <c r="K499"/>
      <c r="L499"/>
      <c r="M499"/>
      <c r="N499"/>
      <c r="O499"/>
    </row>
    <row r="500" spans="1:15" hidden="1" x14ac:dyDescent="0.25">
      <c r="A500" t="s">
        <v>106</v>
      </c>
      <c r="B500" t="s">
        <v>115</v>
      </c>
      <c r="C500" t="b">
        <v>0</v>
      </c>
      <c r="D500" s="1">
        <v>37288</v>
      </c>
      <c r="E500">
        <v>2</v>
      </c>
      <c r="F500"/>
      <c r="G500"/>
      <c r="H500"/>
      <c r="I500"/>
      <c r="J500"/>
      <c r="K500"/>
      <c r="L500"/>
      <c r="M500"/>
      <c r="N500"/>
      <c r="O500"/>
    </row>
    <row r="501" spans="1:15" hidden="1" x14ac:dyDescent="0.25">
      <c r="A501" t="s">
        <v>106</v>
      </c>
      <c r="B501" t="s">
        <v>115</v>
      </c>
      <c r="C501" t="b">
        <v>0</v>
      </c>
      <c r="D501" s="1">
        <v>37288</v>
      </c>
      <c r="E501">
        <v>2</v>
      </c>
      <c r="F501"/>
      <c r="G501"/>
      <c r="H501"/>
      <c r="I501"/>
      <c r="J501"/>
      <c r="K501"/>
      <c r="L501"/>
      <c r="M501"/>
      <c r="N501"/>
      <c r="O501"/>
    </row>
    <row r="502" spans="1:15" hidden="1" x14ac:dyDescent="0.25">
      <c r="A502" t="s">
        <v>106</v>
      </c>
      <c r="B502" t="s">
        <v>115</v>
      </c>
      <c r="C502" t="b">
        <v>0</v>
      </c>
      <c r="D502" s="1">
        <v>37288</v>
      </c>
      <c r="E502">
        <v>2</v>
      </c>
      <c r="F502"/>
      <c r="G502"/>
      <c r="H502"/>
      <c r="I502"/>
      <c r="J502"/>
      <c r="K502"/>
      <c r="L502"/>
      <c r="M502"/>
      <c r="N502"/>
      <c r="O502"/>
    </row>
    <row r="503" spans="1:15" hidden="1" x14ac:dyDescent="0.25">
      <c r="A503" t="s">
        <v>106</v>
      </c>
      <c r="B503" t="s">
        <v>115</v>
      </c>
      <c r="C503" t="b">
        <v>0</v>
      </c>
      <c r="D503" s="1">
        <v>37288</v>
      </c>
      <c r="E503">
        <v>2</v>
      </c>
      <c r="F503"/>
      <c r="G503"/>
      <c r="H503"/>
      <c r="I503"/>
      <c r="J503"/>
      <c r="K503"/>
      <c r="L503"/>
      <c r="M503"/>
      <c r="N503"/>
      <c r="O503"/>
    </row>
    <row r="504" spans="1:15" hidden="1" x14ac:dyDescent="0.25">
      <c r="A504" t="s">
        <v>106</v>
      </c>
      <c r="B504" t="s">
        <v>115</v>
      </c>
      <c r="C504" t="b">
        <v>0</v>
      </c>
      <c r="D504" s="1">
        <v>37288</v>
      </c>
      <c r="E504">
        <v>2</v>
      </c>
      <c r="F504"/>
      <c r="G504"/>
      <c r="H504"/>
      <c r="I504"/>
      <c r="J504"/>
      <c r="K504"/>
      <c r="L504"/>
      <c r="M504"/>
      <c r="N504"/>
      <c r="O504"/>
    </row>
    <row r="505" spans="1:15" hidden="1" x14ac:dyDescent="0.25">
      <c r="A505" t="s">
        <v>106</v>
      </c>
      <c r="B505" t="s">
        <v>115</v>
      </c>
      <c r="C505" t="b">
        <v>0</v>
      </c>
      <c r="D505" s="1">
        <v>37288</v>
      </c>
      <c r="E505">
        <v>2</v>
      </c>
      <c r="F505"/>
      <c r="G505"/>
      <c r="H505"/>
      <c r="I505"/>
      <c r="J505"/>
      <c r="K505"/>
      <c r="L505"/>
      <c r="M505"/>
      <c r="N505"/>
      <c r="O505"/>
    </row>
    <row r="506" spans="1:15" hidden="1" x14ac:dyDescent="0.25">
      <c r="A506" t="s">
        <v>106</v>
      </c>
      <c r="B506" t="s">
        <v>115</v>
      </c>
      <c r="C506" t="b">
        <v>0</v>
      </c>
      <c r="D506" s="1">
        <v>37288</v>
      </c>
      <c r="E506">
        <v>2</v>
      </c>
      <c r="F506"/>
      <c r="G506"/>
      <c r="H506"/>
      <c r="I506"/>
      <c r="J506"/>
      <c r="K506"/>
      <c r="L506"/>
      <c r="M506"/>
      <c r="N506"/>
      <c r="O506"/>
    </row>
    <row r="507" spans="1:15" hidden="1" x14ac:dyDescent="0.25">
      <c r="A507" t="s">
        <v>106</v>
      </c>
      <c r="B507" t="s">
        <v>115</v>
      </c>
      <c r="C507" t="b">
        <v>0</v>
      </c>
      <c r="D507" s="1">
        <v>37288</v>
      </c>
      <c r="E507">
        <v>2</v>
      </c>
      <c r="F507"/>
      <c r="G507"/>
      <c r="H507"/>
      <c r="I507"/>
      <c r="J507"/>
      <c r="K507"/>
      <c r="L507"/>
      <c r="M507"/>
      <c r="N507"/>
      <c r="O507"/>
    </row>
    <row r="508" spans="1:15" hidden="1" x14ac:dyDescent="0.25">
      <c r="A508" t="s">
        <v>106</v>
      </c>
      <c r="B508" t="s">
        <v>115</v>
      </c>
      <c r="C508" t="b">
        <v>0</v>
      </c>
      <c r="D508" s="1">
        <v>37288</v>
      </c>
      <c r="E508">
        <v>1</v>
      </c>
      <c r="F508"/>
      <c r="G508"/>
      <c r="H508"/>
      <c r="I508"/>
      <c r="J508"/>
      <c r="K508"/>
      <c r="L508"/>
      <c r="M508"/>
      <c r="N508"/>
      <c r="O508"/>
    </row>
    <row r="509" spans="1:15" hidden="1" x14ac:dyDescent="0.25">
      <c r="A509" t="s">
        <v>106</v>
      </c>
      <c r="B509" t="s">
        <v>115</v>
      </c>
      <c r="C509" t="b">
        <v>0</v>
      </c>
      <c r="D509" s="1">
        <v>37288</v>
      </c>
      <c r="E509">
        <v>2</v>
      </c>
      <c r="F509"/>
      <c r="G509"/>
      <c r="H509"/>
      <c r="I509"/>
      <c r="J509"/>
      <c r="K509"/>
      <c r="L509"/>
      <c r="M509"/>
      <c r="N509"/>
      <c r="O509"/>
    </row>
    <row r="510" spans="1:15" hidden="1" x14ac:dyDescent="0.25">
      <c r="A510" t="s">
        <v>106</v>
      </c>
      <c r="B510" t="s">
        <v>115</v>
      </c>
      <c r="C510" t="b">
        <v>0</v>
      </c>
      <c r="D510" s="1">
        <v>37288</v>
      </c>
      <c r="E510">
        <v>2</v>
      </c>
      <c r="F510"/>
      <c r="G510"/>
      <c r="H510"/>
      <c r="I510"/>
      <c r="J510"/>
      <c r="K510"/>
      <c r="L510"/>
      <c r="M510"/>
      <c r="N510"/>
      <c r="O510"/>
    </row>
    <row r="511" spans="1:15" hidden="1" x14ac:dyDescent="0.25">
      <c r="A511" t="s">
        <v>106</v>
      </c>
      <c r="B511" t="s">
        <v>115</v>
      </c>
      <c r="C511" t="b">
        <v>0</v>
      </c>
      <c r="D511" s="1">
        <v>37288</v>
      </c>
      <c r="E511">
        <v>2</v>
      </c>
      <c r="F511"/>
      <c r="G511"/>
      <c r="H511"/>
      <c r="I511"/>
      <c r="J511"/>
      <c r="K511"/>
      <c r="L511"/>
      <c r="M511"/>
      <c r="N511"/>
      <c r="O511"/>
    </row>
    <row r="512" spans="1:15" hidden="1" x14ac:dyDescent="0.25">
      <c r="A512" t="s">
        <v>106</v>
      </c>
      <c r="B512" t="s">
        <v>115</v>
      </c>
      <c r="C512" t="b">
        <v>0</v>
      </c>
      <c r="D512" s="1">
        <v>37288</v>
      </c>
      <c r="E512">
        <v>2</v>
      </c>
      <c r="F512"/>
      <c r="G512"/>
      <c r="H512"/>
      <c r="I512"/>
      <c r="J512"/>
      <c r="K512"/>
      <c r="L512"/>
      <c r="M512"/>
      <c r="N512"/>
      <c r="O512"/>
    </row>
    <row r="513" spans="1:15" hidden="1" x14ac:dyDescent="0.25">
      <c r="A513" t="s">
        <v>106</v>
      </c>
      <c r="B513" t="s">
        <v>115</v>
      </c>
      <c r="C513" t="b">
        <v>0</v>
      </c>
      <c r="D513" s="1">
        <v>37288</v>
      </c>
      <c r="E513">
        <v>2</v>
      </c>
      <c r="F513"/>
      <c r="G513"/>
      <c r="H513"/>
      <c r="I513"/>
      <c r="J513"/>
      <c r="K513"/>
      <c r="L513"/>
      <c r="M513"/>
      <c r="N513"/>
      <c r="O513"/>
    </row>
    <row r="514" spans="1:15" hidden="1" x14ac:dyDescent="0.25">
      <c r="A514" t="s">
        <v>106</v>
      </c>
      <c r="B514" t="s">
        <v>115</v>
      </c>
      <c r="C514" t="b">
        <v>0</v>
      </c>
      <c r="D514" s="1">
        <v>37288</v>
      </c>
      <c r="E514">
        <v>2</v>
      </c>
      <c r="F514"/>
      <c r="G514"/>
      <c r="H514"/>
      <c r="I514"/>
      <c r="J514"/>
      <c r="K514"/>
      <c r="L514"/>
      <c r="M514"/>
      <c r="N514"/>
      <c r="O514"/>
    </row>
    <row r="515" spans="1:15" hidden="1" x14ac:dyDescent="0.25">
      <c r="A515" t="s">
        <v>106</v>
      </c>
      <c r="B515" t="s">
        <v>115</v>
      </c>
      <c r="C515" t="b">
        <v>0</v>
      </c>
      <c r="D515" s="1">
        <v>37288</v>
      </c>
      <c r="E515">
        <v>2</v>
      </c>
      <c r="F515"/>
      <c r="G515"/>
      <c r="H515"/>
      <c r="I515"/>
      <c r="J515"/>
      <c r="K515"/>
      <c r="L515"/>
      <c r="M515"/>
      <c r="N515"/>
      <c r="O515"/>
    </row>
    <row r="516" spans="1:15" hidden="1" x14ac:dyDescent="0.25">
      <c r="A516" t="s">
        <v>106</v>
      </c>
      <c r="B516" t="s">
        <v>115</v>
      </c>
      <c r="C516" t="b">
        <v>0</v>
      </c>
      <c r="D516" s="1">
        <v>37288</v>
      </c>
      <c r="E516">
        <v>2</v>
      </c>
      <c r="F516"/>
      <c r="G516"/>
      <c r="H516"/>
      <c r="I516"/>
      <c r="J516"/>
      <c r="K516"/>
      <c r="L516"/>
      <c r="M516"/>
      <c r="N516"/>
      <c r="O516"/>
    </row>
    <row r="517" spans="1:15" hidden="1" x14ac:dyDescent="0.25">
      <c r="A517" t="s">
        <v>106</v>
      </c>
      <c r="B517" t="s">
        <v>115</v>
      </c>
      <c r="C517" t="b">
        <v>0</v>
      </c>
      <c r="D517" s="1">
        <v>37288</v>
      </c>
      <c r="E517">
        <v>2</v>
      </c>
      <c r="F517"/>
      <c r="G517"/>
      <c r="H517"/>
      <c r="I517"/>
      <c r="J517"/>
      <c r="K517"/>
      <c r="L517"/>
      <c r="M517"/>
      <c r="N517"/>
      <c r="O517"/>
    </row>
    <row r="518" spans="1:15" hidden="1" x14ac:dyDescent="0.25">
      <c r="A518" t="s">
        <v>106</v>
      </c>
      <c r="B518" t="s">
        <v>115</v>
      </c>
      <c r="C518" t="b">
        <v>0</v>
      </c>
      <c r="D518" s="1">
        <v>37288</v>
      </c>
      <c r="E518">
        <v>2</v>
      </c>
      <c r="F518"/>
      <c r="G518"/>
      <c r="H518"/>
      <c r="I518"/>
      <c r="J518"/>
      <c r="K518"/>
      <c r="L518"/>
      <c r="M518"/>
      <c r="N518"/>
      <c r="O518"/>
    </row>
    <row r="519" spans="1:15" hidden="1" x14ac:dyDescent="0.25">
      <c r="A519" t="s">
        <v>106</v>
      </c>
      <c r="B519" t="s">
        <v>115</v>
      </c>
      <c r="C519" t="b">
        <v>0</v>
      </c>
      <c r="D519" s="1">
        <v>37288</v>
      </c>
      <c r="E519">
        <v>2</v>
      </c>
      <c r="F519"/>
      <c r="G519"/>
      <c r="H519"/>
      <c r="I519"/>
      <c r="J519"/>
      <c r="K519"/>
      <c r="L519"/>
      <c r="M519"/>
      <c r="N519"/>
      <c r="O519"/>
    </row>
    <row r="520" spans="1:15" hidden="1" x14ac:dyDescent="0.25">
      <c r="A520" t="s">
        <v>106</v>
      </c>
      <c r="B520" t="s">
        <v>115</v>
      </c>
      <c r="C520" t="b">
        <v>0</v>
      </c>
      <c r="D520" s="1">
        <v>37288</v>
      </c>
      <c r="E520">
        <v>2</v>
      </c>
      <c r="F520"/>
      <c r="G520"/>
      <c r="H520"/>
      <c r="I520"/>
      <c r="J520"/>
      <c r="K520"/>
      <c r="L520"/>
      <c r="M520"/>
      <c r="N520"/>
      <c r="O520"/>
    </row>
    <row r="521" spans="1:15" hidden="1" x14ac:dyDescent="0.25">
      <c r="A521" t="s">
        <v>106</v>
      </c>
      <c r="B521" t="s">
        <v>115</v>
      </c>
      <c r="C521" t="b">
        <v>0</v>
      </c>
      <c r="D521" s="1">
        <v>37288</v>
      </c>
      <c r="E521">
        <v>2</v>
      </c>
      <c r="F521"/>
      <c r="G521"/>
      <c r="H521"/>
      <c r="I521"/>
      <c r="J521"/>
      <c r="K521"/>
      <c r="L521"/>
      <c r="M521"/>
      <c r="N521"/>
      <c r="O521"/>
    </row>
    <row r="522" spans="1:15" hidden="1" x14ac:dyDescent="0.25">
      <c r="A522" t="s">
        <v>106</v>
      </c>
      <c r="B522" t="s">
        <v>115</v>
      </c>
      <c r="C522" t="b">
        <v>0</v>
      </c>
      <c r="D522" s="1">
        <v>37288</v>
      </c>
      <c r="E522">
        <v>2</v>
      </c>
      <c r="F522"/>
      <c r="G522"/>
      <c r="H522"/>
      <c r="I522"/>
      <c r="J522"/>
      <c r="K522"/>
      <c r="L522"/>
      <c r="M522"/>
      <c r="N522"/>
      <c r="O522"/>
    </row>
    <row r="523" spans="1:15" hidden="1" x14ac:dyDescent="0.25">
      <c r="A523" t="s">
        <v>106</v>
      </c>
      <c r="B523" t="s">
        <v>115</v>
      </c>
      <c r="C523" t="b">
        <v>0</v>
      </c>
      <c r="D523" s="1">
        <v>37288</v>
      </c>
      <c r="E523">
        <v>2</v>
      </c>
      <c r="F523"/>
      <c r="G523"/>
      <c r="H523"/>
      <c r="I523"/>
      <c r="J523"/>
      <c r="K523"/>
      <c r="L523"/>
      <c r="M523"/>
      <c r="N523"/>
      <c r="O523"/>
    </row>
    <row r="524" spans="1:15" hidden="1" x14ac:dyDescent="0.25">
      <c r="A524" t="s">
        <v>106</v>
      </c>
      <c r="B524" t="s">
        <v>115</v>
      </c>
      <c r="C524" t="b">
        <v>0</v>
      </c>
      <c r="D524" s="1">
        <v>37288</v>
      </c>
      <c r="E524">
        <v>2</v>
      </c>
      <c r="F524"/>
      <c r="G524"/>
      <c r="H524"/>
      <c r="I524"/>
      <c r="J524"/>
      <c r="K524"/>
      <c r="L524"/>
      <c r="M524"/>
      <c r="N524"/>
      <c r="O524"/>
    </row>
    <row r="525" spans="1:15" hidden="1" x14ac:dyDescent="0.25">
      <c r="A525" t="s">
        <v>106</v>
      </c>
      <c r="B525" t="s">
        <v>115</v>
      </c>
      <c r="C525" t="b">
        <v>0</v>
      </c>
      <c r="D525" s="1">
        <v>37288</v>
      </c>
      <c r="E525">
        <v>2</v>
      </c>
      <c r="F525"/>
      <c r="G525"/>
      <c r="H525"/>
      <c r="I525"/>
      <c r="J525"/>
      <c r="K525"/>
      <c r="L525"/>
      <c r="M525"/>
      <c r="N525"/>
      <c r="O525"/>
    </row>
    <row r="526" spans="1:15" hidden="1" x14ac:dyDescent="0.25">
      <c r="A526" t="s">
        <v>106</v>
      </c>
      <c r="B526" t="s">
        <v>115</v>
      </c>
      <c r="C526" t="b">
        <v>0</v>
      </c>
      <c r="D526" s="1">
        <v>37288</v>
      </c>
      <c r="E526">
        <v>2</v>
      </c>
      <c r="F526"/>
      <c r="G526"/>
      <c r="H526"/>
      <c r="I526"/>
      <c r="J526"/>
      <c r="K526"/>
      <c r="L526"/>
      <c r="M526"/>
      <c r="N526"/>
      <c r="O526"/>
    </row>
    <row r="527" spans="1:15" hidden="1" x14ac:dyDescent="0.25">
      <c r="A527" t="s">
        <v>43</v>
      </c>
      <c r="B527" t="s">
        <v>115</v>
      </c>
      <c r="C527" t="b">
        <v>0</v>
      </c>
      <c r="D527" s="1">
        <v>37288</v>
      </c>
      <c r="E527">
        <v>2</v>
      </c>
      <c r="F527"/>
      <c r="G527"/>
      <c r="H527"/>
      <c r="I527"/>
      <c r="J527"/>
      <c r="K527"/>
      <c r="L527"/>
      <c r="M527"/>
      <c r="N527"/>
      <c r="O527"/>
    </row>
    <row r="528" spans="1:15" hidden="1" x14ac:dyDescent="0.25">
      <c r="A528" t="s">
        <v>30</v>
      </c>
      <c r="B528" t="s">
        <v>115</v>
      </c>
      <c r="C528" t="b">
        <v>0</v>
      </c>
      <c r="D528" s="1">
        <v>37288</v>
      </c>
      <c r="E528">
        <v>2</v>
      </c>
      <c r="F528"/>
      <c r="G528"/>
      <c r="H528"/>
      <c r="I528"/>
      <c r="J528"/>
      <c r="K528"/>
      <c r="L528"/>
      <c r="M528"/>
      <c r="N528"/>
      <c r="O528"/>
    </row>
    <row r="529" spans="1:15" hidden="1" x14ac:dyDescent="0.25">
      <c r="A529" t="s">
        <v>39</v>
      </c>
      <c r="B529" t="s">
        <v>115</v>
      </c>
      <c r="C529" t="b">
        <v>0</v>
      </c>
      <c r="D529" s="1">
        <v>37288</v>
      </c>
      <c r="E529">
        <v>2</v>
      </c>
      <c r="F529"/>
      <c r="G529"/>
      <c r="H529"/>
      <c r="I529"/>
      <c r="J529"/>
      <c r="K529"/>
      <c r="L529"/>
      <c r="M529"/>
      <c r="N529"/>
      <c r="O529"/>
    </row>
    <row r="530" spans="1:15" hidden="1" x14ac:dyDescent="0.25">
      <c r="A530" t="s">
        <v>57</v>
      </c>
      <c r="B530" t="s">
        <v>115</v>
      </c>
      <c r="C530" t="b">
        <v>0</v>
      </c>
      <c r="D530" s="1">
        <v>37288</v>
      </c>
      <c r="E530">
        <v>2</v>
      </c>
      <c r="F530"/>
      <c r="G530"/>
      <c r="H530"/>
      <c r="I530"/>
      <c r="J530"/>
      <c r="K530"/>
      <c r="L530"/>
      <c r="M530"/>
      <c r="N530"/>
      <c r="O530"/>
    </row>
    <row r="531" spans="1:15" hidden="1" x14ac:dyDescent="0.25">
      <c r="A531" t="s">
        <v>108</v>
      </c>
      <c r="B531" t="s">
        <v>115</v>
      </c>
      <c r="C531" t="b">
        <v>0</v>
      </c>
      <c r="D531" s="1">
        <v>37316</v>
      </c>
      <c r="E531">
        <v>2</v>
      </c>
      <c r="F531"/>
      <c r="G531"/>
      <c r="H531"/>
      <c r="I531"/>
      <c r="J531"/>
      <c r="K531"/>
      <c r="L531"/>
      <c r="M531"/>
      <c r="N531"/>
      <c r="O531"/>
    </row>
    <row r="532" spans="1:15" hidden="1" x14ac:dyDescent="0.25">
      <c r="A532" t="s">
        <v>13</v>
      </c>
      <c r="B532" t="s">
        <v>115</v>
      </c>
      <c r="C532" t="b">
        <v>0</v>
      </c>
      <c r="D532" s="1">
        <v>37316</v>
      </c>
      <c r="E532">
        <v>2</v>
      </c>
      <c r="F532"/>
      <c r="G532"/>
      <c r="H532"/>
      <c r="I532"/>
      <c r="J532"/>
      <c r="K532"/>
      <c r="L532"/>
      <c r="M532"/>
      <c r="N532"/>
      <c r="O532"/>
    </row>
    <row r="533" spans="1:15" hidden="1" x14ac:dyDescent="0.25">
      <c r="A533" t="s">
        <v>14</v>
      </c>
      <c r="B533" t="s">
        <v>115</v>
      </c>
      <c r="C533" t="b">
        <v>0</v>
      </c>
      <c r="D533" s="1">
        <v>37316</v>
      </c>
      <c r="E533">
        <v>2</v>
      </c>
      <c r="F533"/>
      <c r="G533"/>
      <c r="H533"/>
      <c r="I533"/>
      <c r="J533"/>
      <c r="K533"/>
      <c r="L533"/>
      <c r="M533"/>
      <c r="N533"/>
      <c r="O533"/>
    </row>
    <row r="534" spans="1:15" hidden="1" x14ac:dyDescent="0.25">
      <c r="A534" t="s">
        <v>15</v>
      </c>
      <c r="B534" t="s">
        <v>115</v>
      </c>
      <c r="C534" t="b">
        <v>0</v>
      </c>
      <c r="D534" s="1">
        <v>37316</v>
      </c>
      <c r="E534">
        <v>2</v>
      </c>
      <c r="F534"/>
      <c r="G534"/>
      <c r="H534"/>
      <c r="I534"/>
      <c r="J534"/>
      <c r="K534"/>
      <c r="L534"/>
      <c r="M534"/>
      <c r="N534"/>
      <c r="O534"/>
    </row>
    <row r="535" spans="1:15" hidden="1" x14ac:dyDescent="0.25">
      <c r="A535" t="s">
        <v>106</v>
      </c>
      <c r="B535" t="s">
        <v>115</v>
      </c>
      <c r="C535" t="b">
        <v>0</v>
      </c>
      <c r="D535" s="1">
        <v>37316</v>
      </c>
      <c r="E535">
        <v>2</v>
      </c>
      <c r="F535"/>
      <c r="G535"/>
      <c r="H535"/>
      <c r="I535"/>
      <c r="J535"/>
      <c r="K535"/>
      <c r="L535"/>
      <c r="M535"/>
      <c r="N535"/>
      <c r="O535"/>
    </row>
    <row r="536" spans="1:15" hidden="1" x14ac:dyDescent="0.25">
      <c r="A536" t="s">
        <v>106</v>
      </c>
      <c r="B536" t="s">
        <v>115</v>
      </c>
      <c r="C536" t="b">
        <v>0</v>
      </c>
      <c r="D536" s="1">
        <v>37316</v>
      </c>
      <c r="E536">
        <v>2</v>
      </c>
      <c r="F536"/>
      <c r="G536"/>
      <c r="H536"/>
      <c r="I536"/>
      <c r="J536"/>
      <c r="K536"/>
      <c r="L536"/>
      <c r="M536"/>
      <c r="N536"/>
      <c r="O536"/>
    </row>
    <row r="537" spans="1:15" hidden="1" x14ac:dyDescent="0.25">
      <c r="A537" t="s">
        <v>106</v>
      </c>
      <c r="B537" t="s">
        <v>115</v>
      </c>
      <c r="C537" t="b">
        <v>0</v>
      </c>
      <c r="D537" s="1">
        <v>37316</v>
      </c>
      <c r="E537">
        <v>2</v>
      </c>
      <c r="F537"/>
      <c r="G537"/>
      <c r="H537"/>
      <c r="I537"/>
      <c r="J537"/>
      <c r="K537"/>
      <c r="L537"/>
      <c r="M537"/>
      <c r="N537"/>
      <c r="O537"/>
    </row>
    <row r="538" spans="1:15" hidden="1" x14ac:dyDescent="0.25">
      <c r="A538" t="s">
        <v>106</v>
      </c>
      <c r="B538" t="s">
        <v>115</v>
      </c>
      <c r="C538" t="b">
        <v>0</v>
      </c>
      <c r="D538" s="1">
        <v>37316</v>
      </c>
      <c r="E538">
        <v>2</v>
      </c>
      <c r="F538"/>
      <c r="G538"/>
      <c r="H538"/>
      <c r="I538"/>
      <c r="J538"/>
      <c r="K538"/>
      <c r="L538"/>
      <c r="M538"/>
      <c r="N538"/>
      <c r="O538"/>
    </row>
    <row r="539" spans="1:15" hidden="1" x14ac:dyDescent="0.25">
      <c r="A539" t="s">
        <v>106</v>
      </c>
      <c r="B539" t="s">
        <v>115</v>
      </c>
      <c r="C539" t="b">
        <v>0</v>
      </c>
      <c r="D539" s="1">
        <v>37316</v>
      </c>
      <c r="E539">
        <v>2</v>
      </c>
      <c r="F539"/>
      <c r="G539"/>
      <c r="H539"/>
      <c r="I539"/>
      <c r="J539"/>
      <c r="K539"/>
      <c r="L539"/>
      <c r="M539"/>
      <c r="N539"/>
      <c r="O539"/>
    </row>
    <row r="540" spans="1:15" hidden="1" x14ac:dyDescent="0.25">
      <c r="A540" t="s">
        <v>106</v>
      </c>
      <c r="B540" t="s">
        <v>115</v>
      </c>
      <c r="C540" t="b">
        <v>0</v>
      </c>
      <c r="D540" s="1">
        <v>37316</v>
      </c>
      <c r="E540">
        <v>2</v>
      </c>
      <c r="F540"/>
      <c r="G540"/>
      <c r="H540"/>
      <c r="I540"/>
      <c r="J540"/>
      <c r="K540"/>
      <c r="L540"/>
      <c r="M540"/>
      <c r="N540"/>
      <c r="O540"/>
    </row>
    <row r="541" spans="1:15" hidden="1" x14ac:dyDescent="0.25">
      <c r="A541" t="s">
        <v>106</v>
      </c>
      <c r="B541" t="s">
        <v>115</v>
      </c>
      <c r="C541" t="b">
        <v>0</v>
      </c>
      <c r="D541" s="1">
        <v>37316</v>
      </c>
      <c r="E541">
        <v>2</v>
      </c>
      <c r="F541"/>
      <c r="G541"/>
      <c r="H541"/>
      <c r="I541"/>
      <c r="J541"/>
      <c r="K541"/>
      <c r="L541"/>
      <c r="M541"/>
      <c r="N541"/>
      <c r="O541"/>
    </row>
    <row r="542" spans="1:15" hidden="1" x14ac:dyDescent="0.25">
      <c r="A542" t="s">
        <v>106</v>
      </c>
      <c r="B542" t="s">
        <v>115</v>
      </c>
      <c r="C542" t="b">
        <v>0</v>
      </c>
      <c r="D542" s="1">
        <v>37316</v>
      </c>
      <c r="E542">
        <v>2</v>
      </c>
      <c r="F542"/>
      <c r="G542"/>
      <c r="H542"/>
      <c r="I542"/>
      <c r="J542"/>
      <c r="K542"/>
      <c r="L542"/>
      <c r="M542"/>
      <c r="N542"/>
      <c r="O542"/>
    </row>
    <row r="543" spans="1:15" hidden="1" x14ac:dyDescent="0.25">
      <c r="A543" t="s">
        <v>106</v>
      </c>
      <c r="B543" t="s">
        <v>115</v>
      </c>
      <c r="C543" t="b">
        <v>0</v>
      </c>
      <c r="D543" s="1">
        <v>37316</v>
      </c>
      <c r="E543">
        <v>2</v>
      </c>
      <c r="F543"/>
      <c r="G543"/>
      <c r="H543"/>
      <c r="I543"/>
      <c r="J543"/>
      <c r="K543"/>
      <c r="L543"/>
      <c r="M543"/>
      <c r="N543"/>
      <c r="O543"/>
    </row>
    <row r="544" spans="1:15" hidden="1" x14ac:dyDescent="0.25">
      <c r="A544" t="s">
        <v>106</v>
      </c>
      <c r="B544" t="s">
        <v>115</v>
      </c>
      <c r="C544" t="b">
        <v>0</v>
      </c>
      <c r="D544" s="1">
        <v>37316</v>
      </c>
      <c r="E544">
        <v>2</v>
      </c>
      <c r="F544"/>
      <c r="G544"/>
      <c r="H544"/>
      <c r="I544"/>
      <c r="J544"/>
      <c r="K544"/>
      <c r="L544"/>
      <c r="M544"/>
      <c r="N544"/>
      <c r="O544"/>
    </row>
    <row r="545" spans="1:15" hidden="1" x14ac:dyDescent="0.25">
      <c r="A545" t="s">
        <v>106</v>
      </c>
      <c r="B545" t="s">
        <v>115</v>
      </c>
      <c r="C545" t="b">
        <v>0</v>
      </c>
      <c r="D545" s="1">
        <v>37316</v>
      </c>
      <c r="E545">
        <v>2</v>
      </c>
      <c r="F545"/>
      <c r="G545"/>
      <c r="H545"/>
      <c r="I545"/>
      <c r="J545"/>
      <c r="K545"/>
      <c r="L545"/>
      <c r="M545"/>
      <c r="N545"/>
      <c r="O545"/>
    </row>
    <row r="546" spans="1:15" hidden="1" x14ac:dyDescent="0.25">
      <c r="A546" t="s">
        <v>106</v>
      </c>
      <c r="B546" t="s">
        <v>115</v>
      </c>
      <c r="C546" t="b">
        <v>0</v>
      </c>
      <c r="D546" s="1">
        <v>37316</v>
      </c>
      <c r="E546">
        <v>2</v>
      </c>
      <c r="F546"/>
      <c r="G546"/>
      <c r="H546"/>
      <c r="I546"/>
      <c r="J546"/>
      <c r="K546"/>
      <c r="L546"/>
      <c r="M546"/>
      <c r="N546"/>
      <c r="O546"/>
    </row>
    <row r="547" spans="1:15" hidden="1" x14ac:dyDescent="0.25">
      <c r="A547" t="s">
        <v>106</v>
      </c>
      <c r="B547" t="s">
        <v>115</v>
      </c>
      <c r="C547" t="b">
        <v>0</v>
      </c>
      <c r="D547" s="1">
        <v>37316</v>
      </c>
      <c r="E547">
        <v>2</v>
      </c>
      <c r="F547"/>
      <c r="G547"/>
      <c r="H547"/>
      <c r="I547"/>
      <c r="J547"/>
      <c r="K547"/>
      <c r="L547"/>
      <c r="M547"/>
      <c r="N547"/>
      <c r="O547"/>
    </row>
    <row r="548" spans="1:15" hidden="1" x14ac:dyDescent="0.25">
      <c r="A548" t="s">
        <v>106</v>
      </c>
      <c r="B548" t="s">
        <v>115</v>
      </c>
      <c r="C548" t="b">
        <v>0</v>
      </c>
      <c r="D548" s="1">
        <v>37316</v>
      </c>
      <c r="E548">
        <v>2</v>
      </c>
      <c r="F548"/>
      <c r="G548"/>
      <c r="H548"/>
      <c r="I548"/>
      <c r="J548"/>
      <c r="K548"/>
      <c r="L548"/>
      <c r="M548"/>
      <c r="N548"/>
      <c r="O548"/>
    </row>
    <row r="549" spans="1:15" hidden="1" x14ac:dyDescent="0.25">
      <c r="A549" t="s">
        <v>106</v>
      </c>
      <c r="B549" t="s">
        <v>115</v>
      </c>
      <c r="C549" t="b">
        <v>0</v>
      </c>
      <c r="D549" s="1">
        <v>37316</v>
      </c>
      <c r="E549">
        <v>2</v>
      </c>
      <c r="F549"/>
      <c r="G549"/>
      <c r="H549"/>
      <c r="I549"/>
      <c r="J549"/>
      <c r="K549"/>
      <c r="L549"/>
      <c r="M549"/>
      <c r="N549"/>
      <c r="O549"/>
    </row>
    <row r="550" spans="1:15" hidden="1" x14ac:dyDescent="0.25">
      <c r="A550" t="s">
        <v>106</v>
      </c>
      <c r="B550" t="s">
        <v>115</v>
      </c>
      <c r="C550" t="b">
        <v>0</v>
      </c>
      <c r="D550" s="1">
        <v>37316</v>
      </c>
      <c r="E550">
        <v>2</v>
      </c>
      <c r="F550"/>
      <c r="G550"/>
      <c r="H550"/>
      <c r="I550"/>
      <c r="J550"/>
      <c r="K550"/>
      <c r="L550"/>
      <c r="M550"/>
      <c r="N550"/>
      <c r="O550"/>
    </row>
    <row r="551" spans="1:15" hidden="1" x14ac:dyDescent="0.25">
      <c r="A551" t="s">
        <v>106</v>
      </c>
      <c r="B551" t="s">
        <v>115</v>
      </c>
      <c r="C551" t="b">
        <v>0</v>
      </c>
      <c r="D551" s="1">
        <v>37316</v>
      </c>
      <c r="E551">
        <v>2</v>
      </c>
      <c r="F551"/>
      <c r="G551"/>
      <c r="H551"/>
      <c r="I551"/>
      <c r="J551"/>
      <c r="K551"/>
      <c r="L551"/>
      <c r="M551"/>
      <c r="N551"/>
      <c r="O551"/>
    </row>
    <row r="552" spans="1:15" hidden="1" x14ac:dyDescent="0.25">
      <c r="A552" t="s">
        <v>106</v>
      </c>
      <c r="B552" t="s">
        <v>115</v>
      </c>
      <c r="C552" t="b">
        <v>0</v>
      </c>
      <c r="D552" s="1">
        <v>37316</v>
      </c>
      <c r="E552">
        <v>2</v>
      </c>
      <c r="F552"/>
      <c r="G552"/>
      <c r="H552"/>
      <c r="I552"/>
      <c r="J552"/>
      <c r="K552"/>
      <c r="L552"/>
      <c r="M552"/>
      <c r="N552"/>
      <c r="O552"/>
    </row>
    <row r="553" spans="1:15" hidden="1" x14ac:dyDescent="0.25">
      <c r="A553" t="s">
        <v>106</v>
      </c>
      <c r="B553" t="s">
        <v>115</v>
      </c>
      <c r="C553" t="b">
        <v>0</v>
      </c>
      <c r="D553" s="1">
        <v>37316</v>
      </c>
      <c r="E553">
        <v>2</v>
      </c>
      <c r="F553"/>
      <c r="G553"/>
      <c r="H553"/>
      <c r="I553"/>
      <c r="J553"/>
      <c r="K553"/>
      <c r="L553"/>
      <c r="M553"/>
      <c r="N553"/>
      <c r="O553"/>
    </row>
    <row r="554" spans="1:15" hidden="1" x14ac:dyDescent="0.25">
      <c r="A554" t="s">
        <v>106</v>
      </c>
      <c r="B554" t="s">
        <v>115</v>
      </c>
      <c r="C554" t="b">
        <v>0</v>
      </c>
      <c r="D554" s="1">
        <v>37316</v>
      </c>
      <c r="E554">
        <v>2</v>
      </c>
      <c r="F554"/>
      <c r="G554"/>
      <c r="H554"/>
      <c r="I554"/>
      <c r="J554"/>
      <c r="K554"/>
      <c r="L554"/>
      <c r="M554"/>
      <c r="N554"/>
      <c r="O554"/>
    </row>
    <row r="555" spans="1:15" hidden="1" x14ac:dyDescent="0.25">
      <c r="A555" t="s">
        <v>106</v>
      </c>
      <c r="B555" t="s">
        <v>115</v>
      </c>
      <c r="C555" t="b">
        <v>0</v>
      </c>
      <c r="D555" s="1">
        <v>37316</v>
      </c>
      <c r="E555">
        <v>2</v>
      </c>
      <c r="F555"/>
      <c r="G555"/>
      <c r="H555"/>
      <c r="I555"/>
      <c r="J555"/>
      <c r="K555"/>
      <c r="L555"/>
      <c r="M555"/>
      <c r="N555"/>
      <c r="O555"/>
    </row>
    <row r="556" spans="1:15" hidden="1" x14ac:dyDescent="0.25">
      <c r="A556" t="s">
        <v>106</v>
      </c>
      <c r="B556" t="s">
        <v>115</v>
      </c>
      <c r="C556" t="b">
        <v>0</v>
      </c>
      <c r="D556" s="1">
        <v>37316</v>
      </c>
      <c r="E556">
        <v>2</v>
      </c>
      <c r="F556"/>
      <c r="G556"/>
      <c r="H556"/>
      <c r="I556"/>
      <c r="J556"/>
      <c r="K556"/>
      <c r="L556"/>
      <c r="M556"/>
      <c r="N556"/>
      <c r="O556"/>
    </row>
    <row r="557" spans="1:15" hidden="1" x14ac:dyDescent="0.25">
      <c r="A557" t="s">
        <v>106</v>
      </c>
      <c r="B557" t="s">
        <v>115</v>
      </c>
      <c r="C557" t="b">
        <v>0</v>
      </c>
      <c r="D557" s="1">
        <v>37316</v>
      </c>
      <c r="E557">
        <v>2</v>
      </c>
      <c r="F557"/>
      <c r="G557"/>
      <c r="H557"/>
      <c r="I557"/>
      <c r="J557"/>
      <c r="K557"/>
      <c r="L557"/>
      <c r="M557"/>
      <c r="N557"/>
      <c r="O557"/>
    </row>
    <row r="558" spans="1:15" hidden="1" x14ac:dyDescent="0.25">
      <c r="A558" t="s">
        <v>106</v>
      </c>
      <c r="B558" t="s">
        <v>115</v>
      </c>
      <c r="C558" t="b">
        <v>0</v>
      </c>
      <c r="D558" s="1">
        <v>37316</v>
      </c>
      <c r="E558">
        <v>2</v>
      </c>
      <c r="F558"/>
      <c r="G558"/>
      <c r="H558"/>
      <c r="I558"/>
      <c r="J558"/>
      <c r="K558"/>
      <c r="L558"/>
      <c r="M558"/>
      <c r="N558"/>
      <c r="O558"/>
    </row>
    <row r="559" spans="1:15" hidden="1" x14ac:dyDescent="0.25">
      <c r="A559" t="s">
        <v>106</v>
      </c>
      <c r="B559" t="s">
        <v>115</v>
      </c>
      <c r="C559" t="b">
        <v>0</v>
      </c>
      <c r="D559" s="1">
        <v>37316</v>
      </c>
      <c r="E559">
        <v>2</v>
      </c>
      <c r="F559"/>
      <c r="G559"/>
      <c r="H559"/>
      <c r="I559"/>
      <c r="J559"/>
      <c r="K559"/>
      <c r="L559"/>
      <c r="M559"/>
      <c r="N559"/>
      <c r="O559"/>
    </row>
    <row r="560" spans="1:15" hidden="1" x14ac:dyDescent="0.25">
      <c r="A560" t="s">
        <v>106</v>
      </c>
      <c r="B560" t="s">
        <v>115</v>
      </c>
      <c r="C560" t="b">
        <v>0</v>
      </c>
      <c r="D560" s="1">
        <v>37316</v>
      </c>
      <c r="E560">
        <v>2</v>
      </c>
      <c r="F560"/>
      <c r="G560"/>
      <c r="H560"/>
      <c r="I560"/>
      <c r="J560"/>
      <c r="K560"/>
      <c r="L560"/>
      <c r="M560"/>
      <c r="N560"/>
      <c r="O560"/>
    </row>
    <row r="561" spans="1:15" hidden="1" x14ac:dyDescent="0.25">
      <c r="A561" t="s">
        <v>106</v>
      </c>
      <c r="B561" t="s">
        <v>115</v>
      </c>
      <c r="C561" t="b">
        <v>0</v>
      </c>
      <c r="D561" s="1">
        <v>37316</v>
      </c>
      <c r="E561">
        <v>2</v>
      </c>
      <c r="F561"/>
      <c r="G561"/>
      <c r="H561"/>
      <c r="I561"/>
      <c r="J561"/>
      <c r="K561"/>
      <c r="L561"/>
      <c r="M561"/>
      <c r="N561"/>
      <c r="O561"/>
    </row>
    <row r="562" spans="1:15" hidden="1" x14ac:dyDescent="0.25">
      <c r="A562" t="s">
        <v>106</v>
      </c>
      <c r="B562" t="s">
        <v>115</v>
      </c>
      <c r="C562" t="b">
        <v>0</v>
      </c>
      <c r="D562" s="1">
        <v>37316</v>
      </c>
      <c r="E562">
        <v>2</v>
      </c>
      <c r="F562"/>
      <c r="G562"/>
      <c r="H562"/>
      <c r="I562"/>
      <c r="J562"/>
      <c r="K562"/>
      <c r="L562"/>
      <c r="M562"/>
      <c r="N562"/>
      <c r="O562"/>
    </row>
    <row r="563" spans="1:15" hidden="1" x14ac:dyDescent="0.25">
      <c r="A563" t="s">
        <v>43</v>
      </c>
      <c r="B563" t="s">
        <v>115</v>
      </c>
      <c r="C563" t="b">
        <v>0</v>
      </c>
      <c r="D563" s="1">
        <v>37316</v>
      </c>
      <c r="E563">
        <v>2</v>
      </c>
      <c r="F563"/>
      <c r="G563"/>
      <c r="H563"/>
      <c r="I563"/>
      <c r="J563"/>
      <c r="K563"/>
      <c r="L563"/>
      <c r="M563"/>
      <c r="N563"/>
      <c r="O563"/>
    </row>
    <row r="564" spans="1:15" hidden="1" x14ac:dyDescent="0.25">
      <c r="A564" t="s">
        <v>30</v>
      </c>
      <c r="B564" t="s">
        <v>115</v>
      </c>
      <c r="C564" t="b">
        <v>0</v>
      </c>
      <c r="D564" s="1">
        <v>37316</v>
      </c>
      <c r="E564">
        <v>2</v>
      </c>
      <c r="F564"/>
      <c r="G564"/>
      <c r="H564"/>
      <c r="I564"/>
      <c r="J564"/>
      <c r="K564"/>
      <c r="L564"/>
      <c r="M564"/>
      <c r="N564"/>
      <c r="O564"/>
    </row>
    <row r="565" spans="1:15" hidden="1" x14ac:dyDescent="0.25">
      <c r="A565" t="s">
        <v>39</v>
      </c>
      <c r="B565" t="s">
        <v>115</v>
      </c>
      <c r="C565" t="b">
        <v>0</v>
      </c>
      <c r="D565" s="1">
        <v>37316</v>
      </c>
      <c r="E565">
        <v>2</v>
      </c>
      <c r="F565"/>
      <c r="G565"/>
      <c r="H565"/>
      <c r="I565"/>
      <c r="J565"/>
      <c r="K565"/>
      <c r="L565"/>
      <c r="M565"/>
      <c r="N565"/>
      <c r="O565"/>
    </row>
    <row r="566" spans="1:15" hidden="1" x14ac:dyDescent="0.25">
      <c r="A566" t="s">
        <v>57</v>
      </c>
      <c r="B566" t="s">
        <v>115</v>
      </c>
      <c r="C566" t="b">
        <v>0</v>
      </c>
      <c r="D566" s="1">
        <v>37316</v>
      </c>
      <c r="E566">
        <v>2</v>
      </c>
      <c r="F566"/>
      <c r="G566"/>
      <c r="H566"/>
      <c r="I566"/>
      <c r="J566"/>
      <c r="K566"/>
      <c r="L566"/>
      <c r="M566"/>
      <c r="N566"/>
      <c r="O566"/>
    </row>
    <row r="567" spans="1:15" hidden="1" x14ac:dyDescent="0.25">
      <c r="A567" t="s">
        <v>100</v>
      </c>
      <c r="B567" t="s">
        <v>117</v>
      </c>
      <c r="C567" t="b">
        <v>0</v>
      </c>
      <c r="D567" s="1">
        <v>37347</v>
      </c>
      <c r="E567" s="2">
        <v>-22.14</v>
      </c>
      <c r="F567"/>
      <c r="G567"/>
      <c r="H567"/>
      <c r="I567"/>
      <c r="J567"/>
      <c r="K567"/>
      <c r="L567"/>
      <c r="M567"/>
      <c r="N567"/>
      <c r="O567"/>
    </row>
    <row r="568" spans="1:15" hidden="1" x14ac:dyDescent="0.25">
      <c r="A568" t="s">
        <v>102</v>
      </c>
      <c r="B568" t="s">
        <v>117</v>
      </c>
      <c r="C568" t="b">
        <v>0</v>
      </c>
      <c r="D568" s="1">
        <v>37347</v>
      </c>
      <c r="E568" s="2">
        <v>-5.33</v>
      </c>
      <c r="F568"/>
      <c r="G568"/>
      <c r="H568"/>
      <c r="I568"/>
      <c r="J568"/>
      <c r="K568"/>
      <c r="L568"/>
      <c r="M568"/>
      <c r="N568"/>
      <c r="O568"/>
    </row>
    <row r="569" spans="1:15" hidden="1" x14ac:dyDescent="0.25">
      <c r="A569" t="s">
        <v>103</v>
      </c>
      <c r="B569" t="s">
        <v>117</v>
      </c>
      <c r="C569" t="b">
        <v>0</v>
      </c>
      <c r="D569" s="1">
        <v>37347</v>
      </c>
      <c r="E569" s="2">
        <v>-17.53</v>
      </c>
      <c r="F569"/>
      <c r="G569"/>
      <c r="H569"/>
      <c r="I569"/>
      <c r="J569"/>
      <c r="K569"/>
      <c r="L569"/>
      <c r="M569"/>
      <c r="N569"/>
      <c r="O569"/>
    </row>
    <row r="570" spans="1:15" hidden="1" x14ac:dyDescent="0.25">
      <c r="A570" t="s">
        <v>108</v>
      </c>
      <c r="B570" t="s">
        <v>115</v>
      </c>
      <c r="C570" t="b">
        <v>0</v>
      </c>
      <c r="D570" s="1">
        <v>37347</v>
      </c>
      <c r="E570">
        <v>2</v>
      </c>
      <c r="F570"/>
      <c r="G570"/>
      <c r="H570"/>
      <c r="I570"/>
      <c r="J570"/>
      <c r="K570"/>
      <c r="L570"/>
      <c r="M570"/>
      <c r="N570"/>
      <c r="O570"/>
    </row>
    <row r="571" spans="1:15" hidden="1" x14ac:dyDescent="0.25">
      <c r="A571" t="s">
        <v>13</v>
      </c>
      <c r="B571" t="s">
        <v>115</v>
      </c>
      <c r="C571" t="b">
        <v>0</v>
      </c>
      <c r="D571" s="1">
        <v>37347</v>
      </c>
      <c r="E571">
        <v>2</v>
      </c>
      <c r="F571"/>
      <c r="G571"/>
      <c r="H571"/>
      <c r="I571"/>
      <c r="J571"/>
      <c r="K571"/>
      <c r="L571"/>
      <c r="M571"/>
      <c r="N571"/>
      <c r="O571"/>
    </row>
    <row r="572" spans="1:15" hidden="1" x14ac:dyDescent="0.25">
      <c r="A572" t="s">
        <v>12</v>
      </c>
      <c r="B572" t="s">
        <v>115</v>
      </c>
      <c r="C572" t="b">
        <v>0</v>
      </c>
      <c r="D572" s="1">
        <v>37347</v>
      </c>
      <c r="E572">
        <v>4</v>
      </c>
      <c r="F572"/>
      <c r="G572"/>
      <c r="H572"/>
      <c r="I572"/>
      <c r="J572"/>
      <c r="K572"/>
      <c r="L572"/>
      <c r="M572"/>
      <c r="N572"/>
      <c r="O572"/>
    </row>
    <row r="573" spans="1:15" hidden="1" x14ac:dyDescent="0.25">
      <c r="A573" t="s">
        <v>14</v>
      </c>
      <c r="B573" t="s">
        <v>115</v>
      </c>
      <c r="C573" t="b">
        <v>0</v>
      </c>
      <c r="D573" s="1">
        <v>37347</v>
      </c>
      <c r="E573">
        <v>2</v>
      </c>
      <c r="F573"/>
      <c r="G573"/>
      <c r="H573"/>
      <c r="I573"/>
      <c r="J573"/>
      <c r="K573"/>
      <c r="L573"/>
      <c r="M573"/>
      <c r="N573"/>
      <c r="O573"/>
    </row>
    <row r="574" spans="1:15" hidden="1" x14ac:dyDescent="0.25">
      <c r="A574" t="s">
        <v>15</v>
      </c>
      <c r="B574" t="s">
        <v>115</v>
      </c>
      <c r="C574" t="b">
        <v>0</v>
      </c>
      <c r="D574" s="1">
        <v>37347</v>
      </c>
      <c r="E574">
        <v>2</v>
      </c>
      <c r="F574"/>
      <c r="G574"/>
      <c r="H574"/>
      <c r="I574"/>
      <c r="J574"/>
      <c r="K574"/>
      <c r="L574"/>
      <c r="M574"/>
      <c r="N574"/>
      <c r="O574"/>
    </row>
    <row r="575" spans="1:15" hidden="1" x14ac:dyDescent="0.25">
      <c r="A575" t="s">
        <v>106</v>
      </c>
      <c r="B575" t="s">
        <v>115</v>
      </c>
      <c r="C575" t="b">
        <v>0</v>
      </c>
      <c r="D575" s="1">
        <v>37347</v>
      </c>
      <c r="E575">
        <v>2</v>
      </c>
      <c r="F575"/>
      <c r="G575"/>
      <c r="H575"/>
      <c r="I575"/>
      <c r="J575"/>
      <c r="K575"/>
      <c r="L575"/>
      <c r="M575"/>
      <c r="N575"/>
      <c r="O575"/>
    </row>
    <row r="576" spans="1:15" hidden="1" x14ac:dyDescent="0.25">
      <c r="A576" t="s">
        <v>106</v>
      </c>
      <c r="B576" t="s">
        <v>115</v>
      </c>
      <c r="C576" t="b">
        <v>0</v>
      </c>
      <c r="D576" s="1">
        <v>37347</v>
      </c>
      <c r="E576">
        <v>2</v>
      </c>
      <c r="F576"/>
      <c r="G576"/>
      <c r="H576"/>
      <c r="I576"/>
      <c r="J576"/>
      <c r="K576"/>
      <c r="L576"/>
      <c r="M576"/>
      <c r="N576"/>
      <c r="O576"/>
    </row>
    <row r="577" spans="1:15" hidden="1" x14ac:dyDescent="0.25">
      <c r="A577" t="s">
        <v>106</v>
      </c>
      <c r="B577" t="s">
        <v>115</v>
      </c>
      <c r="C577" t="b">
        <v>0</v>
      </c>
      <c r="D577" s="1">
        <v>37347</v>
      </c>
      <c r="E577">
        <v>2</v>
      </c>
      <c r="F577"/>
      <c r="G577"/>
      <c r="H577"/>
      <c r="I577"/>
      <c r="J577"/>
      <c r="K577"/>
      <c r="L577"/>
      <c r="M577"/>
      <c r="N577"/>
      <c r="O577"/>
    </row>
    <row r="578" spans="1:15" hidden="1" x14ac:dyDescent="0.25">
      <c r="A578" t="s">
        <v>106</v>
      </c>
      <c r="B578" t="s">
        <v>115</v>
      </c>
      <c r="C578" t="b">
        <v>0</v>
      </c>
      <c r="D578" s="1">
        <v>37347</v>
      </c>
      <c r="E578">
        <v>2</v>
      </c>
      <c r="F578"/>
      <c r="G578"/>
      <c r="H578"/>
      <c r="I578"/>
      <c r="J578"/>
      <c r="K578"/>
      <c r="L578"/>
      <c r="M578"/>
      <c r="N578"/>
      <c r="O578"/>
    </row>
    <row r="579" spans="1:15" hidden="1" x14ac:dyDescent="0.25">
      <c r="A579" t="s">
        <v>106</v>
      </c>
      <c r="B579" t="s">
        <v>115</v>
      </c>
      <c r="C579" t="b">
        <v>0</v>
      </c>
      <c r="D579" s="1">
        <v>37347</v>
      </c>
      <c r="E579">
        <v>2</v>
      </c>
      <c r="F579"/>
      <c r="G579"/>
      <c r="H579"/>
      <c r="I579"/>
      <c r="J579"/>
      <c r="K579"/>
      <c r="L579"/>
      <c r="M579"/>
      <c r="N579"/>
      <c r="O579"/>
    </row>
    <row r="580" spans="1:15" hidden="1" x14ac:dyDescent="0.25">
      <c r="A580" t="s">
        <v>106</v>
      </c>
      <c r="B580" t="s">
        <v>115</v>
      </c>
      <c r="C580" t="b">
        <v>0</v>
      </c>
      <c r="D580" s="1">
        <v>37347</v>
      </c>
      <c r="E580">
        <v>2</v>
      </c>
      <c r="F580"/>
      <c r="G580"/>
      <c r="H580"/>
      <c r="I580"/>
      <c r="J580"/>
      <c r="K580"/>
      <c r="L580"/>
      <c r="M580"/>
      <c r="N580"/>
      <c r="O580"/>
    </row>
    <row r="581" spans="1:15" hidden="1" x14ac:dyDescent="0.25">
      <c r="A581" t="s">
        <v>106</v>
      </c>
      <c r="B581" t="s">
        <v>115</v>
      </c>
      <c r="C581" t="b">
        <v>0</v>
      </c>
      <c r="D581" s="1">
        <v>37347</v>
      </c>
      <c r="E581">
        <v>2</v>
      </c>
      <c r="F581"/>
      <c r="G581"/>
      <c r="H581"/>
      <c r="I581"/>
      <c r="J581"/>
      <c r="K581"/>
      <c r="L581"/>
      <c r="M581"/>
      <c r="N581"/>
      <c r="O581"/>
    </row>
    <row r="582" spans="1:15" hidden="1" x14ac:dyDescent="0.25">
      <c r="A582" t="s">
        <v>106</v>
      </c>
      <c r="B582" t="s">
        <v>115</v>
      </c>
      <c r="C582" t="b">
        <v>0</v>
      </c>
      <c r="D582" s="1">
        <v>37347</v>
      </c>
      <c r="E582">
        <v>2</v>
      </c>
      <c r="F582"/>
      <c r="G582"/>
      <c r="H582"/>
      <c r="I582"/>
      <c r="J582"/>
      <c r="K582"/>
      <c r="L582"/>
      <c r="M582"/>
      <c r="N582"/>
      <c r="O582"/>
    </row>
    <row r="583" spans="1:15" hidden="1" x14ac:dyDescent="0.25">
      <c r="A583" t="s">
        <v>106</v>
      </c>
      <c r="B583" t="s">
        <v>115</v>
      </c>
      <c r="C583" t="b">
        <v>0</v>
      </c>
      <c r="D583" s="1">
        <v>37347</v>
      </c>
      <c r="E583">
        <v>2</v>
      </c>
      <c r="F583"/>
      <c r="G583"/>
      <c r="H583"/>
      <c r="I583"/>
      <c r="J583"/>
      <c r="K583"/>
      <c r="L583"/>
      <c r="M583"/>
      <c r="N583"/>
      <c r="O583"/>
    </row>
    <row r="584" spans="1:15" hidden="1" x14ac:dyDescent="0.25">
      <c r="A584" t="s">
        <v>106</v>
      </c>
      <c r="B584" t="s">
        <v>115</v>
      </c>
      <c r="C584" t="b">
        <v>0</v>
      </c>
      <c r="D584" s="1">
        <v>37347</v>
      </c>
      <c r="E584">
        <v>2</v>
      </c>
      <c r="F584"/>
      <c r="G584"/>
      <c r="H584"/>
      <c r="I584"/>
      <c r="J584"/>
      <c r="K584"/>
      <c r="L584"/>
      <c r="M584"/>
      <c r="N584"/>
      <c r="O584"/>
    </row>
    <row r="585" spans="1:15" hidden="1" x14ac:dyDescent="0.25">
      <c r="A585" t="s">
        <v>106</v>
      </c>
      <c r="B585" t="s">
        <v>115</v>
      </c>
      <c r="C585" t="b">
        <v>0</v>
      </c>
      <c r="D585" s="1">
        <v>37347</v>
      </c>
      <c r="E585">
        <v>2</v>
      </c>
      <c r="F585"/>
      <c r="G585"/>
      <c r="H585"/>
      <c r="I585"/>
      <c r="J585"/>
      <c r="K585"/>
      <c r="L585"/>
      <c r="M585"/>
      <c r="N585"/>
      <c r="O585"/>
    </row>
    <row r="586" spans="1:15" hidden="1" x14ac:dyDescent="0.25">
      <c r="A586" t="s">
        <v>106</v>
      </c>
      <c r="B586" t="s">
        <v>115</v>
      </c>
      <c r="C586" t="b">
        <v>0</v>
      </c>
      <c r="D586" s="1">
        <v>37347</v>
      </c>
      <c r="E586">
        <v>2</v>
      </c>
      <c r="F586"/>
      <c r="G586"/>
      <c r="H586"/>
      <c r="I586"/>
      <c r="J586"/>
      <c r="K586"/>
      <c r="L586"/>
      <c r="M586"/>
      <c r="N586"/>
      <c r="O586"/>
    </row>
    <row r="587" spans="1:15" hidden="1" x14ac:dyDescent="0.25">
      <c r="A587" t="s">
        <v>106</v>
      </c>
      <c r="B587" t="s">
        <v>115</v>
      </c>
      <c r="C587" t="b">
        <v>0</v>
      </c>
      <c r="D587" s="1">
        <v>37347</v>
      </c>
      <c r="E587">
        <v>2</v>
      </c>
      <c r="F587"/>
      <c r="G587"/>
      <c r="H587"/>
      <c r="I587"/>
      <c r="J587"/>
      <c r="K587"/>
      <c r="L587"/>
      <c r="M587"/>
      <c r="N587"/>
      <c r="O587"/>
    </row>
    <row r="588" spans="1:15" hidden="1" x14ac:dyDescent="0.25">
      <c r="A588" t="s">
        <v>106</v>
      </c>
      <c r="B588" t="s">
        <v>115</v>
      </c>
      <c r="C588" t="b">
        <v>0</v>
      </c>
      <c r="D588" s="1">
        <v>37347</v>
      </c>
      <c r="E588">
        <v>2</v>
      </c>
      <c r="F588"/>
      <c r="G588"/>
      <c r="H588"/>
      <c r="I588"/>
      <c r="J588"/>
      <c r="K588"/>
      <c r="L588"/>
      <c r="M588"/>
      <c r="N588"/>
      <c r="O588"/>
    </row>
    <row r="589" spans="1:15" hidden="1" x14ac:dyDescent="0.25">
      <c r="A589" t="s">
        <v>106</v>
      </c>
      <c r="B589" t="s">
        <v>115</v>
      </c>
      <c r="C589" t="b">
        <v>0</v>
      </c>
      <c r="D589" s="1">
        <v>37347</v>
      </c>
      <c r="E589">
        <v>2</v>
      </c>
      <c r="F589"/>
      <c r="G589"/>
      <c r="H589"/>
      <c r="I589"/>
      <c r="J589"/>
      <c r="K589"/>
      <c r="L589"/>
      <c r="M589"/>
      <c r="N589"/>
      <c r="O589"/>
    </row>
    <row r="590" spans="1:15" hidden="1" x14ac:dyDescent="0.25">
      <c r="A590" t="s">
        <v>106</v>
      </c>
      <c r="B590" t="s">
        <v>115</v>
      </c>
      <c r="C590" t="b">
        <v>0</v>
      </c>
      <c r="D590" s="1">
        <v>37347</v>
      </c>
      <c r="E590">
        <v>2</v>
      </c>
      <c r="F590"/>
      <c r="G590"/>
      <c r="H590"/>
      <c r="I590"/>
      <c r="J590"/>
      <c r="K590"/>
      <c r="L590"/>
      <c r="M590"/>
      <c r="N590"/>
      <c r="O590"/>
    </row>
    <row r="591" spans="1:15" hidden="1" x14ac:dyDescent="0.25">
      <c r="A591" t="s">
        <v>106</v>
      </c>
      <c r="B591" t="s">
        <v>115</v>
      </c>
      <c r="C591" t="b">
        <v>0</v>
      </c>
      <c r="D591" s="1">
        <v>37347</v>
      </c>
      <c r="E591">
        <v>2</v>
      </c>
      <c r="F591"/>
      <c r="G591"/>
      <c r="H591"/>
      <c r="I591"/>
      <c r="J591"/>
      <c r="K591"/>
      <c r="L591"/>
      <c r="M591"/>
      <c r="N591"/>
      <c r="O591"/>
    </row>
    <row r="592" spans="1:15" hidden="1" x14ac:dyDescent="0.25">
      <c r="A592" t="s">
        <v>106</v>
      </c>
      <c r="B592" t="s">
        <v>115</v>
      </c>
      <c r="C592" t="b">
        <v>0</v>
      </c>
      <c r="D592" s="1">
        <v>37347</v>
      </c>
      <c r="E592">
        <v>2</v>
      </c>
      <c r="F592"/>
      <c r="G592"/>
      <c r="H592"/>
      <c r="I592"/>
      <c r="J592"/>
      <c r="K592"/>
      <c r="L592"/>
      <c r="M592"/>
      <c r="N592"/>
      <c r="O592"/>
    </row>
    <row r="593" spans="1:15" hidden="1" x14ac:dyDescent="0.25">
      <c r="A593" t="s">
        <v>106</v>
      </c>
      <c r="B593" t="s">
        <v>115</v>
      </c>
      <c r="C593" t="b">
        <v>0</v>
      </c>
      <c r="D593" s="1">
        <v>37347</v>
      </c>
      <c r="E593">
        <v>2</v>
      </c>
      <c r="F593"/>
      <c r="G593"/>
      <c r="H593"/>
      <c r="I593"/>
      <c r="J593"/>
      <c r="K593"/>
      <c r="L593"/>
      <c r="M593"/>
      <c r="N593"/>
      <c r="O593"/>
    </row>
    <row r="594" spans="1:15" hidden="1" x14ac:dyDescent="0.25">
      <c r="A594" t="s">
        <v>106</v>
      </c>
      <c r="B594" t="s">
        <v>115</v>
      </c>
      <c r="C594" t="b">
        <v>0</v>
      </c>
      <c r="D594" s="1">
        <v>37347</v>
      </c>
      <c r="E594">
        <v>2</v>
      </c>
      <c r="F594"/>
      <c r="G594"/>
      <c r="H594"/>
      <c r="I594"/>
      <c r="J594"/>
      <c r="K594"/>
      <c r="L594"/>
      <c r="M594"/>
      <c r="N594"/>
      <c r="O594"/>
    </row>
    <row r="595" spans="1:15" hidden="1" x14ac:dyDescent="0.25">
      <c r="A595" t="s">
        <v>106</v>
      </c>
      <c r="B595" t="s">
        <v>115</v>
      </c>
      <c r="C595" t="b">
        <v>0</v>
      </c>
      <c r="D595" s="1">
        <v>37347</v>
      </c>
      <c r="E595">
        <v>2</v>
      </c>
      <c r="F595"/>
      <c r="G595"/>
      <c r="H595"/>
      <c r="I595"/>
      <c r="J595"/>
      <c r="K595"/>
      <c r="L595"/>
      <c r="M595"/>
      <c r="N595"/>
      <c r="O595"/>
    </row>
    <row r="596" spans="1:15" hidden="1" x14ac:dyDescent="0.25">
      <c r="A596" t="s">
        <v>106</v>
      </c>
      <c r="B596" t="s">
        <v>115</v>
      </c>
      <c r="C596" t="b">
        <v>0</v>
      </c>
      <c r="D596" s="1">
        <v>37347</v>
      </c>
      <c r="E596">
        <v>2</v>
      </c>
      <c r="F596"/>
      <c r="G596"/>
      <c r="H596"/>
      <c r="I596"/>
      <c r="J596"/>
      <c r="K596"/>
      <c r="L596"/>
      <c r="M596"/>
      <c r="N596"/>
      <c r="O596"/>
    </row>
    <row r="597" spans="1:15" hidden="1" x14ac:dyDescent="0.25">
      <c r="A597" t="s">
        <v>106</v>
      </c>
      <c r="B597" t="s">
        <v>115</v>
      </c>
      <c r="C597" t="b">
        <v>0</v>
      </c>
      <c r="D597" s="1">
        <v>37347</v>
      </c>
      <c r="E597">
        <v>2</v>
      </c>
      <c r="F597"/>
      <c r="G597"/>
      <c r="H597"/>
      <c r="I597"/>
      <c r="J597"/>
      <c r="K597"/>
      <c r="L597"/>
      <c r="M597"/>
      <c r="N597"/>
      <c r="O597"/>
    </row>
    <row r="598" spans="1:15" hidden="1" x14ac:dyDescent="0.25">
      <c r="A598" t="s">
        <v>106</v>
      </c>
      <c r="B598" t="s">
        <v>115</v>
      </c>
      <c r="C598" t="b">
        <v>0</v>
      </c>
      <c r="D598" s="1">
        <v>37347</v>
      </c>
      <c r="E598">
        <v>1</v>
      </c>
      <c r="F598"/>
      <c r="G598"/>
      <c r="H598"/>
      <c r="I598"/>
      <c r="J598"/>
      <c r="K598"/>
      <c r="L598"/>
      <c r="M598"/>
      <c r="N598"/>
      <c r="O598"/>
    </row>
    <row r="599" spans="1:15" hidden="1" x14ac:dyDescent="0.25">
      <c r="A599" t="s">
        <v>106</v>
      </c>
      <c r="B599" t="s">
        <v>115</v>
      </c>
      <c r="C599" t="b">
        <v>0</v>
      </c>
      <c r="D599" s="1">
        <v>37347</v>
      </c>
      <c r="E599">
        <v>2</v>
      </c>
      <c r="F599"/>
      <c r="G599"/>
      <c r="H599"/>
      <c r="I599"/>
      <c r="J599"/>
      <c r="K599"/>
      <c r="L599"/>
      <c r="M599"/>
      <c r="N599"/>
      <c r="O599"/>
    </row>
    <row r="600" spans="1:15" hidden="1" x14ac:dyDescent="0.25">
      <c r="A600" t="s">
        <v>106</v>
      </c>
      <c r="B600" t="s">
        <v>115</v>
      </c>
      <c r="C600" t="b">
        <v>0</v>
      </c>
      <c r="D600" s="1">
        <v>37347</v>
      </c>
      <c r="E600">
        <v>2</v>
      </c>
      <c r="F600"/>
      <c r="G600"/>
      <c r="H600"/>
      <c r="I600"/>
      <c r="J600"/>
      <c r="K600"/>
      <c r="L600"/>
      <c r="M600"/>
      <c r="N600"/>
      <c r="O600"/>
    </row>
    <row r="601" spans="1:15" hidden="1" x14ac:dyDescent="0.25">
      <c r="A601" t="s">
        <v>106</v>
      </c>
      <c r="B601" t="s">
        <v>115</v>
      </c>
      <c r="C601" t="b">
        <v>0</v>
      </c>
      <c r="D601" s="1">
        <v>37347</v>
      </c>
      <c r="E601">
        <v>2</v>
      </c>
      <c r="F601"/>
      <c r="G601"/>
      <c r="H601"/>
      <c r="I601"/>
      <c r="J601"/>
      <c r="K601"/>
      <c r="L601"/>
      <c r="M601"/>
      <c r="N601"/>
      <c r="O601"/>
    </row>
    <row r="602" spans="1:15" hidden="1" x14ac:dyDescent="0.25">
      <c r="A602" t="s">
        <v>43</v>
      </c>
      <c r="B602" t="s">
        <v>115</v>
      </c>
      <c r="C602" t="b">
        <v>0</v>
      </c>
      <c r="D602" s="1">
        <v>37347</v>
      </c>
      <c r="E602">
        <v>2</v>
      </c>
      <c r="F602"/>
      <c r="G602"/>
      <c r="H602"/>
      <c r="I602"/>
      <c r="J602"/>
      <c r="K602"/>
      <c r="L602"/>
      <c r="M602"/>
      <c r="N602"/>
      <c r="O602"/>
    </row>
    <row r="603" spans="1:15" hidden="1" x14ac:dyDescent="0.25">
      <c r="A603" t="s">
        <v>30</v>
      </c>
      <c r="B603" t="s">
        <v>115</v>
      </c>
      <c r="C603" t="b">
        <v>0</v>
      </c>
      <c r="D603" s="1">
        <v>37347</v>
      </c>
      <c r="E603">
        <v>2</v>
      </c>
      <c r="F603"/>
      <c r="G603"/>
      <c r="H603"/>
      <c r="I603"/>
      <c r="J603"/>
      <c r="K603"/>
      <c r="L603"/>
      <c r="M603"/>
      <c r="N603"/>
      <c r="O603"/>
    </row>
    <row r="604" spans="1:15" hidden="1" x14ac:dyDescent="0.25">
      <c r="A604" t="s">
        <v>39</v>
      </c>
      <c r="B604" t="s">
        <v>115</v>
      </c>
      <c r="C604" t="b">
        <v>0</v>
      </c>
      <c r="D604" s="1">
        <v>37347</v>
      </c>
      <c r="E604">
        <v>2</v>
      </c>
      <c r="F604"/>
      <c r="G604"/>
      <c r="H604"/>
      <c r="I604"/>
      <c r="J604"/>
      <c r="K604"/>
      <c r="L604"/>
      <c r="M604"/>
      <c r="N604"/>
      <c r="O604"/>
    </row>
    <row r="605" spans="1:15" hidden="1" x14ac:dyDescent="0.25">
      <c r="A605" t="s">
        <v>57</v>
      </c>
      <c r="B605" t="s">
        <v>115</v>
      </c>
      <c r="C605" t="b">
        <v>0</v>
      </c>
      <c r="D605" s="1">
        <v>37347</v>
      </c>
      <c r="E605">
        <v>2</v>
      </c>
      <c r="F605"/>
      <c r="G605"/>
      <c r="H605"/>
      <c r="I605"/>
      <c r="J605"/>
      <c r="K605"/>
      <c r="L605"/>
      <c r="M605"/>
      <c r="N605"/>
      <c r="O605"/>
    </row>
    <row r="606" spans="1:15" hidden="1" x14ac:dyDescent="0.25">
      <c r="A606" t="s">
        <v>100</v>
      </c>
      <c r="B606" t="s">
        <v>117</v>
      </c>
      <c r="C606" t="b">
        <v>0</v>
      </c>
      <c r="D606" s="1">
        <v>37377</v>
      </c>
      <c r="E606" s="2">
        <v>-72</v>
      </c>
      <c r="F606"/>
      <c r="G606"/>
      <c r="H606"/>
      <c r="I606"/>
      <c r="J606"/>
      <c r="K606"/>
      <c r="L606"/>
      <c r="M606"/>
      <c r="N606"/>
      <c r="O606"/>
    </row>
    <row r="607" spans="1:15" hidden="1" x14ac:dyDescent="0.25">
      <c r="A607" t="s">
        <v>102</v>
      </c>
      <c r="B607" t="s">
        <v>117</v>
      </c>
      <c r="C607" t="b">
        <v>0</v>
      </c>
      <c r="D607" s="1">
        <v>37377</v>
      </c>
      <c r="E607" s="2">
        <v>-31</v>
      </c>
      <c r="F607"/>
      <c r="G607"/>
      <c r="H607"/>
      <c r="I607"/>
      <c r="J607"/>
      <c r="K607"/>
      <c r="L607"/>
      <c r="M607"/>
      <c r="N607"/>
      <c r="O607"/>
    </row>
    <row r="608" spans="1:15" hidden="1" x14ac:dyDescent="0.25">
      <c r="A608" t="s">
        <v>108</v>
      </c>
      <c r="B608" t="s">
        <v>115</v>
      </c>
      <c r="C608" t="b">
        <v>0</v>
      </c>
      <c r="D608" s="1">
        <v>37377</v>
      </c>
      <c r="E608">
        <v>2</v>
      </c>
      <c r="F608"/>
      <c r="G608"/>
      <c r="H608"/>
      <c r="I608"/>
      <c r="J608"/>
      <c r="K608"/>
      <c r="L608"/>
      <c r="M608"/>
      <c r="N608"/>
      <c r="O608"/>
    </row>
    <row r="609" spans="1:15" hidden="1" x14ac:dyDescent="0.25">
      <c r="A609" t="s">
        <v>13</v>
      </c>
      <c r="B609" t="s">
        <v>115</v>
      </c>
      <c r="C609" t="b">
        <v>0</v>
      </c>
      <c r="D609" s="1">
        <v>37377</v>
      </c>
      <c r="E609">
        <v>2</v>
      </c>
      <c r="F609"/>
      <c r="G609"/>
      <c r="H609"/>
      <c r="I609"/>
      <c r="J609"/>
      <c r="K609"/>
      <c r="L609"/>
      <c r="M609"/>
      <c r="N609"/>
      <c r="O609"/>
    </row>
    <row r="610" spans="1:15" hidden="1" x14ac:dyDescent="0.25">
      <c r="A610" t="s">
        <v>12</v>
      </c>
      <c r="B610" t="s">
        <v>115</v>
      </c>
      <c r="C610" t="b">
        <v>0</v>
      </c>
      <c r="D610" s="1">
        <v>37377</v>
      </c>
      <c r="E610">
        <v>2</v>
      </c>
      <c r="F610"/>
      <c r="G610"/>
      <c r="H610"/>
      <c r="I610"/>
      <c r="J610"/>
      <c r="K610"/>
      <c r="L610"/>
      <c r="M610"/>
      <c r="N610"/>
      <c r="O610"/>
    </row>
    <row r="611" spans="1:15" hidden="1" x14ac:dyDescent="0.25">
      <c r="A611" t="s">
        <v>14</v>
      </c>
      <c r="B611" t="s">
        <v>115</v>
      </c>
      <c r="C611" t="b">
        <v>0</v>
      </c>
      <c r="D611" s="1">
        <v>37377</v>
      </c>
      <c r="E611">
        <v>2</v>
      </c>
      <c r="F611"/>
      <c r="G611"/>
      <c r="H611"/>
      <c r="I611"/>
      <c r="J611"/>
      <c r="K611"/>
      <c r="L611"/>
      <c r="M611"/>
      <c r="N611"/>
      <c r="O611"/>
    </row>
    <row r="612" spans="1:15" hidden="1" x14ac:dyDescent="0.25">
      <c r="A612" t="s">
        <v>15</v>
      </c>
      <c r="B612" t="s">
        <v>115</v>
      </c>
      <c r="C612" t="b">
        <v>0</v>
      </c>
      <c r="D612" s="1">
        <v>37377</v>
      </c>
      <c r="E612">
        <v>2</v>
      </c>
      <c r="F612"/>
      <c r="G612"/>
      <c r="H612"/>
      <c r="I612"/>
      <c r="J612"/>
      <c r="K612"/>
      <c r="L612"/>
      <c r="M612"/>
      <c r="N612"/>
      <c r="O612"/>
    </row>
    <row r="613" spans="1:15" hidden="1" x14ac:dyDescent="0.25">
      <c r="A613" t="s">
        <v>106</v>
      </c>
      <c r="B613" t="s">
        <v>115</v>
      </c>
      <c r="C613" t="b">
        <v>0</v>
      </c>
      <c r="D613" s="1">
        <v>37377</v>
      </c>
      <c r="E613">
        <v>2</v>
      </c>
      <c r="F613"/>
      <c r="G613"/>
      <c r="H613"/>
      <c r="I613"/>
      <c r="J613"/>
      <c r="K613"/>
      <c r="L613"/>
      <c r="M613"/>
      <c r="N613"/>
      <c r="O613"/>
    </row>
    <row r="614" spans="1:15" hidden="1" x14ac:dyDescent="0.25">
      <c r="A614" t="s">
        <v>106</v>
      </c>
      <c r="B614" t="s">
        <v>115</v>
      </c>
      <c r="C614" t="b">
        <v>0</v>
      </c>
      <c r="D614" s="1">
        <v>37377</v>
      </c>
      <c r="E614">
        <v>2</v>
      </c>
      <c r="F614"/>
      <c r="G614"/>
      <c r="H614"/>
      <c r="I614"/>
      <c r="J614"/>
      <c r="K614"/>
      <c r="L614"/>
      <c r="M614"/>
      <c r="N614"/>
      <c r="O614"/>
    </row>
    <row r="615" spans="1:15" hidden="1" x14ac:dyDescent="0.25">
      <c r="A615" t="s">
        <v>106</v>
      </c>
      <c r="B615" t="s">
        <v>115</v>
      </c>
      <c r="C615" t="b">
        <v>0</v>
      </c>
      <c r="D615" s="1">
        <v>37377</v>
      </c>
      <c r="E615">
        <v>2</v>
      </c>
      <c r="F615"/>
      <c r="G615"/>
      <c r="H615"/>
      <c r="I615"/>
      <c r="J615"/>
      <c r="K615"/>
      <c r="L615"/>
      <c r="M615"/>
      <c r="N615"/>
      <c r="O615"/>
    </row>
    <row r="616" spans="1:15" hidden="1" x14ac:dyDescent="0.25">
      <c r="A616" t="s">
        <v>106</v>
      </c>
      <c r="B616" t="s">
        <v>115</v>
      </c>
      <c r="C616" t="b">
        <v>0</v>
      </c>
      <c r="D616" s="1">
        <v>37377</v>
      </c>
      <c r="E616">
        <v>2</v>
      </c>
      <c r="F616"/>
      <c r="G616"/>
      <c r="H616"/>
      <c r="I616"/>
      <c r="J616"/>
      <c r="K616"/>
      <c r="L616"/>
      <c r="M616"/>
      <c r="N616"/>
      <c r="O616"/>
    </row>
    <row r="617" spans="1:15" hidden="1" x14ac:dyDescent="0.25">
      <c r="A617" t="s">
        <v>106</v>
      </c>
      <c r="B617" t="s">
        <v>115</v>
      </c>
      <c r="C617" t="b">
        <v>0</v>
      </c>
      <c r="D617" s="1">
        <v>37377</v>
      </c>
      <c r="E617">
        <v>2</v>
      </c>
      <c r="F617"/>
      <c r="G617"/>
      <c r="H617"/>
      <c r="I617"/>
      <c r="J617"/>
      <c r="K617"/>
      <c r="L617"/>
      <c r="M617"/>
      <c r="N617"/>
      <c r="O617"/>
    </row>
    <row r="618" spans="1:15" hidden="1" x14ac:dyDescent="0.25">
      <c r="A618" t="s">
        <v>106</v>
      </c>
      <c r="B618" t="s">
        <v>115</v>
      </c>
      <c r="C618" t="b">
        <v>0</v>
      </c>
      <c r="D618" s="1">
        <v>37377</v>
      </c>
      <c r="E618">
        <v>2</v>
      </c>
      <c r="F618"/>
      <c r="G618"/>
      <c r="H618"/>
      <c r="I618"/>
      <c r="J618"/>
      <c r="K618"/>
      <c r="L618"/>
      <c r="M618"/>
      <c r="N618"/>
      <c r="O618"/>
    </row>
    <row r="619" spans="1:15" hidden="1" x14ac:dyDescent="0.25">
      <c r="A619" t="s">
        <v>106</v>
      </c>
      <c r="B619" t="s">
        <v>115</v>
      </c>
      <c r="C619" t="b">
        <v>0</v>
      </c>
      <c r="D619" s="1">
        <v>37377</v>
      </c>
      <c r="E619">
        <v>2</v>
      </c>
      <c r="F619"/>
      <c r="G619"/>
      <c r="H619"/>
      <c r="I619"/>
      <c r="J619"/>
      <c r="K619"/>
      <c r="L619"/>
      <c r="M619"/>
      <c r="N619"/>
      <c r="O619"/>
    </row>
    <row r="620" spans="1:15" hidden="1" x14ac:dyDescent="0.25">
      <c r="A620" t="s">
        <v>106</v>
      </c>
      <c r="B620" t="s">
        <v>115</v>
      </c>
      <c r="C620" t="b">
        <v>0</v>
      </c>
      <c r="D620" s="1">
        <v>37377</v>
      </c>
      <c r="E620">
        <v>2</v>
      </c>
      <c r="F620"/>
      <c r="G620"/>
      <c r="H620"/>
      <c r="I620"/>
      <c r="J620"/>
      <c r="K620"/>
      <c r="L620"/>
      <c r="M620"/>
      <c r="N620"/>
      <c r="O620"/>
    </row>
    <row r="621" spans="1:15" hidden="1" x14ac:dyDescent="0.25">
      <c r="A621" t="s">
        <v>106</v>
      </c>
      <c r="B621" t="s">
        <v>115</v>
      </c>
      <c r="C621" t="b">
        <v>0</v>
      </c>
      <c r="D621" s="1">
        <v>37377</v>
      </c>
      <c r="E621">
        <v>2</v>
      </c>
      <c r="F621"/>
      <c r="G621"/>
      <c r="H621"/>
      <c r="I621"/>
      <c r="J621"/>
      <c r="K621"/>
      <c r="L621"/>
      <c r="M621"/>
      <c r="N621"/>
      <c r="O621"/>
    </row>
    <row r="622" spans="1:15" hidden="1" x14ac:dyDescent="0.25">
      <c r="A622" t="s">
        <v>106</v>
      </c>
      <c r="B622" t="s">
        <v>115</v>
      </c>
      <c r="C622" t="b">
        <v>0</v>
      </c>
      <c r="D622" s="1">
        <v>37377</v>
      </c>
      <c r="E622">
        <v>2</v>
      </c>
      <c r="F622"/>
      <c r="G622"/>
      <c r="H622"/>
      <c r="I622"/>
      <c r="J622"/>
      <c r="K622"/>
      <c r="L622"/>
      <c r="M622"/>
      <c r="N622"/>
      <c r="O622"/>
    </row>
    <row r="623" spans="1:15" hidden="1" x14ac:dyDescent="0.25">
      <c r="A623" t="s">
        <v>106</v>
      </c>
      <c r="B623" t="s">
        <v>115</v>
      </c>
      <c r="C623" t="b">
        <v>0</v>
      </c>
      <c r="D623" s="1">
        <v>37377</v>
      </c>
      <c r="E623">
        <v>2</v>
      </c>
      <c r="F623"/>
      <c r="G623"/>
      <c r="H623"/>
      <c r="I623"/>
      <c r="J623"/>
      <c r="K623"/>
      <c r="L623"/>
      <c r="M623"/>
      <c r="N623"/>
      <c r="O623"/>
    </row>
    <row r="624" spans="1:15" hidden="1" x14ac:dyDescent="0.25">
      <c r="A624" t="s">
        <v>106</v>
      </c>
      <c r="B624" t="s">
        <v>115</v>
      </c>
      <c r="C624" t="b">
        <v>0</v>
      </c>
      <c r="D624" s="1">
        <v>37377</v>
      </c>
      <c r="E624">
        <v>2</v>
      </c>
      <c r="F624"/>
      <c r="G624"/>
      <c r="H624"/>
      <c r="I624"/>
      <c r="J624"/>
      <c r="K624"/>
      <c r="L624"/>
      <c r="M624"/>
      <c r="N624"/>
      <c r="O624"/>
    </row>
    <row r="625" spans="1:15" hidden="1" x14ac:dyDescent="0.25">
      <c r="A625" t="s">
        <v>106</v>
      </c>
      <c r="B625" t="s">
        <v>115</v>
      </c>
      <c r="C625" t="b">
        <v>0</v>
      </c>
      <c r="D625" s="1">
        <v>37377</v>
      </c>
      <c r="E625">
        <v>2</v>
      </c>
      <c r="F625"/>
      <c r="G625"/>
      <c r="H625"/>
      <c r="I625"/>
      <c r="J625"/>
      <c r="K625"/>
      <c r="L625"/>
      <c r="M625"/>
      <c r="N625"/>
      <c r="O625"/>
    </row>
    <row r="626" spans="1:15" hidden="1" x14ac:dyDescent="0.25">
      <c r="A626" t="s">
        <v>106</v>
      </c>
      <c r="B626" t="s">
        <v>115</v>
      </c>
      <c r="C626" t="b">
        <v>0</v>
      </c>
      <c r="D626" s="1">
        <v>37377</v>
      </c>
      <c r="E626">
        <v>2</v>
      </c>
      <c r="F626"/>
      <c r="G626"/>
      <c r="H626"/>
      <c r="I626"/>
      <c r="J626"/>
      <c r="K626"/>
      <c r="L626"/>
      <c r="M626"/>
      <c r="N626"/>
      <c r="O626"/>
    </row>
    <row r="627" spans="1:15" hidden="1" x14ac:dyDescent="0.25">
      <c r="A627" t="s">
        <v>106</v>
      </c>
      <c r="B627" t="s">
        <v>115</v>
      </c>
      <c r="C627" t="b">
        <v>0</v>
      </c>
      <c r="D627" s="1">
        <v>37377</v>
      </c>
      <c r="E627">
        <v>2</v>
      </c>
      <c r="F627"/>
      <c r="G627"/>
      <c r="H627"/>
      <c r="I627"/>
      <c r="J627"/>
      <c r="K627"/>
      <c r="L627"/>
      <c r="M627"/>
      <c r="N627"/>
      <c r="O627"/>
    </row>
    <row r="628" spans="1:15" hidden="1" x14ac:dyDescent="0.25">
      <c r="A628" t="s">
        <v>106</v>
      </c>
      <c r="B628" t="s">
        <v>115</v>
      </c>
      <c r="C628" t="b">
        <v>0</v>
      </c>
      <c r="D628" s="1">
        <v>37377</v>
      </c>
      <c r="E628">
        <v>2</v>
      </c>
      <c r="F628"/>
      <c r="G628"/>
      <c r="H628"/>
      <c r="I628"/>
      <c r="J628"/>
      <c r="K628"/>
      <c r="L628"/>
      <c r="M628"/>
      <c r="N628"/>
      <c r="O628"/>
    </row>
    <row r="629" spans="1:15" hidden="1" x14ac:dyDescent="0.25">
      <c r="A629" t="s">
        <v>106</v>
      </c>
      <c r="B629" t="s">
        <v>115</v>
      </c>
      <c r="C629" t="b">
        <v>0</v>
      </c>
      <c r="D629" s="1">
        <v>37377</v>
      </c>
      <c r="E629">
        <v>2</v>
      </c>
      <c r="F629"/>
      <c r="G629"/>
      <c r="H629"/>
      <c r="I629"/>
      <c r="J629"/>
      <c r="K629"/>
      <c r="L629"/>
      <c r="M629"/>
      <c r="N629"/>
      <c r="O629"/>
    </row>
    <row r="630" spans="1:15" hidden="1" x14ac:dyDescent="0.25">
      <c r="A630" t="s">
        <v>106</v>
      </c>
      <c r="B630" t="s">
        <v>115</v>
      </c>
      <c r="C630" t="b">
        <v>0</v>
      </c>
      <c r="D630" s="1">
        <v>37377</v>
      </c>
      <c r="E630">
        <v>1</v>
      </c>
      <c r="F630"/>
      <c r="G630"/>
      <c r="H630"/>
      <c r="I630"/>
      <c r="J630"/>
      <c r="K630"/>
      <c r="L630"/>
      <c r="M630"/>
      <c r="N630"/>
      <c r="O630"/>
    </row>
    <row r="631" spans="1:15" hidden="1" x14ac:dyDescent="0.25">
      <c r="A631" t="s">
        <v>106</v>
      </c>
      <c r="B631" t="s">
        <v>115</v>
      </c>
      <c r="C631" t="b">
        <v>0</v>
      </c>
      <c r="D631" s="1">
        <v>37377</v>
      </c>
      <c r="E631">
        <v>2</v>
      </c>
      <c r="F631"/>
      <c r="G631"/>
      <c r="H631"/>
      <c r="I631"/>
      <c r="J631"/>
      <c r="K631"/>
      <c r="L631"/>
      <c r="M631"/>
      <c r="N631"/>
      <c r="O631"/>
    </row>
    <row r="632" spans="1:15" hidden="1" x14ac:dyDescent="0.25">
      <c r="A632" t="s">
        <v>106</v>
      </c>
      <c r="B632" t="s">
        <v>115</v>
      </c>
      <c r="C632" t="b">
        <v>0</v>
      </c>
      <c r="D632" s="1">
        <v>37377</v>
      </c>
      <c r="E632">
        <v>2</v>
      </c>
      <c r="F632"/>
      <c r="G632"/>
      <c r="H632"/>
      <c r="I632"/>
      <c r="J632"/>
      <c r="K632"/>
      <c r="L632"/>
      <c r="M632"/>
      <c r="N632"/>
      <c r="O632"/>
    </row>
    <row r="633" spans="1:15" hidden="1" x14ac:dyDescent="0.25">
      <c r="A633" t="s">
        <v>106</v>
      </c>
      <c r="B633" t="s">
        <v>115</v>
      </c>
      <c r="C633" t="b">
        <v>0</v>
      </c>
      <c r="D633" s="1">
        <v>37377</v>
      </c>
      <c r="E633">
        <v>2</v>
      </c>
      <c r="F633"/>
      <c r="G633"/>
      <c r="H633"/>
      <c r="I633"/>
      <c r="J633"/>
      <c r="K633"/>
      <c r="L633"/>
      <c r="M633"/>
      <c r="N633"/>
      <c r="O633"/>
    </row>
    <row r="634" spans="1:15" hidden="1" x14ac:dyDescent="0.25">
      <c r="A634" t="s">
        <v>106</v>
      </c>
      <c r="B634" t="s">
        <v>115</v>
      </c>
      <c r="C634" t="b">
        <v>0</v>
      </c>
      <c r="D634" s="1">
        <v>37377</v>
      </c>
      <c r="E634">
        <v>2</v>
      </c>
      <c r="F634"/>
      <c r="G634"/>
      <c r="H634"/>
      <c r="I634"/>
      <c r="J634"/>
      <c r="K634"/>
      <c r="L634"/>
      <c r="M634"/>
      <c r="N634"/>
      <c r="O634"/>
    </row>
    <row r="635" spans="1:15" hidden="1" x14ac:dyDescent="0.25">
      <c r="A635" t="s">
        <v>106</v>
      </c>
      <c r="B635" t="s">
        <v>115</v>
      </c>
      <c r="C635" t="b">
        <v>0</v>
      </c>
      <c r="D635" s="1">
        <v>37377</v>
      </c>
      <c r="E635">
        <v>2</v>
      </c>
      <c r="F635"/>
      <c r="G635"/>
      <c r="H635"/>
      <c r="I635"/>
      <c r="J635"/>
      <c r="K635"/>
      <c r="L635"/>
      <c r="M635"/>
      <c r="N635"/>
      <c r="O635"/>
    </row>
    <row r="636" spans="1:15" hidden="1" x14ac:dyDescent="0.25">
      <c r="A636" t="s">
        <v>106</v>
      </c>
      <c r="B636" t="s">
        <v>115</v>
      </c>
      <c r="C636" t="b">
        <v>0</v>
      </c>
      <c r="D636" s="1">
        <v>37377</v>
      </c>
      <c r="E636">
        <v>2</v>
      </c>
      <c r="F636"/>
      <c r="G636"/>
      <c r="H636"/>
      <c r="I636"/>
      <c r="J636"/>
      <c r="K636"/>
      <c r="L636"/>
      <c r="M636"/>
      <c r="N636"/>
      <c r="O636"/>
    </row>
    <row r="637" spans="1:15" hidden="1" x14ac:dyDescent="0.25">
      <c r="A637" t="s">
        <v>106</v>
      </c>
      <c r="B637" t="s">
        <v>115</v>
      </c>
      <c r="C637" t="b">
        <v>0</v>
      </c>
      <c r="D637" s="1">
        <v>37377</v>
      </c>
      <c r="E637">
        <v>3</v>
      </c>
      <c r="F637"/>
      <c r="G637"/>
      <c r="H637"/>
      <c r="I637"/>
      <c r="J637"/>
      <c r="K637"/>
      <c r="L637"/>
      <c r="M637"/>
      <c r="N637"/>
      <c r="O637"/>
    </row>
    <row r="638" spans="1:15" hidden="1" x14ac:dyDescent="0.25">
      <c r="A638" t="s">
        <v>106</v>
      </c>
      <c r="B638" t="s">
        <v>115</v>
      </c>
      <c r="C638" t="b">
        <v>0</v>
      </c>
      <c r="D638" s="1">
        <v>37377</v>
      </c>
      <c r="E638">
        <v>2</v>
      </c>
      <c r="F638"/>
      <c r="G638"/>
      <c r="H638"/>
      <c r="I638"/>
      <c r="J638"/>
      <c r="K638"/>
      <c r="L638"/>
      <c r="M638"/>
      <c r="N638"/>
      <c r="O638"/>
    </row>
    <row r="639" spans="1:15" hidden="1" x14ac:dyDescent="0.25">
      <c r="A639" t="s">
        <v>106</v>
      </c>
      <c r="B639" t="s">
        <v>115</v>
      </c>
      <c r="C639" t="b">
        <v>0</v>
      </c>
      <c r="D639" s="1">
        <v>37377</v>
      </c>
      <c r="E639">
        <v>2</v>
      </c>
      <c r="F639"/>
      <c r="G639"/>
      <c r="H639"/>
      <c r="I639"/>
      <c r="J639"/>
      <c r="K639"/>
      <c r="L639"/>
      <c r="M639"/>
      <c r="N639"/>
      <c r="O639"/>
    </row>
    <row r="640" spans="1:15" hidden="1" x14ac:dyDescent="0.25">
      <c r="A640" t="s">
        <v>106</v>
      </c>
      <c r="B640" t="s">
        <v>115</v>
      </c>
      <c r="C640" t="b">
        <v>0</v>
      </c>
      <c r="D640" s="1">
        <v>37377</v>
      </c>
      <c r="E640">
        <v>2</v>
      </c>
      <c r="F640"/>
      <c r="G640"/>
      <c r="H640"/>
      <c r="I640"/>
      <c r="J640"/>
      <c r="K640"/>
      <c r="L640"/>
      <c r="M640"/>
      <c r="N640"/>
      <c r="O640"/>
    </row>
    <row r="641" spans="1:15" hidden="1" x14ac:dyDescent="0.25">
      <c r="A641" t="s">
        <v>43</v>
      </c>
      <c r="B641" t="s">
        <v>115</v>
      </c>
      <c r="C641" t="b">
        <v>0</v>
      </c>
      <c r="D641" s="1">
        <v>37377</v>
      </c>
      <c r="E641">
        <v>2</v>
      </c>
      <c r="F641"/>
      <c r="G641"/>
      <c r="H641"/>
      <c r="I641"/>
      <c r="J641"/>
      <c r="K641"/>
      <c r="L641"/>
      <c r="M641"/>
      <c r="N641"/>
      <c r="O641"/>
    </row>
    <row r="642" spans="1:15" hidden="1" x14ac:dyDescent="0.25">
      <c r="A642" t="s">
        <v>30</v>
      </c>
      <c r="B642" t="s">
        <v>115</v>
      </c>
      <c r="C642" t="b">
        <v>0</v>
      </c>
      <c r="D642" s="1">
        <v>37377</v>
      </c>
      <c r="E642">
        <v>2</v>
      </c>
      <c r="F642"/>
      <c r="G642"/>
      <c r="H642"/>
      <c r="I642"/>
      <c r="J642"/>
      <c r="K642"/>
      <c r="L642"/>
      <c r="M642"/>
      <c r="N642"/>
      <c r="O642"/>
    </row>
    <row r="643" spans="1:15" hidden="1" x14ac:dyDescent="0.25">
      <c r="A643" t="s">
        <v>39</v>
      </c>
      <c r="B643" t="s">
        <v>115</v>
      </c>
      <c r="C643" t="b">
        <v>0</v>
      </c>
      <c r="D643" s="1">
        <v>37377</v>
      </c>
      <c r="E643">
        <v>2</v>
      </c>
      <c r="F643"/>
      <c r="G643"/>
      <c r="H643"/>
      <c r="I643"/>
      <c r="J643"/>
      <c r="K643"/>
      <c r="L643"/>
      <c r="M643"/>
      <c r="N643"/>
      <c r="O643"/>
    </row>
    <row r="644" spans="1:15" hidden="1" x14ac:dyDescent="0.25">
      <c r="A644" t="s">
        <v>57</v>
      </c>
      <c r="B644" t="s">
        <v>115</v>
      </c>
      <c r="C644" t="b">
        <v>0</v>
      </c>
      <c r="D644" s="1">
        <v>37377</v>
      </c>
      <c r="E644">
        <v>2</v>
      </c>
      <c r="F644"/>
      <c r="G644"/>
      <c r="H644"/>
      <c r="I644"/>
      <c r="J644"/>
      <c r="K644"/>
      <c r="L644"/>
      <c r="M644"/>
      <c r="N644"/>
      <c r="O644"/>
    </row>
    <row r="645" spans="1:15" hidden="1" x14ac:dyDescent="0.25">
      <c r="A645" t="s">
        <v>99</v>
      </c>
      <c r="B645" t="s">
        <v>114</v>
      </c>
      <c r="C645" t="b">
        <v>0</v>
      </c>
      <c r="D645" s="1">
        <v>37377</v>
      </c>
      <c r="E645">
        <v>4.25</v>
      </c>
      <c r="F645"/>
      <c r="G645"/>
      <c r="H645"/>
      <c r="I645"/>
      <c r="J645"/>
      <c r="K645"/>
      <c r="L645"/>
      <c r="M645"/>
      <c r="N645"/>
      <c r="O645"/>
    </row>
    <row r="646" spans="1:15" hidden="1" x14ac:dyDescent="0.25">
      <c r="A646" t="s">
        <v>100</v>
      </c>
      <c r="B646" t="s">
        <v>117</v>
      </c>
      <c r="C646" t="b">
        <v>0</v>
      </c>
      <c r="D646" s="1">
        <v>37408</v>
      </c>
      <c r="E646" s="2">
        <v>-50.25</v>
      </c>
      <c r="F646"/>
      <c r="G646"/>
      <c r="H646"/>
      <c r="I646"/>
      <c r="J646"/>
      <c r="K646"/>
      <c r="L646"/>
      <c r="M646"/>
      <c r="N646"/>
      <c r="O646"/>
    </row>
    <row r="647" spans="1:15" hidden="1" x14ac:dyDescent="0.25">
      <c r="A647" t="s">
        <v>108</v>
      </c>
      <c r="B647" t="s">
        <v>115</v>
      </c>
      <c r="C647" t="b">
        <v>0</v>
      </c>
      <c r="D647" s="1">
        <v>37408</v>
      </c>
      <c r="E647">
        <v>2</v>
      </c>
      <c r="F647"/>
      <c r="G647"/>
      <c r="H647"/>
      <c r="I647"/>
      <c r="J647"/>
      <c r="K647"/>
      <c r="L647"/>
      <c r="M647"/>
      <c r="N647"/>
      <c r="O647"/>
    </row>
    <row r="648" spans="1:15" hidden="1" x14ac:dyDescent="0.25">
      <c r="A648" t="s">
        <v>12</v>
      </c>
      <c r="B648" t="s">
        <v>115</v>
      </c>
      <c r="C648" t="b">
        <v>0</v>
      </c>
      <c r="D648" s="1">
        <v>37408</v>
      </c>
      <c r="E648">
        <v>2</v>
      </c>
      <c r="F648"/>
      <c r="G648"/>
      <c r="H648"/>
      <c r="I648"/>
      <c r="J648"/>
      <c r="K648"/>
      <c r="L648"/>
      <c r="M648"/>
      <c r="N648"/>
      <c r="O648"/>
    </row>
    <row r="649" spans="1:15" hidden="1" x14ac:dyDescent="0.25">
      <c r="A649" t="s">
        <v>14</v>
      </c>
      <c r="B649" t="s">
        <v>115</v>
      </c>
      <c r="C649" t="b">
        <v>0</v>
      </c>
      <c r="D649" s="1">
        <v>37408</v>
      </c>
      <c r="E649">
        <v>2</v>
      </c>
      <c r="F649"/>
      <c r="G649"/>
      <c r="H649"/>
      <c r="I649"/>
      <c r="J649"/>
      <c r="K649"/>
      <c r="L649"/>
      <c r="M649"/>
      <c r="N649"/>
      <c r="O649"/>
    </row>
    <row r="650" spans="1:15" hidden="1" x14ac:dyDescent="0.25">
      <c r="A650" t="s">
        <v>106</v>
      </c>
      <c r="B650" t="s">
        <v>115</v>
      </c>
      <c r="C650" t="b">
        <v>0</v>
      </c>
      <c r="D650" s="1">
        <v>37408</v>
      </c>
      <c r="E650">
        <v>2</v>
      </c>
      <c r="F650"/>
      <c r="G650"/>
      <c r="H650"/>
      <c r="I650"/>
      <c r="J650"/>
      <c r="K650"/>
      <c r="L650"/>
      <c r="M650"/>
      <c r="N650"/>
      <c r="O650"/>
    </row>
    <row r="651" spans="1:15" hidden="1" x14ac:dyDescent="0.25">
      <c r="A651" t="s">
        <v>106</v>
      </c>
      <c r="B651" t="s">
        <v>115</v>
      </c>
      <c r="C651" t="b">
        <v>0</v>
      </c>
      <c r="D651" s="1">
        <v>37408</v>
      </c>
      <c r="E651">
        <v>2</v>
      </c>
      <c r="F651"/>
      <c r="G651"/>
      <c r="H651"/>
      <c r="I651"/>
      <c r="J651"/>
      <c r="K651"/>
      <c r="L651"/>
      <c r="M651"/>
      <c r="N651"/>
      <c r="O651"/>
    </row>
    <row r="652" spans="1:15" hidden="1" x14ac:dyDescent="0.25">
      <c r="A652" t="s">
        <v>106</v>
      </c>
      <c r="B652" t="s">
        <v>115</v>
      </c>
      <c r="C652" t="b">
        <v>0</v>
      </c>
      <c r="D652" s="1">
        <v>37408</v>
      </c>
      <c r="E652">
        <v>2</v>
      </c>
      <c r="F652"/>
      <c r="G652"/>
      <c r="H652"/>
      <c r="I652"/>
      <c r="J652"/>
      <c r="K652"/>
      <c r="L652"/>
      <c r="M652"/>
      <c r="N652"/>
      <c r="O652"/>
    </row>
    <row r="653" spans="1:15" hidden="1" x14ac:dyDescent="0.25">
      <c r="A653" t="s">
        <v>106</v>
      </c>
      <c r="B653" t="s">
        <v>115</v>
      </c>
      <c r="C653" t="b">
        <v>0</v>
      </c>
      <c r="D653" s="1">
        <v>37408</v>
      </c>
      <c r="E653">
        <v>2</v>
      </c>
      <c r="F653"/>
      <c r="G653"/>
      <c r="H653"/>
      <c r="I653"/>
      <c r="J653"/>
      <c r="K653"/>
      <c r="L653"/>
      <c r="M653"/>
      <c r="N653"/>
      <c r="O653"/>
    </row>
    <row r="654" spans="1:15" hidden="1" x14ac:dyDescent="0.25">
      <c r="A654" t="s">
        <v>106</v>
      </c>
      <c r="B654" t="s">
        <v>115</v>
      </c>
      <c r="C654" t="b">
        <v>0</v>
      </c>
      <c r="D654" s="1">
        <v>37408</v>
      </c>
      <c r="E654">
        <v>2</v>
      </c>
      <c r="F654"/>
      <c r="G654"/>
      <c r="H654"/>
      <c r="I654"/>
      <c r="J654"/>
      <c r="K654"/>
      <c r="L654"/>
      <c r="M654"/>
      <c r="N654"/>
      <c r="O654"/>
    </row>
    <row r="655" spans="1:15" hidden="1" x14ac:dyDescent="0.25">
      <c r="A655" t="s">
        <v>106</v>
      </c>
      <c r="B655" t="s">
        <v>115</v>
      </c>
      <c r="C655" t="b">
        <v>0</v>
      </c>
      <c r="D655" s="1">
        <v>37408</v>
      </c>
      <c r="E655">
        <v>2</v>
      </c>
      <c r="F655"/>
      <c r="G655"/>
      <c r="H655"/>
      <c r="I655"/>
      <c r="J655"/>
      <c r="K655"/>
      <c r="L655"/>
      <c r="M655"/>
      <c r="N655"/>
      <c r="O655"/>
    </row>
    <row r="656" spans="1:15" hidden="1" x14ac:dyDescent="0.25">
      <c r="A656" t="s">
        <v>106</v>
      </c>
      <c r="B656" t="s">
        <v>115</v>
      </c>
      <c r="C656" t="b">
        <v>0</v>
      </c>
      <c r="D656" s="1">
        <v>37408</v>
      </c>
      <c r="E656">
        <v>2</v>
      </c>
      <c r="F656"/>
      <c r="G656"/>
      <c r="H656"/>
      <c r="I656"/>
      <c r="J656"/>
      <c r="K656"/>
      <c r="L656"/>
      <c r="M656"/>
      <c r="N656"/>
      <c r="O656"/>
    </row>
    <row r="657" spans="1:15" hidden="1" x14ac:dyDescent="0.25">
      <c r="A657" t="s">
        <v>106</v>
      </c>
      <c r="B657" t="s">
        <v>115</v>
      </c>
      <c r="C657" t="b">
        <v>0</v>
      </c>
      <c r="D657" s="1">
        <v>37408</v>
      </c>
      <c r="E657">
        <v>2</v>
      </c>
      <c r="F657"/>
      <c r="G657"/>
      <c r="H657"/>
      <c r="I657"/>
      <c r="J657"/>
      <c r="K657"/>
      <c r="L657"/>
      <c r="M657"/>
      <c r="N657"/>
      <c r="O657"/>
    </row>
    <row r="658" spans="1:15" hidden="1" x14ac:dyDescent="0.25">
      <c r="A658" t="s">
        <v>106</v>
      </c>
      <c r="B658" t="s">
        <v>115</v>
      </c>
      <c r="C658" t="b">
        <v>0</v>
      </c>
      <c r="D658" s="1">
        <v>37408</v>
      </c>
      <c r="E658">
        <v>2</v>
      </c>
      <c r="F658"/>
      <c r="G658"/>
      <c r="H658"/>
      <c r="I658"/>
      <c r="J658"/>
      <c r="K658"/>
      <c r="L658"/>
      <c r="M658"/>
      <c r="N658"/>
      <c r="O658"/>
    </row>
    <row r="659" spans="1:15" hidden="1" x14ac:dyDescent="0.25">
      <c r="A659" t="s">
        <v>106</v>
      </c>
      <c r="B659" t="s">
        <v>115</v>
      </c>
      <c r="C659" t="b">
        <v>0</v>
      </c>
      <c r="D659" s="1">
        <v>37408</v>
      </c>
      <c r="E659">
        <v>2</v>
      </c>
      <c r="F659"/>
      <c r="G659"/>
      <c r="H659"/>
      <c r="I659"/>
      <c r="J659"/>
      <c r="K659"/>
      <c r="L659"/>
      <c r="M659"/>
      <c r="N659"/>
      <c r="O659"/>
    </row>
    <row r="660" spans="1:15" hidden="1" x14ac:dyDescent="0.25">
      <c r="A660" t="s">
        <v>106</v>
      </c>
      <c r="B660" t="s">
        <v>115</v>
      </c>
      <c r="C660" t="b">
        <v>0</v>
      </c>
      <c r="D660" s="1">
        <v>37408</v>
      </c>
      <c r="E660">
        <v>2</v>
      </c>
      <c r="F660"/>
      <c r="G660"/>
      <c r="H660"/>
      <c r="I660"/>
      <c r="J660"/>
      <c r="K660"/>
      <c r="L660"/>
      <c r="M660"/>
      <c r="N660"/>
      <c r="O660"/>
    </row>
    <row r="661" spans="1:15" hidden="1" x14ac:dyDescent="0.25">
      <c r="A661" t="s">
        <v>106</v>
      </c>
      <c r="B661" t="s">
        <v>115</v>
      </c>
      <c r="C661" t="b">
        <v>0</v>
      </c>
      <c r="D661" s="1">
        <v>37408</v>
      </c>
      <c r="E661">
        <v>2</v>
      </c>
      <c r="F661"/>
      <c r="G661"/>
      <c r="H661"/>
      <c r="I661"/>
      <c r="J661"/>
      <c r="K661"/>
      <c r="L661"/>
      <c r="M661"/>
      <c r="N661"/>
      <c r="O661"/>
    </row>
    <row r="662" spans="1:15" hidden="1" x14ac:dyDescent="0.25">
      <c r="A662" t="s">
        <v>106</v>
      </c>
      <c r="B662" t="s">
        <v>115</v>
      </c>
      <c r="C662" t="b">
        <v>0</v>
      </c>
      <c r="D662" s="1">
        <v>37408</v>
      </c>
      <c r="E662">
        <v>2</v>
      </c>
      <c r="F662"/>
      <c r="G662"/>
      <c r="H662"/>
      <c r="I662"/>
      <c r="J662"/>
      <c r="K662"/>
      <c r="L662"/>
      <c r="M662"/>
      <c r="N662"/>
      <c r="O662"/>
    </row>
    <row r="663" spans="1:15" hidden="1" x14ac:dyDescent="0.25">
      <c r="A663" t="s">
        <v>106</v>
      </c>
      <c r="B663" t="s">
        <v>115</v>
      </c>
      <c r="C663" t="b">
        <v>0</v>
      </c>
      <c r="D663" s="1">
        <v>37408</v>
      </c>
      <c r="E663">
        <v>2</v>
      </c>
      <c r="F663"/>
      <c r="G663"/>
      <c r="H663"/>
      <c r="I663"/>
      <c r="J663"/>
      <c r="K663"/>
      <c r="L663"/>
      <c r="M663"/>
      <c r="N663"/>
      <c r="O663"/>
    </row>
    <row r="664" spans="1:15" hidden="1" x14ac:dyDescent="0.25">
      <c r="A664" t="s">
        <v>106</v>
      </c>
      <c r="B664" t="s">
        <v>115</v>
      </c>
      <c r="C664" t="b">
        <v>0</v>
      </c>
      <c r="D664" s="1">
        <v>37408</v>
      </c>
      <c r="E664">
        <v>2</v>
      </c>
      <c r="F664"/>
      <c r="G664"/>
      <c r="H664"/>
      <c r="I664"/>
      <c r="J664"/>
      <c r="K664"/>
      <c r="L664"/>
      <c r="M664"/>
      <c r="N664"/>
      <c r="O664"/>
    </row>
    <row r="665" spans="1:15" hidden="1" x14ac:dyDescent="0.25">
      <c r="A665" t="s">
        <v>106</v>
      </c>
      <c r="B665" t="s">
        <v>115</v>
      </c>
      <c r="C665" t="b">
        <v>0</v>
      </c>
      <c r="D665" s="1">
        <v>37408</v>
      </c>
      <c r="E665">
        <v>2</v>
      </c>
      <c r="F665"/>
      <c r="G665"/>
      <c r="H665"/>
      <c r="I665"/>
      <c r="J665"/>
      <c r="K665"/>
      <c r="L665"/>
      <c r="M665"/>
      <c r="N665"/>
      <c r="O665"/>
    </row>
    <row r="666" spans="1:15" hidden="1" x14ac:dyDescent="0.25">
      <c r="A666" t="s">
        <v>106</v>
      </c>
      <c r="B666" t="s">
        <v>115</v>
      </c>
      <c r="C666" t="b">
        <v>0</v>
      </c>
      <c r="D666" s="1">
        <v>37408</v>
      </c>
      <c r="E666">
        <v>2</v>
      </c>
      <c r="F666"/>
      <c r="G666"/>
      <c r="H666"/>
      <c r="I666"/>
      <c r="J666"/>
      <c r="K666"/>
      <c r="L666"/>
      <c r="M666"/>
      <c r="N666"/>
      <c r="O666"/>
    </row>
    <row r="667" spans="1:15" hidden="1" x14ac:dyDescent="0.25">
      <c r="A667" t="s">
        <v>106</v>
      </c>
      <c r="B667" t="s">
        <v>115</v>
      </c>
      <c r="C667" t="b">
        <v>0</v>
      </c>
      <c r="D667" s="1">
        <v>37408</v>
      </c>
      <c r="E667">
        <v>2</v>
      </c>
      <c r="F667"/>
      <c r="G667"/>
      <c r="H667"/>
      <c r="I667"/>
      <c r="J667"/>
      <c r="K667"/>
      <c r="L667"/>
      <c r="M667"/>
      <c r="N667"/>
      <c r="O667"/>
    </row>
    <row r="668" spans="1:15" hidden="1" x14ac:dyDescent="0.25">
      <c r="A668" t="s">
        <v>30</v>
      </c>
      <c r="B668" t="s">
        <v>115</v>
      </c>
      <c r="C668" t="b">
        <v>0</v>
      </c>
      <c r="D668" s="1">
        <v>37408</v>
      </c>
      <c r="E668">
        <v>2</v>
      </c>
      <c r="F668"/>
      <c r="G668"/>
      <c r="H668"/>
      <c r="I668"/>
      <c r="J668"/>
      <c r="K668"/>
      <c r="L668"/>
      <c r="M668"/>
      <c r="N668"/>
      <c r="O668"/>
    </row>
    <row r="669" spans="1:15" hidden="1" x14ac:dyDescent="0.25">
      <c r="A669" t="s">
        <v>39</v>
      </c>
      <c r="B669" t="s">
        <v>115</v>
      </c>
      <c r="C669" t="b">
        <v>0</v>
      </c>
      <c r="D669" s="1">
        <v>37408</v>
      </c>
      <c r="E669">
        <v>2</v>
      </c>
      <c r="F669"/>
      <c r="G669"/>
      <c r="H669"/>
      <c r="I669"/>
      <c r="J669"/>
      <c r="K669"/>
      <c r="L669"/>
      <c r="M669"/>
      <c r="N669"/>
      <c r="O669"/>
    </row>
    <row r="670" spans="1:15" hidden="1" x14ac:dyDescent="0.25">
      <c r="A670" t="s">
        <v>57</v>
      </c>
      <c r="B670" t="s">
        <v>115</v>
      </c>
      <c r="C670" t="b">
        <v>0</v>
      </c>
      <c r="D670" s="1">
        <v>37408</v>
      </c>
      <c r="E670">
        <v>2</v>
      </c>
      <c r="F670"/>
      <c r="G670"/>
      <c r="H670"/>
      <c r="I670"/>
      <c r="J670"/>
      <c r="K670"/>
      <c r="L670"/>
      <c r="M670"/>
      <c r="N670"/>
      <c r="O670"/>
    </row>
    <row r="671" spans="1:15" hidden="1" x14ac:dyDescent="0.25">
      <c r="A671" t="s">
        <v>99</v>
      </c>
      <c r="B671" t="s">
        <v>114</v>
      </c>
      <c r="C671" t="b">
        <v>0</v>
      </c>
      <c r="D671" s="1">
        <v>37408</v>
      </c>
      <c r="E671">
        <v>11</v>
      </c>
      <c r="F671"/>
      <c r="G671"/>
      <c r="H671"/>
      <c r="I671"/>
      <c r="J671"/>
      <c r="K671"/>
      <c r="L671"/>
      <c r="M671"/>
      <c r="N671"/>
      <c r="O671"/>
    </row>
    <row r="672" spans="1:15" hidden="1" x14ac:dyDescent="0.25">
      <c r="A672" t="s">
        <v>100</v>
      </c>
      <c r="B672" t="s">
        <v>117</v>
      </c>
      <c r="C672" t="b">
        <v>0</v>
      </c>
      <c r="D672" s="1">
        <v>37438</v>
      </c>
      <c r="E672" s="2">
        <v>-63</v>
      </c>
      <c r="F672"/>
      <c r="G672"/>
      <c r="H672"/>
      <c r="I672"/>
      <c r="J672"/>
      <c r="K672"/>
      <c r="L672"/>
      <c r="M672"/>
      <c r="N672"/>
      <c r="O672"/>
    </row>
    <row r="673" spans="1:15" hidden="1" x14ac:dyDescent="0.25">
      <c r="A673" t="s">
        <v>102</v>
      </c>
      <c r="B673" t="s">
        <v>117</v>
      </c>
      <c r="C673" t="b">
        <v>0</v>
      </c>
      <c r="D673" s="1">
        <v>37438</v>
      </c>
      <c r="E673" s="2">
        <v>-60</v>
      </c>
      <c r="F673"/>
      <c r="G673"/>
      <c r="H673"/>
      <c r="I673"/>
      <c r="J673"/>
      <c r="K673"/>
      <c r="L673"/>
      <c r="M673"/>
      <c r="N673"/>
      <c r="O673"/>
    </row>
    <row r="674" spans="1:15" hidden="1" x14ac:dyDescent="0.25">
      <c r="A674" t="s">
        <v>12</v>
      </c>
      <c r="B674" t="s">
        <v>115</v>
      </c>
      <c r="C674" t="b">
        <v>0</v>
      </c>
      <c r="D674" s="1">
        <v>37438</v>
      </c>
      <c r="E674">
        <v>2</v>
      </c>
      <c r="F674"/>
      <c r="G674"/>
      <c r="H674"/>
      <c r="I674"/>
      <c r="J674"/>
      <c r="K674"/>
      <c r="L674"/>
      <c r="M674"/>
      <c r="N674"/>
      <c r="O674"/>
    </row>
    <row r="675" spans="1:15" hidden="1" x14ac:dyDescent="0.25">
      <c r="A675" t="s">
        <v>14</v>
      </c>
      <c r="B675" t="s">
        <v>115</v>
      </c>
      <c r="C675" t="b">
        <v>0</v>
      </c>
      <c r="D675" s="1">
        <v>37438</v>
      </c>
      <c r="E675">
        <v>2</v>
      </c>
      <c r="F675"/>
      <c r="G675"/>
      <c r="H675"/>
      <c r="I675"/>
      <c r="J675"/>
      <c r="K675"/>
      <c r="L675"/>
      <c r="M675"/>
      <c r="N675"/>
      <c r="O675"/>
    </row>
    <row r="676" spans="1:15" hidden="1" x14ac:dyDescent="0.25">
      <c r="A676" t="s">
        <v>106</v>
      </c>
      <c r="B676" t="s">
        <v>115</v>
      </c>
      <c r="C676" t="b">
        <v>0</v>
      </c>
      <c r="D676" s="1">
        <v>37438</v>
      </c>
      <c r="E676">
        <v>2</v>
      </c>
      <c r="F676"/>
      <c r="G676"/>
      <c r="H676"/>
      <c r="I676"/>
      <c r="J676"/>
      <c r="K676"/>
      <c r="L676"/>
      <c r="M676"/>
      <c r="N676"/>
      <c r="O676"/>
    </row>
    <row r="677" spans="1:15" hidden="1" x14ac:dyDescent="0.25">
      <c r="A677" t="s">
        <v>106</v>
      </c>
      <c r="B677" t="s">
        <v>115</v>
      </c>
      <c r="C677" t="b">
        <v>0</v>
      </c>
      <c r="D677" s="1">
        <v>37438</v>
      </c>
      <c r="E677">
        <v>2</v>
      </c>
      <c r="F677"/>
      <c r="G677"/>
      <c r="H677"/>
      <c r="I677"/>
      <c r="J677"/>
      <c r="K677"/>
      <c r="L677"/>
      <c r="M677"/>
      <c r="N677"/>
      <c r="O677"/>
    </row>
    <row r="678" spans="1:15" hidden="1" x14ac:dyDescent="0.25">
      <c r="A678" t="s">
        <v>106</v>
      </c>
      <c r="B678" t="s">
        <v>115</v>
      </c>
      <c r="C678" t="b">
        <v>0</v>
      </c>
      <c r="D678" s="1">
        <v>37438</v>
      </c>
      <c r="E678">
        <v>2</v>
      </c>
      <c r="F678"/>
      <c r="G678"/>
      <c r="H678"/>
      <c r="I678"/>
      <c r="J678"/>
      <c r="K678"/>
      <c r="L678"/>
      <c r="M678"/>
      <c r="N678"/>
      <c r="O678"/>
    </row>
    <row r="679" spans="1:15" hidden="1" x14ac:dyDescent="0.25">
      <c r="A679" t="s">
        <v>106</v>
      </c>
      <c r="B679" t="s">
        <v>115</v>
      </c>
      <c r="C679" t="b">
        <v>0</v>
      </c>
      <c r="D679" s="1">
        <v>37438</v>
      </c>
      <c r="E679">
        <v>2</v>
      </c>
      <c r="F679"/>
      <c r="G679"/>
      <c r="H679"/>
      <c r="I679"/>
      <c r="J679"/>
      <c r="K679"/>
      <c r="L679"/>
      <c r="M679"/>
      <c r="N679"/>
      <c r="O679"/>
    </row>
    <row r="680" spans="1:15" hidden="1" x14ac:dyDescent="0.25">
      <c r="A680" t="s">
        <v>106</v>
      </c>
      <c r="B680" t="s">
        <v>115</v>
      </c>
      <c r="C680" t="b">
        <v>0</v>
      </c>
      <c r="D680" s="1">
        <v>37438</v>
      </c>
      <c r="E680">
        <v>2</v>
      </c>
      <c r="F680"/>
      <c r="G680"/>
      <c r="H680"/>
      <c r="I680"/>
      <c r="J680"/>
      <c r="K680"/>
      <c r="L680"/>
      <c r="M680"/>
      <c r="N680"/>
      <c r="O680"/>
    </row>
    <row r="681" spans="1:15" hidden="1" x14ac:dyDescent="0.25">
      <c r="A681" t="s">
        <v>106</v>
      </c>
      <c r="B681" t="s">
        <v>115</v>
      </c>
      <c r="C681" t="b">
        <v>0</v>
      </c>
      <c r="D681" s="1">
        <v>37438</v>
      </c>
      <c r="E681">
        <v>2</v>
      </c>
      <c r="F681"/>
      <c r="G681"/>
      <c r="H681"/>
      <c r="I681"/>
      <c r="J681"/>
      <c r="K681"/>
      <c r="L681"/>
      <c r="M681"/>
      <c r="N681"/>
      <c r="O681"/>
    </row>
    <row r="682" spans="1:15" hidden="1" x14ac:dyDescent="0.25">
      <c r="A682" t="s">
        <v>106</v>
      </c>
      <c r="B682" t="s">
        <v>115</v>
      </c>
      <c r="C682" t="b">
        <v>0</v>
      </c>
      <c r="D682" s="1">
        <v>37438</v>
      </c>
      <c r="E682">
        <v>2</v>
      </c>
      <c r="F682"/>
      <c r="G682"/>
      <c r="H682"/>
      <c r="I682"/>
      <c r="J682"/>
      <c r="K682"/>
      <c r="L682"/>
      <c r="M682"/>
      <c r="N682"/>
      <c r="O682"/>
    </row>
    <row r="683" spans="1:15" hidden="1" x14ac:dyDescent="0.25">
      <c r="A683" t="s">
        <v>106</v>
      </c>
      <c r="B683" t="s">
        <v>115</v>
      </c>
      <c r="C683" t="b">
        <v>0</v>
      </c>
      <c r="D683" s="1">
        <v>37438</v>
      </c>
      <c r="E683">
        <v>2</v>
      </c>
      <c r="F683"/>
      <c r="G683"/>
      <c r="H683"/>
      <c r="I683"/>
      <c r="J683"/>
      <c r="K683"/>
      <c r="L683"/>
      <c r="M683"/>
      <c r="N683"/>
      <c r="O683"/>
    </row>
    <row r="684" spans="1:15" hidden="1" x14ac:dyDescent="0.25">
      <c r="A684" t="s">
        <v>106</v>
      </c>
      <c r="B684" t="s">
        <v>115</v>
      </c>
      <c r="C684" t="b">
        <v>0</v>
      </c>
      <c r="D684" s="1">
        <v>37438</v>
      </c>
      <c r="E684">
        <v>2</v>
      </c>
      <c r="F684"/>
      <c r="G684"/>
      <c r="H684"/>
      <c r="I684"/>
      <c r="J684"/>
      <c r="K684"/>
      <c r="L684"/>
      <c r="M684"/>
      <c r="N684"/>
      <c r="O684"/>
    </row>
    <row r="685" spans="1:15" hidden="1" x14ac:dyDescent="0.25">
      <c r="A685" t="s">
        <v>106</v>
      </c>
      <c r="B685" t="s">
        <v>115</v>
      </c>
      <c r="C685" t="b">
        <v>0</v>
      </c>
      <c r="D685" s="1">
        <v>37438</v>
      </c>
      <c r="E685">
        <v>2</v>
      </c>
      <c r="F685"/>
      <c r="G685"/>
      <c r="H685"/>
      <c r="I685"/>
      <c r="J685"/>
      <c r="K685"/>
      <c r="L685"/>
      <c r="M685"/>
      <c r="N685"/>
      <c r="O685"/>
    </row>
    <row r="686" spans="1:15" hidden="1" x14ac:dyDescent="0.25">
      <c r="A686" t="s">
        <v>106</v>
      </c>
      <c r="B686" t="s">
        <v>115</v>
      </c>
      <c r="C686" t="b">
        <v>0</v>
      </c>
      <c r="D686" s="1">
        <v>37438</v>
      </c>
      <c r="E686">
        <v>2</v>
      </c>
      <c r="F686"/>
      <c r="G686"/>
      <c r="H686"/>
      <c r="I686"/>
      <c r="J686"/>
      <c r="K686"/>
      <c r="L686"/>
      <c r="M686"/>
      <c r="N686"/>
      <c r="O686"/>
    </row>
    <row r="687" spans="1:15" hidden="1" x14ac:dyDescent="0.25">
      <c r="A687" t="s">
        <v>106</v>
      </c>
      <c r="B687" t="s">
        <v>115</v>
      </c>
      <c r="C687" t="b">
        <v>0</v>
      </c>
      <c r="D687" s="1">
        <v>37438</v>
      </c>
      <c r="E687">
        <v>2</v>
      </c>
      <c r="F687"/>
      <c r="G687"/>
      <c r="H687"/>
      <c r="I687"/>
      <c r="J687"/>
      <c r="K687"/>
      <c r="L687"/>
      <c r="M687"/>
      <c r="N687"/>
      <c r="O687"/>
    </row>
    <row r="688" spans="1:15" hidden="1" x14ac:dyDescent="0.25">
      <c r="A688" t="s">
        <v>106</v>
      </c>
      <c r="B688" t="s">
        <v>115</v>
      </c>
      <c r="C688" t="b">
        <v>0</v>
      </c>
      <c r="D688" s="1">
        <v>37438</v>
      </c>
      <c r="E688">
        <v>2</v>
      </c>
      <c r="F688"/>
      <c r="G688"/>
      <c r="H688"/>
      <c r="I688"/>
      <c r="J688"/>
      <c r="K688"/>
      <c r="L688"/>
      <c r="M688"/>
      <c r="N688"/>
      <c r="O688"/>
    </row>
    <row r="689" spans="1:15" hidden="1" x14ac:dyDescent="0.25">
      <c r="A689" t="s">
        <v>106</v>
      </c>
      <c r="B689" t="s">
        <v>115</v>
      </c>
      <c r="C689" t="b">
        <v>0</v>
      </c>
      <c r="D689" s="1">
        <v>37438</v>
      </c>
      <c r="E689">
        <v>2</v>
      </c>
      <c r="F689"/>
      <c r="G689"/>
      <c r="H689"/>
      <c r="I689"/>
      <c r="J689"/>
      <c r="K689"/>
      <c r="L689"/>
      <c r="M689"/>
      <c r="N689"/>
      <c r="O689"/>
    </row>
    <row r="690" spans="1:15" hidden="1" x14ac:dyDescent="0.25">
      <c r="A690" t="s">
        <v>106</v>
      </c>
      <c r="B690" t="s">
        <v>115</v>
      </c>
      <c r="C690" t="b">
        <v>0</v>
      </c>
      <c r="D690" s="1">
        <v>37438</v>
      </c>
      <c r="E690">
        <v>2</v>
      </c>
      <c r="F690"/>
      <c r="G690"/>
      <c r="H690"/>
      <c r="I690"/>
      <c r="J690"/>
      <c r="K690"/>
      <c r="L690"/>
      <c r="M690"/>
      <c r="N690"/>
      <c r="O690"/>
    </row>
    <row r="691" spans="1:15" hidden="1" x14ac:dyDescent="0.25">
      <c r="A691" t="s">
        <v>106</v>
      </c>
      <c r="B691" t="s">
        <v>115</v>
      </c>
      <c r="C691" t="b">
        <v>0</v>
      </c>
      <c r="D691" s="1">
        <v>37438</v>
      </c>
      <c r="E691">
        <v>2</v>
      </c>
      <c r="F691"/>
      <c r="G691"/>
      <c r="H691"/>
      <c r="I691"/>
      <c r="J691"/>
      <c r="K691"/>
      <c r="L691"/>
      <c r="M691"/>
      <c r="N691"/>
      <c r="O691"/>
    </row>
    <row r="692" spans="1:15" hidden="1" x14ac:dyDescent="0.25">
      <c r="A692" t="s">
        <v>106</v>
      </c>
      <c r="B692" t="s">
        <v>115</v>
      </c>
      <c r="C692" t="b">
        <v>0</v>
      </c>
      <c r="D692" s="1">
        <v>37438</v>
      </c>
      <c r="E692">
        <v>2</v>
      </c>
      <c r="F692"/>
      <c r="G692"/>
      <c r="H692"/>
      <c r="I692"/>
      <c r="J692"/>
      <c r="K692"/>
      <c r="L692"/>
      <c r="M692"/>
      <c r="N692"/>
      <c r="O692"/>
    </row>
    <row r="693" spans="1:15" hidden="1" x14ac:dyDescent="0.25">
      <c r="A693" t="s">
        <v>106</v>
      </c>
      <c r="B693" t="s">
        <v>115</v>
      </c>
      <c r="C693" t="b">
        <v>0</v>
      </c>
      <c r="D693" s="1">
        <v>37438</v>
      </c>
      <c r="E693">
        <v>2</v>
      </c>
      <c r="F693"/>
      <c r="G693"/>
      <c r="H693"/>
      <c r="I693"/>
      <c r="J693"/>
      <c r="K693"/>
      <c r="L693"/>
      <c r="M693"/>
      <c r="N693"/>
      <c r="O693"/>
    </row>
    <row r="694" spans="1:15" hidden="1" x14ac:dyDescent="0.25">
      <c r="A694" t="s">
        <v>106</v>
      </c>
      <c r="B694" t="s">
        <v>115</v>
      </c>
      <c r="C694" t="b">
        <v>0</v>
      </c>
      <c r="D694" s="1">
        <v>37438</v>
      </c>
      <c r="E694">
        <v>2</v>
      </c>
      <c r="F694"/>
      <c r="G694"/>
      <c r="H694"/>
      <c r="I694"/>
      <c r="J694"/>
      <c r="K694"/>
      <c r="L694"/>
      <c r="M694"/>
      <c r="N694"/>
      <c r="O694"/>
    </row>
    <row r="695" spans="1:15" hidden="1" x14ac:dyDescent="0.25">
      <c r="A695" t="s">
        <v>106</v>
      </c>
      <c r="B695" t="s">
        <v>115</v>
      </c>
      <c r="C695" t="b">
        <v>0</v>
      </c>
      <c r="D695" s="1">
        <v>37438</v>
      </c>
      <c r="E695">
        <v>2</v>
      </c>
      <c r="F695"/>
      <c r="G695"/>
      <c r="H695"/>
      <c r="I695"/>
      <c r="J695"/>
      <c r="K695"/>
      <c r="L695"/>
      <c r="M695"/>
      <c r="N695"/>
      <c r="O695"/>
    </row>
    <row r="696" spans="1:15" hidden="1" x14ac:dyDescent="0.25">
      <c r="A696" t="s">
        <v>106</v>
      </c>
      <c r="B696" t="s">
        <v>115</v>
      </c>
      <c r="C696" t="b">
        <v>0</v>
      </c>
      <c r="D696" s="1">
        <v>37438</v>
      </c>
      <c r="E696">
        <v>2</v>
      </c>
      <c r="F696"/>
      <c r="G696"/>
      <c r="H696"/>
      <c r="I696"/>
      <c r="J696"/>
      <c r="K696"/>
      <c r="L696"/>
      <c r="M696"/>
      <c r="N696"/>
      <c r="O696"/>
    </row>
    <row r="697" spans="1:15" hidden="1" x14ac:dyDescent="0.25">
      <c r="A697" t="s">
        <v>39</v>
      </c>
      <c r="B697" t="s">
        <v>115</v>
      </c>
      <c r="C697" t="b">
        <v>0</v>
      </c>
      <c r="D697" s="1">
        <v>37438</v>
      </c>
      <c r="E697">
        <v>2</v>
      </c>
      <c r="F697"/>
      <c r="G697"/>
      <c r="H697"/>
      <c r="I697"/>
      <c r="J697"/>
      <c r="K697"/>
      <c r="L697"/>
      <c r="M697"/>
      <c r="N697"/>
      <c r="O697"/>
    </row>
    <row r="698" spans="1:15" hidden="1" x14ac:dyDescent="0.25">
      <c r="A698" t="s">
        <v>57</v>
      </c>
      <c r="B698" t="s">
        <v>115</v>
      </c>
      <c r="C698" t="b">
        <v>0</v>
      </c>
      <c r="D698" s="1">
        <v>37438</v>
      </c>
      <c r="E698">
        <v>2</v>
      </c>
      <c r="F698"/>
      <c r="G698"/>
      <c r="H698"/>
      <c r="I698"/>
      <c r="J698"/>
      <c r="K698"/>
      <c r="L698"/>
      <c r="M698"/>
      <c r="N698"/>
      <c r="O698"/>
    </row>
    <row r="699" spans="1:15" hidden="1" x14ac:dyDescent="0.25">
      <c r="A699" t="s">
        <v>69</v>
      </c>
      <c r="B699" t="s">
        <v>115</v>
      </c>
      <c r="C699" t="b">
        <v>0</v>
      </c>
      <c r="D699" s="1">
        <v>37438</v>
      </c>
      <c r="E699">
        <v>2</v>
      </c>
      <c r="F699"/>
      <c r="G699"/>
      <c r="H699"/>
      <c r="I699"/>
      <c r="J699"/>
      <c r="K699"/>
      <c r="L699"/>
      <c r="M699"/>
      <c r="N699"/>
      <c r="O699"/>
    </row>
    <row r="700" spans="1:15" hidden="1" x14ac:dyDescent="0.25">
      <c r="A700" t="s">
        <v>100</v>
      </c>
      <c r="B700" t="s">
        <v>117</v>
      </c>
      <c r="C700" t="b">
        <v>0</v>
      </c>
      <c r="D700" s="1">
        <v>37469</v>
      </c>
      <c r="E700" s="2">
        <v>-36.97</v>
      </c>
      <c r="F700"/>
      <c r="G700"/>
      <c r="H700"/>
      <c r="I700"/>
      <c r="J700"/>
      <c r="K700"/>
      <c r="L700"/>
      <c r="M700"/>
      <c r="N700"/>
      <c r="O700"/>
    </row>
    <row r="701" spans="1:15" hidden="1" x14ac:dyDescent="0.25">
      <c r="A701" t="s">
        <v>104</v>
      </c>
      <c r="B701" t="s">
        <v>117</v>
      </c>
      <c r="C701" t="b">
        <v>0</v>
      </c>
      <c r="D701" s="1">
        <v>37469</v>
      </c>
      <c r="E701" s="2">
        <v>-0.43</v>
      </c>
      <c r="F701"/>
      <c r="G701"/>
      <c r="H701"/>
      <c r="I701"/>
      <c r="J701"/>
      <c r="K701"/>
      <c r="L701"/>
      <c r="M701"/>
      <c r="N701"/>
      <c r="O701"/>
    </row>
    <row r="702" spans="1:15" hidden="1" x14ac:dyDescent="0.25">
      <c r="A702" t="s">
        <v>102</v>
      </c>
      <c r="B702" t="s">
        <v>117</v>
      </c>
      <c r="C702" t="b">
        <v>0</v>
      </c>
      <c r="D702" s="1">
        <v>37469</v>
      </c>
      <c r="E702" s="2">
        <v>-30.36</v>
      </c>
      <c r="F702"/>
      <c r="G702"/>
      <c r="H702"/>
      <c r="I702"/>
      <c r="J702"/>
      <c r="K702"/>
      <c r="L702"/>
      <c r="M702"/>
      <c r="N702"/>
      <c r="O702"/>
    </row>
    <row r="703" spans="1:15" hidden="1" x14ac:dyDescent="0.25">
      <c r="A703" t="s">
        <v>103</v>
      </c>
      <c r="B703" t="s">
        <v>117</v>
      </c>
      <c r="C703" t="b">
        <v>0</v>
      </c>
      <c r="D703" s="1">
        <v>37469</v>
      </c>
      <c r="E703" s="2">
        <v>-5.29</v>
      </c>
      <c r="F703"/>
      <c r="G703"/>
      <c r="H703"/>
      <c r="I703"/>
      <c r="J703"/>
      <c r="K703"/>
      <c r="L703"/>
      <c r="M703"/>
      <c r="N703"/>
      <c r="O703"/>
    </row>
    <row r="704" spans="1:15" hidden="1" x14ac:dyDescent="0.25">
      <c r="A704" t="s">
        <v>108</v>
      </c>
      <c r="B704" t="s">
        <v>115</v>
      </c>
      <c r="C704" t="b">
        <v>0</v>
      </c>
      <c r="D704" s="1">
        <v>37469</v>
      </c>
      <c r="E704">
        <v>2</v>
      </c>
      <c r="F704"/>
      <c r="G704"/>
      <c r="H704"/>
      <c r="I704"/>
      <c r="J704"/>
      <c r="K704"/>
      <c r="L704"/>
      <c r="M704"/>
      <c r="N704"/>
      <c r="O704"/>
    </row>
    <row r="705" spans="1:15" hidden="1" x14ac:dyDescent="0.25">
      <c r="A705" t="s">
        <v>11</v>
      </c>
      <c r="B705" t="s">
        <v>115</v>
      </c>
      <c r="C705" t="b">
        <v>0</v>
      </c>
      <c r="D705" s="1">
        <v>37469</v>
      </c>
      <c r="E705">
        <v>2</v>
      </c>
      <c r="F705"/>
      <c r="G705"/>
      <c r="H705"/>
      <c r="I705"/>
      <c r="J705"/>
      <c r="K705"/>
      <c r="L705"/>
      <c r="M705"/>
      <c r="N705"/>
      <c r="O705"/>
    </row>
    <row r="706" spans="1:15" hidden="1" x14ac:dyDescent="0.25">
      <c r="A706" t="s">
        <v>12</v>
      </c>
      <c r="B706" t="s">
        <v>115</v>
      </c>
      <c r="C706" t="b">
        <v>0</v>
      </c>
      <c r="D706" s="1">
        <v>37469</v>
      </c>
      <c r="E706">
        <v>2</v>
      </c>
      <c r="F706"/>
      <c r="G706"/>
      <c r="H706"/>
      <c r="I706"/>
      <c r="J706"/>
      <c r="K706"/>
      <c r="L706"/>
      <c r="M706"/>
      <c r="N706"/>
      <c r="O706"/>
    </row>
    <row r="707" spans="1:15" hidden="1" x14ac:dyDescent="0.25">
      <c r="A707" t="s">
        <v>14</v>
      </c>
      <c r="B707" t="s">
        <v>115</v>
      </c>
      <c r="C707" t="b">
        <v>0</v>
      </c>
      <c r="D707" s="1">
        <v>37469</v>
      </c>
      <c r="E707">
        <v>2</v>
      </c>
      <c r="F707"/>
      <c r="G707"/>
      <c r="H707"/>
      <c r="I707"/>
      <c r="J707"/>
      <c r="K707"/>
      <c r="L707"/>
      <c r="M707"/>
      <c r="N707"/>
      <c r="O707"/>
    </row>
    <row r="708" spans="1:15" hidden="1" x14ac:dyDescent="0.25">
      <c r="A708" t="s">
        <v>106</v>
      </c>
      <c r="B708" t="s">
        <v>115</v>
      </c>
      <c r="C708" t="b">
        <v>0</v>
      </c>
      <c r="D708" s="1">
        <v>37469</v>
      </c>
      <c r="E708">
        <v>2</v>
      </c>
      <c r="F708"/>
      <c r="G708"/>
      <c r="H708"/>
      <c r="I708"/>
      <c r="J708"/>
      <c r="K708"/>
      <c r="L708"/>
      <c r="M708"/>
      <c r="N708"/>
      <c r="O708"/>
    </row>
    <row r="709" spans="1:15" hidden="1" x14ac:dyDescent="0.25">
      <c r="A709" t="s">
        <v>106</v>
      </c>
      <c r="B709" t="s">
        <v>115</v>
      </c>
      <c r="C709" t="b">
        <v>0</v>
      </c>
      <c r="D709" s="1">
        <v>37469</v>
      </c>
      <c r="E709">
        <v>2</v>
      </c>
      <c r="F709"/>
      <c r="G709"/>
      <c r="H709"/>
      <c r="I709"/>
      <c r="J709"/>
      <c r="K709"/>
      <c r="L709"/>
      <c r="M709"/>
      <c r="N709"/>
      <c r="O709"/>
    </row>
    <row r="710" spans="1:15" hidden="1" x14ac:dyDescent="0.25">
      <c r="A710" t="s">
        <v>106</v>
      </c>
      <c r="B710" t="s">
        <v>115</v>
      </c>
      <c r="C710" t="b">
        <v>0</v>
      </c>
      <c r="D710" s="1">
        <v>37469</v>
      </c>
      <c r="E710">
        <v>2</v>
      </c>
      <c r="F710"/>
      <c r="G710"/>
      <c r="H710"/>
      <c r="I710"/>
      <c r="J710"/>
      <c r="K710"/>
      <c r="L710"/>
      <c r="M710"/>
      <c r="N710"/>
      <c r="O710"/>
    </row>
    <row r="711" spans="1:15" hidden="1" x14ac:dyDescent="0.25">
      <c r="A711" t="s">
        <v>106</v>
      </c>
      <c r="B711" t="s">
        <v>115</v>
      </c>
      <c r="C711" t="b">
        <v>0</v>
      </c>
      <c r="D711" s="1">
        <v>37469</v>
      </c>
      <c r="E711">
        <v>2</v>
      </c>
      <c r="F711"/>
      <c r="G711"/>
      <c r="H711"/>
      <c r="I711"/>
      <c r="J711"/>
      <c r="K711"/>
      <c r="L711"/>
      <c r="M711"/>
      <c r="N711"/>
      <c r="O711"/>
    </row>
    <row r="712" spans="1:15" hidden="1" x14ac:dyDescent="0.25">
      <c r="A712" t="s">
        <v>106</v>
      </c>
      <c r="B712" t="s">
        <v>115</v>
      </c>
      <c r="C712" t="b">
        <v>0</v>
      </c>
      <c r="D712" s="1">
        <v>37469</v>
      </c>
      <c r="E712">
        <v>2</v>
      </c>
      <c r="F712"/>
      <c r="G712"/>
      <c r="H712"/>
      <c r="I712"/>
      <c r="J712"/>
      <c r="K712"/>
      <c r="L712"/>
      <c r="M712"/>
      <c r="N712"/>
      <c r="O712"/>
    </row>
    <row r="713" spans="1:15" hidden="1" x14ac:dyDescent="0.25">
      <c r="A713" t="s">
        <v>106</v>
      </c>
      <c r="B713" t="s">
        <v>115</v>
      </c>
      <c r="C713" t="b">
        <v>0</v>
      </c>
      <c r="D713" s="1">
        <v>37469</v>
      </c>
      <c r="E713">
        <v>2</v>
      </c>
      <c r="F713"/>
      <c r="G713"/>
      <c r="H713"/>
      <c r="I713"/>
      <c r="J713"/>
      <c r="K713"/>
      <c r="L713"/>
      <c r="M713"/>
      <c r="N713"/>
      <c r="O713"/>
    </row>
    <row r="714" spans="1:15" hidden="1" x14ac:dyDescent="0.25">
      <c r="A714" t="s">
        <v>106</v>
      </c>
      <c r="B714" t="s">
        <v>115</v>
      </c>
      <c r="C714" t="b">
        <v>0</v>
      </c>
      <c r="D714" s="1">
        <v>37469</v>
      </c>
      <c r="E714">
        <v>2</v>
      </c>
      <c r="F714"/>
      <c r="G714"/>
      <c r="H714"/>
      <c r="I714"/>
      <c r="J714"/>
      <c r="K714"/>
      <c r="L714"/>
      <c r="M714"/>
      <c r="N714"/>
      <c r="O714"/>
    </row>
    <row r="715" spans="1:15" hidden="1" x14ac:dyDescent="0.25">
      <c r="A715" t="s">
        <v>106</v>
      </c>
      <c r="B715" t="s">
        <v>115</v>
      </c>
      <c r="C715" t="b">
        <v>0</v>
      </c>
      <c r="D715" s="1">
        <v>37469</v>
      </c>
      <c r="E715">
        <v>2</v>
      </c>
      <c r="F715"/>
      <c r="G715"/>
      <c r="H715"/>
      <c r="I715"/>
      <c r="J715"/>
      <c r="K715"/>
      <c r="L715"/>
      <c r="M715"/>
      <c r="N715"/>
      <c r="O715"/>
    </row>
    <row r="716" spans="1:15" hidden="1" x14ac:dyDescent="0.25">
      <c r="A716" t="s">
        <v>106</v>
      </c>
      <c r="B716" t="s">
        <v>115</v>
      </c>
      <c r="C716" t="b">
        <v>0</v>
      </c>
      <c r="D716" s="1">
        <v>37469</v>
      </c>
      <c r="E716">
        <v>2</v>
      </c>
      <c r="F716"/>
      <c r="G716"/>
      <c r="H716"/>
      <c r="I716"/>
      <c r="J716"/>
      <c r="K716"/>
      <c r="L716"/>
      <c r="M716"/>
      <c r="N716"/>
      <c r="O716"/>
    </row>
    <row r="717" spans="1:15" hidden="1" x14ac:dyDescent="0.25">
      <c r="A717" t="s">
        <v>106</v>
      </c>
      <c r="B717" t="s">
        <v>115</v>
      </c>
      <c r="C717" t="b">
        <v>0</v>
      </c>
      <c r="D717" s="1">
        <v>37469</v>
      </c>
      <c r="E717">
        <v>2</v>
      </c>
      <c r="F717"/>
      <c r="G717"/>
      <c r="H717"/>
      <c r="I717"/>
      <c r="J717"/>
      <c r="K717"/>
      <c r="L717"/>
      <c r="M717"/>
      <c r="N717"/>
      <c r="O717"/>
    </row>
    <row r="718" spans="1:15" hidden="1" x14ac:dyDescent="0.25">
      <c r="A718" t="s">
        <v>106</v>
      </c>
      <c r="B718" t="s">
        <v>115</v>
      </c>
      <c r="C718" t="b">
        <v>0</v>
      </c>
      <c r="D718" s="1">
        <v>37469</v>
      </c>
      <c r="E718">
        <v>2</v>
      </c>
      <c r="F718"/>
      <c r="G718"/>
      <c r="H718"/>
      <c r="I718"/>
      <c r="J718"/>
      <c r="K718"/>
      <c r="L718"/>
      <c r="M718"/>
      <c r="N718"/>
      <c r="O718"/>
    </row>
    <row r="719" spans="1:15" hidden="1" x14ac:dyDescent="0.25">
      <c r="A719" t="s">
        <v>106</v>
      </c>
      <c r="B719" t="s">
        <v>115</v>
      </c>
      <c r="C719" t="b">
        <v>0</v>
      </c>
      <c r="D719" s="1">
        <v>37469</v>
      </c>
      <c r="E719">
        <v>2</v>
      </c>
      <c r="F719"/>
      <c r="G719"/>
      <c r="H719"/>
      <c r="I719"/>
      <c r="J719"/>
      <c r="K719"/>
      <c r="L719"/>
      <c r="M719"/>
      <c r="N719"/>
      <c r="O719"/>
    </row>
    <row r="720" spans="1:15" hidden="1" x14ac:dyDescent="0.25">
      <c r="A720" t="s">
        <v>106</v>
      </c>
      <c r="B720" t="s">
        <v>115</v>
      </c>
      <c r="C720" t="b">
        <v>0</v>
      </c>
      <c r="D720" s="1">
        <v>37469</v>
      </c>
      <c r="E720">
        <v>2</v>
      </c>
      <c r="F720"/>
      <c r="G720"/>
      <c r="H720"/>
      <c r="I720"/>
      <c r="J720"/>
      <c r="K720"/>
      <c r="L720"/>
      <c r="M720"/>
      <c r="N720"/>
      <c r="O720"/>
    </row>
    <row r="721" spans="1:15" hidden="1" x14ac:dyDescent="0.25">
      <c r="A721" t="s">
        <v>106</v>
      </c>
      <c r="B721" t="s">
        <v>115</v>
      </c>
      <c r="C721" t="b">
        <v>0</v>
      </c>
      <c r="D721" s="1">
        <v>37469</v>
      </c>
      <c r="E721">
        <v>2</v>
      </c>
      <c r="F721"/>
      <c r="G721"/>
      <c r="H721"/>
      <c r="I721"/>
      <c r="J721"/>
      <c r="K721"/>
      <c r="L721"/>
      <c r="M721"/>
      <c r="N721"/>
      <c r="O721"/>
    </row>
    <row r="722" spans="1:15" hidden="1" x14ac:dyDescent="0.25">
      <c r="A722" t="s">
        <v>106</v>
      </c>
      <c r="B722" t="s">
        <v>115</v>
      </c>
      <c r="C722" t="b">
        <v>0</v>
      </c>
      <c r="D722" s="1">
        <v>37469</v>
      </c>
      <c r="E722">
        <v>2</v>
      </c>
      <c r="F722"/>
      <c r="G722"/>
      <c r="H722"/>
      <c r="I722"/>
      <c r="J722"/>
      <c r="K722"/>
      <c r="L722"/>
      <c r="M722"/>
      <c r="N722"/>
      <c r="O722"/>
    </row>
    <row r="723" spans="1:15" hidden="1" x14ac:dyDescent="0.25">
      <c r="A723" t="s">
        <v>106</v>
      </c>
      <c r="B723" t="s">
        <v>115</v>
      </c>
      <c r="C723" t="b">
        <v>0</v>
      </c>
      <c r="D723" s="1">
        <v>37469</v>
      </c>
      <c r="E723">
        <v>2</v>
      </c>
      <c r="F723"/>
      <c r="G723"/>
      <c r="H723"/>
      <c r="I723"/>
      <c r="J723"/>
      <c r="K723"/>
      <c r="L723"/>
      <c r="M723"/>
      <c r="N723"/>
      <c r="O723"/>
    </row>
    <row r="724" spans="1:15" hidden="1" x14ac:dyDescent="0.25">
      <c r="A724" t="s">
        <v>106</v>
      </c>
      <c r="B724" t="s">
        <v>115</v>
      </c>
      <c r="C724" t="b">
        <v>0</v>
      </c>
      <c r="D724" s="1">
        <v>37469</v>
      </c>
      <c r="E724">
        <v>2</v>
      </c>
      <c r="F724"/>
      <c r="G724"/>
      <c r="H724"/>
      <c r="I724"/>
      <c r="J724"/>
      <c r="K724"/>
      <c r="L724"/>
      <c r="M724"/>
      <c r="N724"/>
      <c r="O724"/>
    </row>
    <row r="725" spans="1:15" hidden="1" x14ac:dyDescent="0.25">
      <c r="A725" t="s">
        <v>106</v>
      </c>
      <c r="B725" t="s">
        <v>115</v>
      </c>
      <c r="C725" t="b">
        <v>0</v>
      </c>
      <c r="D725" s="1">
        <v>37469</v>
      </c>
      <c r="E725">
        <v>2</v>
      </c>
      <c r="F725"/>
      <c r="G725"/>
      <c r="H725"/>
      <c r="I725"/>
      <c r="J725"/>
      <c r="K725"/>
      <c r="L725"/>
      <c r="M725"/>
      <c r="N725"/>
      <c r="O725"/>
    </row>
    <row r="726" spans="1:15" hidden="1" x14ac:dyDescent="0.25">
      <c r="A726" t="s">
        <v>106</v>
      </c>
      <c r="B726" t="s">
        <v>115</v>
      </c>
      <c r="C726" t="b">
        <v>0</v>
      </c>
      <c r="D726" s="1">
        <v>37469</v>
      </c>
      <c r="E726">
        <v>2</v>
      </c>
      <c r="F726"/>
      <c r="G726"/>
      <c r="H726"/>
      <c r="I726"/>
      <c r="J726"/>
      <c r="K726"/>
      <c r="L726"/>
      <c r="M726"/>
      <c r="N726"/>
      <c r="O726"/>
    </row>
    <row r="727" spans="1:15" hidden="1" x14ac:dyDescent="0.25">
      <c r="A727" t="s">
        <v>106</v>
      </c>
      <c r="B727" t="s">
        <v>115</v>
      </c>
      <c r="C727" t="b">
        <v>0</v>
      </c>
      <c r="D727" s="1">
        <v>37469</v>
      </c>
      <c r="E727">
        <v>2</v>
      </c>
      <c r="F727"/>
      <c r="G727"/>
      <c r="H727"/>
      <c r="I727"/>
      <c r="J727"/>
      <c r="K727"/>
      <c r="L727"/>
      <c r="M727"/>
      <c r="N727"/>
      <c r="O727"/>
    </row>
    <row r="728" spans="1:15" hidden="1" x14ac:dyDescent="0.25">
      <c r="A728" t="s">
        <v>106</v>
      </c>
      <c r="B728" t="s">
        <v>115</v>
      </c>
      <c r="C728" t="b">
        <v>0</v>
      </c>
      <c r="D728" s="1">
        <v>37469</v>
      </c>
      <c r="E728">
        <v>2</v>
      </c>
      <c r="F728"/>
      <c r="G728"/>
      <c r="H728"/>
      <c r="I728"/>
      <c r="J728"/>
      <c r="K728"/>
      <c r="L728"/>
      <c r="M728"/>
      <c r="N728"/>
      <c r="O728"/>
    </row>
    <row r="729" spans="1:15" hidden="1" x14ac:dyDescent="0.25">
      <c r="A729" t="s">
        <v>106</v>
      </c>
      <c r="B729" t="s">
        <v>115</v>
      </c>
      <c r="C729" t="b">
        <v>0</v>
      </c>
      <c r="D729" s="1">
        <v>37469</v>
      </c>
      <c r="E729">
        <v>2</v>
      </c>
      <c r="F729"/>
      <c r="G729"/>
      <c r="H729"/>
      <c r="I729"/>
      <c r="J729"/>
      <c r="K729"/>
      <c r="L729"/>
      <c r="M729"/>
      <c r="N729"/>
      <c r="O729"/>
    </row>
    <row r="730" spans="1:15" hidden="1" x14ac:dyDescent="0.25">
      <c r="A730" t="s">
        <v>106</v>
      </c>
      <c r="B730" t="s">
        <v>115</v>
      </c>
      <c r="C730" t="b">
        <v>0</v>
      </c>
      <c r="D730" s="1">
        <v>37469</v>
      </c>
      <c r="E730">
        <v>2</v>
      </c>
      <c r="F730"/>
      <c r="G730"/>
      <c r="H730"/>
      <c r="I730"/>
      <c r="J730"/>
      <c r="K730"/>
      <c r="L730"/>
      <c r="M730"/>
      <c r="N730"/>
      <c r="O730"/>
    </row>
    <row r="731" spans="1:15" hidden="1" x14ac:dyDescent="0.25">
      <c r="A731" t="s">
        <v>106</v>
      </c>
      <c r="B731" t="s">
        <v>115</v>
      </c>
      <c r="C731" t="b">
        <v>0</v>
      </c>
      <c r="D731" s="1">
        <v>37469</v>
      </c>
      <c r="E731">
        <v>2</v>
      </c>
      <c r="F731"/>
      <c r="G731"/>
      <c r="H731"/>
      <c r="I731"/>
      <c r="J731"/>
      <c r="K731"/>
      <c r="L731"/>
      <c r="M731"/>
      <c r="N731"/>
      <c r="O731"/>
    </row>
    <row r="732" spans="1:15" hidden="1" x14ac:dyDescent="0.25">
      <c r="A732" t="s">
        <v>106</v>
      </c>
      <c r="B732" t="s">
        <v>115</v>
      </c>
      <c r="C732" t="b">
        <v>0</v>
      </c>
      <c r="D732" s="1">
        <v>37469</v>
      </c>
      <c r="E732">
        <v>2</v>
      </c>
      <c r="F732"/>
      <c r="G732"/>
      <c r="H732"/>
      <c r="I732"/>
      <c r="J732"/>
      <c r="K732"/>
      <c r="L732"/>
      <c r="M732"/>
      <c r="N732"/>
      <c r="O732"/>
    </row>
    <row r="733" spans="1:15" hidden="1" x14ac:dyDescent="0.25">
      <c r="A733" t="s">
        <v>30</v>
      </c>
      <c r="B733" t="s">
        <v>115</v>
      </c>
      <c r="C733" t="b">
        <v>0</v>
      </c>
      <c r="D733" s="1">
        <v>37469</v>
      </c>
      <c r="E733">
        <v>2</v>
      </c>
      <c r="F733"/>
      <c r="G733"/>
      <c r="H733"/>
      <c r="I733"/>
      <c r="J733"/>
      <c r="K733"/>
      <c r="L733"/>
      <c r="M733"/>
      <c r="N733"/>
      <c r="O733"/>
    </row>
    <row r="734" spans="1:15" hidden="1" x14ac:dyDescent="0.25">
      <c r="A734" t="s">
        <v>39</v>
      </c>
      <c r="B734" t="s">
        <v>115</v>
      </c>
      <c r="C734" t="b">
        <v>0</v>
      </c>
      <c r="D734" s="1">
        <v>37469</v>
      </c>
      <c r="E734">
        <v>2</v>
      </c>
      <c r="F734"/>
      <c r="G734"/>
      <c r="H734"/>
      <c r="I734"/>
      <c r="J734"/>
      <c r="K734"/>
      <c r="L734"/>
      <c r="M734"/>
      <c r="N734"/>
      <c r="O734"/>
    </row>
    <row r="735" spans="1:15" hidden="1" x14ac:dyDescent="0.25">
      <c r="A735" t="s">
        <v>57</v>
      </c>
      <c r="B735" t="s">
        <v>115</v>
      </c>
      <c r="C735" t="b">
        <v>0</v>
      </c>
      <c r="D735" s="1">
        <v>37469</v>
      </c>
      <c r="E735">
        <v>2</v>
      </c>
      <c r="F735"/>
      <c r="G735"/>
      <c r="H735"/>
      <c r="I735"/>
      <c r="J735"/>
      <c r="K735"/>
      <c r="L735"/>
      <c r="M735"/>
      <c r="N735"/>
      <c r="O735"/>
    </row>
    <row r="736" spans="1:15" hidden="1" x14ac:dyDescent="0.25">
      <c r="A736" t="s">
        <v>69</v>
      </c>
      <c r="B736" t="s">
        <v>115</v>
      </c>
      <c r="C736" t="b">
        <v>0</v>
      </c>
      <c r="D736" s="1">
        <v>37469</v>
      </c>
      <c r="E736">
        <v>2</v>
      </c>
      <c r="F736"/>
      <c r="G736"/>
      <c r="H736"/>
      <c r="I736"/>
      <c r="J736"/>
      <c r="K736"/>
      <c r="L736"/>
      <c r="M736"/>
      <c r="N736"/>
      <c r="O736"/>
    </row>
    <row r="737" spans="1:15" hidden="1" x14ac:dyDescent="0.25">
      <c r="A737" t="s">
        <v>99</v>
      </c>
      <c r="B737" t="s">
        <v>114</v>
      </c>
      <c r="C737" t="b">
        <v>0</v>
      </c>
      <c r="D737" s="1">
        <v>37469</v>
      </c>
      <c r="E737">
        <v>8.5500000000000007</v>
      </c>
      <c r="F737"/>
      <c r="G737"/>
      <c r="H737"/>
      <c r="I737"/>
      <c r="J737"/>
      <c r="K737"/>
      <c r="L737"/>
      <c r="M737"/>
      <c r="N737"/>
      <c r="O737"/>
    </row>
    <row r="738" spans="1:15" hidden="1" x14ac:dyDescent="0.25">
      <c r="A738" t="s">
        <v>100</v>
      </c>
      <c r="B738" t="s">
        <v>117</v>
      </c>
      <c r="C738" t="b">
        <v>0</v>
      </c>
      <c r="D738" s="1">
        <v>37500</v>
      </c>
      <c r="E738" s="2">
        <v>-93.710000000000008</v>
      </c>
      <c r="F738"/>
      <c r="G738"/>
      <c r="H738"/>
      <c r="I738"/>
      <c r="J738"/>
      <c r="K738"/>
      <c r="L738"/>
      <c r="M738"/>
      <c r="N738"/>
      <c r="O738"/>
    </row>
    <row r="739" spans="1:15" hidden="1" x14ac:dyDescent="0.25">
      <c r="A739" t="s">
        <v>104</v>
      </c>
      <c r="B739" t="s">
        <v>117</v>
      </c>
      <c r="C739" t="b">
        <v>0</v>
      </c>
      <c r="D739" s="1">
        <v>37500</v>
      </c>
      <c r="E739" s="2">
        <v>-0.46</v>
      </c>
      <c r="F739"/>
      <c r="G739"/>
      <c r="H739"/>
      <c r="I739"/>
      <c r="J739"/>
      <c r="K739"/>
      <c r="L739"/>
      <c r="M739"/>
      <c r="N739"/>
      <c r="O739"/>
    </row>
    <row r="740" spans="1:15" hidden="1" x14ac:dyDescent="0.25">
      <c r="A740" t="s">
        <v>102</v>
      </c>
      <c r="B740" t="s">
        <v>117</v>
      </c>
      <c r="C740" t="b">
        <v>0</v>
      </c>
      <c r="D740" s="1">
        <v>37500</v>
      </c>
      <c r="E740" s="2">
        <v>-7.38</v>
      </c>
      <c r="F740"/>
      <c r="G740"/>
      <c r="H740"/>
      <c r="I740"/>
      <c r="J740"/>
      <c r="K740"/>
      <c r="L740"/>
      <c r="M740"/>
      <c r="N740"/>
      <c r="O740"/>
    </row>
    <row r="741" spans="1:15" hidden="1" x14ac:dyDescent="0.25">
      <c r="A741" t="s">
        <v>103</v>
      </c>
      <c r="B741" t="s">
        <v>117</v>
      </c>
      <c r="C741" t="b">
        <v>0</v>
      </c>
      <c r="D741" s="1">
        <v>37500</v>
      </c>
      <c r="E741" s="2">
        <v>-11.35</v>
      </c>
      <c r="F741"/>
      <c r="G741"/>
      <c r="H741"/>
      <c r="I741"/>
      <c r="J741"/>
      <c r="K741"/>
      <c r="L741"/>
      <c r="M741"/>
      <c r="N741"/>
      <c r="O741"/>
    </row>
    <row r="742" spans="1:15" hidden="1" x14ac:dyDescent="0.25">
      <c r="A742" t="s">
        <v>101</v>
      </c>
      <c r="B742" t="s">
        <v>117</v>
      </c>
      <c r="C742" t="b">
        <v>0</v>
      </c>
      <c r="D742" s="1">
        <v>37500</v>
      </c>
      <c r="E742" s="2">
        <v>-11.5</v>
      </c>
      <c r="F742"/>
      <c r="G742"/>
      <c r="H742"/>
      <c r="I742"/>
      <c r="J742"/>
      <c r="K742"/>
      <c r="L742"/>
      <c r="M742"/>
      <c r="N742"/>
      <c r="O742"/>
    </row>
    <row r="743" spans="1:15" hidden="1" x14ac:dyDescent="0.25">
      <c r="A743" t="s">
        <v>108</v>
      </c>
      <c r="B743" t="s">
        <v>115</v>
      </c>
      <c r="C743" t="b">
        <v>0</v>
      </c>
      <c r="D743" s="1">
        <v>37500</v>
      </c>
      <c r="E743">
        <v>2</v>
      </c>
      <c r="F743"/>
      <c r="G743"/>
      <c r="H743"/>
      <c r="I743"/>
      <c r="J743"/>
      <c r="K743"/>
      <c r="L743"/>
      <c r="M743"/>
      <c r="N743"/>
      <c r="O743"/>
    </row>
    <row r="744" spans="1:15" hidden="1" x14ac:dyDescent="0.25">
      <c r="A744" t="s">
        <v>11</v>
      </c>
      <c r="B744" t="s">
        <v>115</v>
      </c>
      <c r="C744" t="b">
        <v>0</v>
      </c>
      <c r="D744" s="1">
        <v>37500</v>
      </c>
      <c r="E744">
        <v>2</v>
      </c>
      <c r="F744"/>
      <c r="G744"/>
      <c r="H744"/>
      <c r="I744"/>
      <c r="J744"/>
      <c r="K744"/>
      <c r="L744"/>
      <c r="M744"/>
      <c r="N744"/>
      <c r="O744"/>
    </row>
    <row r="745" spans="1:15" hidden="1" x14ac:dyDescent="0.25">
      <c r="A745" t="s">
        <v>12</v>
      </c>
      <c r="B745" t="s">
        <v>115</v>
      </c>
      <c r="C745" t="b">
        <v>0</v>
      </c>
      <c r="D745" s="1">
        <v>37500</v>
      </c>
      <c r="E745">
        <v>2</v>
      </c>
      <c r="F745"/>
      <c r="G745"/>
      <c r="H745"/>
      <c r="I745"/>
      <c r="J745"/>
      <c r="K745"/>
      <c r="L745"/>
      <c r="M745"/>
      <c r="N745"/>
      <c r="O745"/>
    </row>
    <row r="746" spans="1:15" hidden="1" x14ac:dyDescent="0.25">
      <c r="A746" t="s">
        <v>14</v>
      </c>
      <c r="B746" t="s">
        <v>115</v>
      </c>
      <c r="C746" t="b">
        <v>0</v>
      </c>
      <c r="D746" s="1">
        <v>37500</v>
      </c>
      <c r="E746">
        <v>2</v>
      </c>
      <c r="F746"/>
      <c r="G746"/>
      <c r="H746"/>
      <c r="I746"/>
      <c r="J746"/>
      <c r="K746"/>
      <c r="L746"/>
      <c r="M746"/>
      <c r="N746"/>
      <c r="O746"/>
    </row>
    <row r="747" spans="1:15" hidden="1" x14ac:dyDescent="0.25">
      <c r="A747" t="s">
        <v>18</v>
      </c>
      <c r="B747" t="s">
        <v>115</v>
      </c>
      <c r="C747" t="b">
        <v>0</v>
      </c>
      <c r="D747" s="1">
        <v>37500</v>
      </c>
      <c r="E747">
        <v>2</v>
      </c>
      <c r="F747"/>
      <c r="G747"/>
      <c r="H747"/>
      <c r="I747"/>
      <c r="J747"/>
      <c r="K747"/>
      <c r="L747"/>
      <c r="M747"/>
      <c r="N747"/>
      <c r="O747"/>
    </row>
    <row r="748" spans="1:15" hidden="1" x14ac:dyDescent="0.25">
      <c r="A748" t="s">
        <v>106</v>
      </c>
      <c r="B748" t="s">
        <v>115</v>
      </c>
      <c r="C748" t="b">
        <v>0</v>
      </c>
      <c r="D748" s="1">
        <v>37500</v>
      </c>
      <c r="E748">
        <v>2</v>
      </c>
      <c r="F748"/>
      <c r="G748"/>
      <c r="H748"/>
      <c r="I748"/>
      <c r="J748"/>
      <c r="K748"/>
      <c r="L748"/>
      <c r="M748"/>
      <c r="N748"/>
      <c r="O748"/>
    </row>
    <row r="749" spans="1:15" hidden="1" x14ac:dyDescent="0.25">
      <c r="A749" t="s">
        <v>106</v>
      </c>
      <c r="B749" t="s">
        <v>115</v>
      </c>
      <c r="C749" t="b">
        <v>0</v>
      </c>
      <c r="D749" s="1">
        <v>37500</v>
      </c>
      <c r="E749">
        <v>2</v>
      </c>
      <c r="F749"/>
      <c r="G749"/>
      <c r="H749"/>
      <c r="I749"/>
      <c r="J749"/>
      <c r="K749"/>
      <c r="L749"/>
      <c r="M749"/>
      <c r="N749"/>
      <c r="O749"/>
    </row>
    <row r="750" spans="1:15" hidden="1" x14ac:dyDescent="0.25">
      <c r="A750" t="s">
        <v>106</v>
      </c>
      <c r="B750" t="s">
        <v>115</v>
      </c>
      <c r="C750" t="b">
        <v>0</v>
      </c>
      <c r="D750" s="1">
        <v>37500</v>
      </c>
      <c r="E750">
        <v>2</v>
      </c>
      <c r="F750"/>
      <c r="G750"/>
      <c r="H750"/>
      <c r="I750"/>
      <c r="J750"/>
      <c r="K750"/>
      <c r="L750"/>
      <c r="M750"/>
      <c r="N750"/>
      <c r="O750"/>
    </row>
    <row r="751" spans="1:15" hidden="1" x14ac:dyDescent="0.25">
      <c r="A751" t="s">
        <v>106</v>
      </c>
      <c r="B751" t="s">
        <v>115</v>
      </c>
      <c r="C751" t="b">
        <v>0</v>
      </c>
      <c r="D751" s="1">
        <v>37500</v>
      </c>
      <c r="E751">
        <v>2</v>
      </c>
      <c r="F751"/>
      <c r="G751"/>
      <c r="H751"/>
      <c r="I751"/>
      <c r="J751"/>
      <c r="K751"/>
      <c r="L751"/>
      <c r="M751"/>
      <c r="N751"/>
      <c r="O751"/>
    </row>
    <row r="752" spans="1:15" hidden="1" x14ac:dyDescent="0.25">
      <c r="A752" t="s">
        <v>106</v>
      </c>
      <c r="B752" t="s">
        <v>115</v>
      </c>
      <c r="C752" t="b">
        <v>0</v>
      </c>
      <c r="D752" s="1">
        <v>37500</v>
      </c>
      <c r="E752">
        <v>2</v>
      </c>
      <c r="F752"/>
      <c r="G752"/>
      <c r="H752"/>
      <c r="I752"/>
      <c r="J752"/>
      <c r="K752"/>
      <c r="L752"/>
      <c r="M752"/>
      <c r="N752"/>
      <c r="O752"/>
    </row>
    <row r="753" spans="1:15" hidden="1" x14ac:dyDescent="0.25">
      <c r="A753" t="s">
        <v>106</v>
      </c>
      <c r="B753" t="s">
        <v>115</v>
      </c>
      <c r="C753" t="b">
        <v>0</v>
      </c>
      <c r="D753" s="1">
        <v>37500</v>
      </c>
      <c r="E753">
        <v>2</v>
      </c>
      <c r="F753"/>
      <c r="G753"/>
      <c r="H753"/>
      <c r="I753"/>
      <c r="J753"/>
      <c r="K753"/>
      <c r="L753"/>
      <c r="M753"/>
      <c r="N753"/>
      <c r="O753"/>
    </row>
    <row r="754" spans="1:15" hidden="1" x14ac:dyDescent="0.25">
      <c r="A754" t="s">
        <v>106</v>
      </c>
      <c r="B754" t="s">
        <v>115</v>
      </c>
      <c r="C754" t="b">
        <v>0</v>
      </c>
      <c r="D754" s="1">
        <v>37500</v>
      </c>
      <c r="E754">
        <v>2</v>
      </c>
      <c r="F754"/>
      <c r="G754"/>
      <c r="H754"/>
      <c r="I754"/>
      <c r="J754"/>
      <c r="K754"/>
      <c r="L754"/>
      <c r="M754"/>
      <c r="N754"/>
      <c r="O754"/>
    </row>
    <row r="755" spans="1:15" hidden="1" x14ac:dyDescent="0.25">
      <c r="A755" t="s">
        <v>106</v>
      </c>
      <c r="B755" t="s">
        <v>115</v>
      </c>
      <c r="C755" t="b">
        <v>0</v>
      </c>
      <c r="D755" s="1">
        <v>37500</v>
      </c>
      <c r="E755">
        <v>2</v>
      </c>
      <c r="F755"/>
      <c r="G755"/>
      <c r="H755"/>
      <c r="I755"/>
      <c r="J755"/>
      <c r="K755"/>
      <c r="L755"/>
      <c r="M755"/>
      <c r="N755"/>
      <c r="O755"/>
    </row>
    <row r="756" spans="1:15" hidden="1" x14ac:dyDescent="0.25">
      <c r="A756" t="s">
        <v>106</v>
      </c>
      <c r="B756" t="s">
        <v>115</v>
      </c>
      <c r="C756" t="b">
        <v>0</v>
      </c>
      <c r="D756" s="1">
        <v>37500</v>
      </c>
      <c r="E756">
        <v>2</v>
      </c>
      <c r="F756"/>
      <c r="G756"/>
      <c r="H756"/>
      <c r="I756"/>
      <c r="J756"/>
      <c r="K756"/>
      <c r="L756"/>
      <c r="M756"/>
      <c r="N756"/>
      <c r="O756"/>
    </row>
    <row r="757" spans="1:15" hidden="1" x14ac:dyDescent="0.25">
      <c r="A757" t="s">
        <v>106</v>
      </c>
      <c r="B757" t="s">
        <v>115</v>
      </c>
      <c r="C757" t="b">
        <v>0</v>
      </c>
      <c r="D757" s="1">
        <v>37500</v>
      </c>
      <c r="E757">
        <v>2</v>
      </c>
      <c r="F757"/>
      <c r="G757"/>
      <c r="H757"/>
      <c r="I757"/>
      <c r="J757"/>
      <c r="K757"/>
      <c r="L757"/>
      <c r="M757"/>
      <c r="N757"/>
      <c r="O757"/>
    </row>
    <row r="758" spans="1:15" hidden="1" x14ac:dyDescent="0.25">
      <c r="A758" t="s">
        <v>106</v>
      </c>
      <c r="B758" t="s">
        <v>115</v>
      </c>
      <c r="C758" t="b">
        <v>0</v>
      </c>
      <c r="D758" s="1">
        <v>37500</v>
      </c>
      <c r="E758">
        <v>2</v>
      </c>
      <c r="F758"/>
      <c r="G758"/>
      <c r="H758"/>
      <c r="I758"/>
      <c r="J758"/>
      <c r="K758"/>
      <c r="L758"/>
      <c r="M758"/>
      <c r="N758"/>
      <c r="O758"/>
    </row>
    <row r="759" spans="1:15" hidden="1" x14ac:dyDescent="0.25">
      <c r="A759" t="s">
        <v>106</v>
      </c>
      <c r="B759" t="s">
        <v>115</v>
      </c>
      <c r="C759" t="b">
        <v>0</v>
      </c>
      <c r="D759" s="1">
        <v>37500</v>
      </c>
      <c r="E759">
        <v>2</v>
      </c>
      <c r="F759"/>
      <c r="G759"/>
      <c r="H759"/>
      <c r="I759"/>
      <c r="J759"/>
      <c r="K759"/>
      <c r="L759"/>
      <c r="M759"/>
      <c r="N759"/>
      <c r="O759"/>
    </row>
    <row r="760" spans="1:15" hidden="1" x14ac:dyDescent="0.25">
      <c r="A760" t="s">
        <v>106</v>
      </c>
      <c r="B760" t="s">
        <v>115</v>
      </c>
      <c r="C760" t="b">
        <v>0</v>
      </c>
      <c r="D760" s="1">
        <v>37500</v>
      </c>
      <c r="E760">
        <v>2</v>
      </c>
      <c r="F760"/>
      <c r="G760"/>
      <c r="H760"/>
      <c r="I760"/>
      <c r="J760"/>
      <c r="K760"/>
      <c r="L760"/>
      <c r="M760"/>
      <c r="N760"/>
      <c r="O760"/>
    </row>
    <row r="761" spans="1:15" hidden="1" x14ac:dyDescent="0.25">
      <c r="A761" t="s">
        <v>106</v>
      </c>
      <c r="B761" t="s">
        <v>115</v>
      </c>
      <c r="C761" t="b">
        <v>0</v>
      </c>
      <c r="D761" s="1">
        <v>37500</v>
      </c>
      <c r="E761">
        <v>2</v>
      </c>
      <c r="F761"/>
      <c r="G761"/>
      <c r="H761"/>
      <c r="I761"/>
      <c r="J761"/>
      <c r="K761"/>
      <c r="L761"/>
      <c r="M761"/>
      <c r="N761"/>
      <c r="O761"/>
    </row>
    <row r="762" spans="1:15" hidden="1" x14ac:dyDescent="0.25">
      <c r="A762" t="s">
        <v>106</v>
      </c>
      <c r="B762" t="s">
        <v>115</v>
      </c>
      <c r="C762" t="b">
        <v>0</v>
      </c>
      <c r="D762" s="1">
        <v>37500</v>
      </c>
      <c r="E762">
        <v>2</v>
      </c>
      <c r="F762"/>
      <c r="G762"/>
      <c r="H762"/>
      <c r="I762"/>
      <c r="J762"/>
      <c r="K762"/>
      <c r="L762"/>
      <c r="M762"/>
      <c r="N762"/>
      <c r="O762"/>
    </row>
    <row r="763" spans="1:15" hidden="1" x14ac:dyDescent="0.25">
      <c r="A763" t="s">
        <v>106</v>
      </c>
      <c r="B763" t="s">
        <v>115</v>
      </c>
      <c r="C763" t="b">
        <v>0</v>
      </c>
      <c r="D763" s="1">
        <v>37500</v>
      </c>
      <c r="E763">
        <v>2</v>
      </c>
      <c r="F763"/>
      <c r="G763"/>
      <c r="H763"/>
      <c r="I763"/>
      <c r="J763"/>
      <c r="K763"/>
      <c r="L763"/>
      <c r="M763"/>
      <c r="N763"/>
      <c r="O763"/>
    </row>
    <row r="764" spans="1:15" hidden="1" x14ac:dyDescent="0.25">
      <c r="A764" t="s">
        <v>106</v>
      </c>
      <c r="B764" t="s">
        <v>115</v>
      </c>
      <c r="C764" t="b">
        <v>0</v>
      </c>
      <c r="D764" s="1">
        <v>37500</v>
      </c>
      <c r="E764">
        <v>2</v>
      </c>
      <c r="F764"/>
      <c r="G764"/>
      <c r="H764"/>
      <c r="I764"/>
      <c r="J764"/>
      <c r="K764"/>
      <c r="L764"/>
      <c r="M764"/>
      <c r="N764"/>
      <c r="O764"/>
    </row>
    <row r="765" spans="1:15" hidden="1" x14ac:dyDescent="0.25">
      <c r="A765" t="s">
        <v>106</v>
      </c>
      <c r="B765" t="s">
        <v>115</v>
      </c>
      <c r="C765" t="b">
        <v>0</v>
      </c>
      <c r="D765" s="1">
        <v>37500</v>
      </c>
      <c r="E765">
        <v>2</v>
      </c>
      <c r="F765"/>
      <c r="G765"/>
      <c r="H765"/>
      <c r="I765"/>
      <c r="J765"/>
      <c r="K765"/>
      <c r="L765"/>
      <c r="M765"/>
      <c r="N765"/>
      <c r="O765"/>
    </row>
    <row r="766" spans="1:15" hidden="1" x14ac:dyDescent="0.25">
      <c r="A766" t="s">
        <v>106</v>
      </c>
      <c r="B766" t="s">
        <v>115</v>
      </c>
      <c r="C766" t="b">
        <v>0</v>
      </c>
      <c r="D766" s="1">
        <v>37500</v>
      </c>
      <c r="E766">
        <v>2</v>
      </c>
      <c r="F766"/>
      <c r="G766"/>
      <c r="H766"/>
      <c r="I766"/>
      <c r="J766"/>
      <c r="K766"/>
      <c r="L766"/>
      <c r="M766"/>
      <c r="N766"/>
      <c r="O766"/>
    </row>
    <row r="767" spans="1:15" hidden="1" x14ac:dyDescent="0.25">
      <c r="A767" t="s">
        <v>106</v>
      </c>
      <c r="B767" t="s">
        <v>115</v>
      </c>
      <c r="C767" t="b">
        <v>0</v>
      </c>
      <c r="D767" s="1">
        <v>37500</v>
      </c>
      <c r="E767">
        <v>2</v>
      </c>
      <c r="F767"/>
      <c r="G767"/>
      <c r="H767"/>
      <c r="I767"/>
      <c r="J767"/>
      <c r="K767"/>
      <c r="L767"/>
      <c r="M767"/>
      <c r="N767"/>
      <c r="O767"/>
    </row>
    <row r="768" spans="1:15" hidden="1" x14ac:dyDescent="0.25">
      <c r="A768" t="s">
        <v>106</v>
      </c>
      <c r="B768" t="s">
        <v>115</v>
      </c>
      <c r="C768" t="b">
        <v>0</v>
      </c>
      <c r="D768" s="1">
        <v>37500</v>
      </c>
      <c r="E768">
        <v>2</v>
      </c>
      <c r="F768"/>
      <c r="G768"/>
      <c r="H768"/>
      <c r="I768"/>
      <c r="J768"/>
      <c r="K768"/>
      <c r="L768"/>
      <c r="M768"/>
      <c r="N768"/>
      <c r="O768"/>
    </row>
    <row r="769" spans="1:15" hidden="1" x14ac:dyDescent="0.25">
      <c r="A769" t="s">
        <v>106</v>
      </c>
      <c r="B769" t="s">
        <v>115</v>
      </c>
      <c r="C769" t="b">
        <v>0</v>
      </c>
      <c r="D769" s="1">
        <v>37500</v>
      </c>
      <c r="E769">
        <v>2</v>
      </c>
      <c r="F769"/>
      <c r="G769"/>
      <c r="H769"/>
      <c r="I769"/>
      <c r="J769"/>
      <c r="K769"/>
      <c r="L769"/>
      <c r="M769"/>
      <c r="N769"/>
      <c r="O769"/>
    </row>
    <row r="770" spans="1:15" hidden="1" x14ac:dyDescent="0.25">
      <c r="A770" t="s">
        <v>106</v>
      </c>
      <c r="B770" t="s">
        <v>115</v>
      </c>
      <c r="C770" t="b">
        <v>0</v>
      </c>
      <c r="D770" s="1">
        <v>37500</v>
      </c>
      <c r="E770">
        <v>2</v>
      </c>
      <c r="F770"/>
      <c r="G770"/>
      <c r="H770"/>
      <c r="I770"/>
      <c r="J770"/>
      <c r="K770"/>
      <c r="L770"/>
      <c r="M770"/>
      <c r="N770"/>
      <c r="O770"/>
    </row>
    <row r="771" spans="1:15" hidden="1" x14ac:dyDescent="0.25">
      <c r="A771" t="s">
        <v>106</v>
      </c>
      <c r="B771" t="s">
        <v>115</v>
      </c>
      <c r="C771" t="b">
        <v>0</v>
      </c>
      <c r="D771" s="1">
        <v>37500</v>
      </c>
      <c r="E771">
        <v>2</v>
      </c>
      <c r="F771"/>
      <c r="G771"/>
      <c r="H771"/>
      <c r="I771"/>
      <c r="J771"/>
      <c r="K771"/>
      <c r="L771"/>
      <c r="M771"/>
      <c r="N771"/>
      <c r="O771"/>
    </row>
    <row r="772" spans="1:15" hidden="1" x14ac:dyDescent="0.25">
      <c r="A772" t="s">
        <v>106</v>
      </c>
      <c r="B772" t="s">
        <v>115</v>
      </c>
      <c r="C772" t="b">
        <v>0</v>
      </c>
      <c r="D772" s="1">
        <v>37500</v>
      </c>
      <c r="E772">
        <v>2</v>
      </c>
      <c r="F772"/>
      <c r="G772"/>
      <c r="H772"/>
      <c r="I772"/>
      <c r="J772"/>
      <c r="K772"/>
      <c r="L772"/>
      <c r="M772"/>
      <c r="N772"/>
      <c r="O772"/>
    </row>
    <row r="773" spans="1:15" hidden="1" x14ac:dyDescent="0.25">
      <c r="A773" t="s">
        <v>30</v>
      </c>
      <c r="B773" t="s">
        <v>115</v>
      </c>
      <c r="C773" t="b">
        <v>0</v>
      </c>
      <c r="D773" s="1">
        <v>37500</v>
      </c>
      <c r="E773">
        <v>2</v>
      </c>
      <c r="F773"/>
      <c r="G773"/>
      <c r="H773"/>
      <c r="I773"/>
      <c r="J773"/>
      <c r="K773"/>
      <c r="L773"/>
      <c r="M773"/>
      <c r="N773"/>
      <c r="O773"/>
    </row>
    <row r="774" spans="1:15" hidden="1" x14ac:dyDescent="0.25">
      <c r="A774" t="s">
        <v>39</v>
      </c>
      <c r="B774" t="s">
        <v>115</v>
      </c>
      <c r="C774" t="b">
        <v>0</v>
      </c>
      <c r="D774" s="1">
        <v>37500</v>
      </c>
      <c r="E774">
        <v>2</v>
      </c>
      <c r="F774"/>
      <c r="G774"/>
      <c r="H774"/>
      <c r="I774"/>
      <c r="J774"/>
      <c r="K774"/>
      <c r="L774"/>
      <c r="M774"/>
      <c r="N774"/>
      <c r="O774"/>
    </row>
    <row r="775" spans="1:15" hidden="1" x14ac:dyDescent="0.25">
      <c r="A775" t="s">
        <v>57</v>
      </c>
      <c r="B775" t="s">
        <v>115</v>
      </c>
      <c r="C775" t="b">
        <v>0</v>
      </c>
      <c r="D775" s="1">
        <v>37500</v>
      </c>
      <c r="E775">
        <v>2</v>
      </c>
      <c r="F775"/>
      <c r="G775"/>
      <c r="H775"/>
      <c r="I775"/>
      <c r="J775"/>
      <c r="K775"/>
      <c r="L775"/>
      <c r="M775"/>
      <c r="N775"/>
      <c r="O775"/>
    </row>
    <row r="776" spans="1:15" hidden="1" x14ac:dyDescent="0.25">
      <c r="A776" t="s">
        <v>69</v>
      </c>
      <c r="B776" t="s">
        <v>115</v>
      </c>
      <c r="C776" t="b">
        <v>0</v>
      </c>
      <c r="D776" s="1">
        <v>37500</v>
      </c>
      <c r="E776">
        <v>2</v>
      </c>
      <c r="F776"/>
      <c r="G776"/>
      <c r="H776"/>
      <c r="I776"/>
      <c r="J776"/>
      <c r="K776"/>
      <c r="L776"/>
      <c r="M776"/>
      <c r="N776"/>
      <c r="O776"/>
    </row>
    <row r="777" spans="1:15" hidden="1" x14ac:dyDescent="0.25">
      <c r="A777" t="s">
        <v>99</v>
      </c>
      <c r="B777" t="s">
        <v>114</v>
      </c>
      <c r="C777" t="b">
        <v>0</v>
      </c>
      <c r="D777" s="1">
        <v>37500</v>
      </c>
      <c r="E777">
        <v>5.55</v>
      </c>
      <c r="F777"/>
      <c r="G777"/>
      <c r="H777"/>
      <c r="I777"/>
      <c r="J777"/>
      <c r="K777"/>
      <c r="L777"/>
      <c r="M777"/>
      <c r="N777"/>
      <c r="O777"/>
    </row>
    <row r="778" spans="1:15" hidden="1" x14ac:dyDescent="0.25">
      <c r="A778" t="s">
        <v>100</v>
      </c>
      <c r="B778" t="s">
        <v>117</v>
      </c>
      <c r="C778" t="b">
        <v>0</v>
      </c>
      <c r="D778" s="1">
        <v>37530</v>
      </c>
      <c r="E778" s="2">
        <v>-92</v>
      </c>
      <c r="F778"/>
      <c r="G778"/>
      <c r="H778"/>
      <c r="I778"/>
      <c r="J778"/>
      <c r="K778"/>
      <c r="L778"/>
      <c r="M778"/>
      <c r="N778"/>
      <c r="O778"/>
    </row>
    <row r="779" spans="1:15" hidden="1" x14ac:dyDescent="0.25">
      <c r="A779" t="s">
        <v>102</v>
      </c>
      <c r="B779" t="s">
        <v>117</v>
      </c>
      <c r="C779" t="b">
        <v>0</v>
      </c>
      <c r="D779" s="1">
        <v>37530</v>
      </c>
      <c r="E779" s="2">
        <v>-26</v>
      </c>
      <c r="F779"/>
      <c r="G779"/>
      <c r="H779"/>
      <c r="I779"/>
      <c r="J779"/>
      <c r="K779"/>
      <c r="L779"/>
      <c r="M779"/>
      <c r="N779"/>
      <c r="O779"/>
    </row>
    <row r="780" spans="1:15" hidden="1" x14ac:dyDescent="0.25">
      <c r="A780" t="s">
        <v>103</v>
      </c>
      <c r="B780" t="s">
        <v>117</v>
      </c>
      <c r="C780" t="b">
        <v>0</v>
      </c>
      <c r="D780" s="1">
        <v>37530</v>
      </c>
      <c r="E780" s="2">
        <v>-2.6</v>
      </c>
      <c r="F780"/>
      <c r="G780"/>
      <c r="H780"/>
      <c r="I780"/>
      <c r="J780"/>
      <c r="K780"/>
      <c r="L780"/>
      <c r="M780"/>
      <c r="N780"/>
      <c r="O780"/>
    </row>
    <row r="781" spans="1:15" hidden="1" x14ac:dyDescent="0.25">
      <c r="A781" t="s">
        <v>108</v>
      </c>
      <c r="B781" t="s">
        <v>115</v>
      </c>
      <c r="C781" t="b">
        <v>0</v>
      </c>
      <c r="D781" s="1">
        <v>37530</v>
      </c>
      <c r="E781">
        <v>2</v>
      </c>
      <c r="F781"/>
      <c r="G781"/>
      <c r="H781"/>
      <c r="I781"/>
      <c r="J781"/>
      <c r="K781"/>
      <c r="L781"/>
      <c r="M781"/>
      <c r="N781"/>
      <c r="O781"/>
    </row>
    <row r="782" spans="1:15" hidden="1" x14ac:dyDescent="0.25">
      <c r="A782" t="s">
        <v>11</v>
      </c>
      <c r="B782" t="s">
        <v>115</v>
      </c>
      <c r="C782" t="b">
        <v>0</v>
      </c>
      <c r="D782" s="1">
        <v>37530</v>
      </c>
      <c r="E782">
        <v>1</v>
      </c>
      <c r="F782"/>
      <c r="G782"/>
      <c r="H782"/>
      <c r="I782"/>
      <c r="J782"/>
      <c r="K782"/>
      <c r="L782"/>
      <c r="M782"/>
      <c r="N782"/>
      <c r="O782"/>
    </row>
    <row r="783" spans="1:15" hidden="1" x14ac:dyDescent="0.25">
      <c r="A783" t="s">
        <v>12</v>
      </c>
      <c r="B783" t="s">
        <v>115</v>
      </c>
      <c r="C783" t="b">
        <v>0</v>
      </c>
      <c r="D783" s="1">
        <v>37530</v>
      </c>
      <c r="E783">
        <v>2</v>
      </c>
      <c r="F783"/>
      <c r="G783"/>
      <c r="H783"/>
      <c r="I783"/>
      <c r="J783"/>
      <c r="K783"/>
      <c r="L783"/>
      <c r="M783"/>
      <c r="N783"/>
      <c r="O783"/>
    </row>
    <row r="784" spans="1:15" hidden="1" x14ac:dyDescent="0.25">
      <c r="A784" t="s">
        <v>14</v>
      </c>
      <c r="B784" t="s">
        <v>115</v>
      </c>
      <c r="C784" t="b">
        <v>0</v>
      </c>
      <c r="D784" s="1">
        <v>37530</v>
      </c>
      <c r="E784">
        <v>2</v>
      </c>
      <c r="F784"/>
      <c r="G784"/>
      <c r="H784"/>
      <c r="I784"/>
      <c r="J784"/>
      <c r="K784"/>
      <c r="L784"/>
      <c r="M784"/>
      <c r="N784"/>
      <c r="O784"/>
    </row>
    <row r="785" spans="1:15" hidden="1" x14ac:dyDescent="0.25">
      <c r="A785" t="s">
        <v>18</v>
      </c>
      <c r="B785" t="s">
        <v>115</v>
      </c>
      <c r="C785" t="b">
        <v>0</v>
      </c>
      <c r="D785" s="1">
        <v>37530</v>
      </c>
      <c r="E785">
        <v>2</v>
      </c>
      <c r="F785"/>
      <c r="G785"/>
      <c r="H785"/>
      <c r="I785"/>
      <c r="J785"/>
      <c r="K785"/>
      <c r="L785"/>
      <c r="M785"/>
      <c r="N785"/>
      <c r="O785"/>
    </row>
    <row r="786" spans="1:15" hidden="1" x14ac:dyDescent="0.25">
      <c r="A786" t="s">
        <v>106</v>
      </c>
      <c r="B786" t="s">
        <v>115</v>
      </c>
      <c r="C786" t="b">
        <v>0</v>
      </c>
      <c r="D786" s="1">
        <v>37530</v>
      </c>
      <c r="E786">
        <v>2</v>
      </c>
      <c r="F786"/>
      <c r="G786"/>
      <c r="H786"/>
      <c r="I786"/>
      <c r="J786"/>
      <c r="K786"/>
      <c r="L786"/>
      <c r="M786"/>
      <c r="N786"/>
      <c r="O786"/>
    </row>
    <row r="787" spans="1:15" hidden="1" x14ac:dyDescent="0.25">
      <c r="A787" t="s">
        <v>106</v>
      </c>
      <c r="B787" t="s">
        <v>115</v>
      </c>
      <c r="C787" t="b">
        <v>0</v>
      </c>
      <c r="D787" s="1">
        <v>37530</v>
      </c>
      <c r="E787">
        <v>2</v>
      </c>
      <c r="F787"/>
      <c r="G787"/>
      <c r="H787"/>
      <c r="I787"/>
      <c r="J787"/>
      <c r="K787"/>
      <c r="L787"/>
      <c r="M787"/>
      <c r="N787"/>
      <c r="O787"/>
    </row>
    <row r="788" spans="1:15" hidden="1" x14ac:dyDescent="0.25">
      <c r="A788" t="s">
        <v>106</v>
      </c>
      <c r="B788" t="s">
        <v>115</v>
      </c>
      <c r="C788" t="b">
        <v>0</v>
      </c>
      <c r="D788" s="1">
        <v>37530</v>
      </c>
      <c r="E788">
        <v>2</v>
      </c>
      <c r="F788"/>
      <c r="G788"/>
      <c r="H788"/>
      <c r="I788"/>
      <c r="J788"/>
      <c r="K788"/>
      <c r="L788"/>
      <c r="M788"/>
      <c r="N788"/>
      <c r="O788"/>
    </row>
    <row r="789" spans="1:15" hidden="1" x14ac:dyDescent="0.25">
      <c r="A789" t="s">
        <v>106</v>
      </c>
      <c r="B789" t="s">
        <v>115</v>
      </c>
      <c r="C789" t="b">
        <v>0</v>
      </c>
      <c r="D789" s="1">
        <v>37530</v>
      </c>
      <c r="E789">
        <v>2</v>
      </c>
      <c r="F789"/>
      <c r="G789"/>
      <c r="H789"/>
      <c r="I789"/>
      <c r="J789"/>
      <c r="K789"/>
      <c r="L789"/>
      <c r="M789"/>
      <c r="N789"/>
      <c r="O789"/>
    </row>
    <row r="790" spans="1:15" hidden="1" x14ac:dyDescent="0.25">
      <c r="A790" t="s">
        <v>106</v>
      </c>
      <c r="B790" t="s">
        <v>115</v>
      </c>
      <c r="C790" t="b">
        <v>0</v>
      </c>
      <c r="D790" s="1">
        <v>37530</v>
      </c>
      <c r="E790">
        <v>2</v>
      </c>
      <c r="F790"/>
      <c r="G790"/>
      <c r="H790"/>
      <c r="I790"/>
      <c r="J790"/>
      <c r="K790"/>
      <c r="L790"/>
      <c r="M790"/>
      <c r="N790"/>
      <c r="O790"/>
    </row>
    <row r="791" spans="1:15" hidden="1" x14ac:dyDescent="0.25">
      <c r="A791" t="s">
        <v>106</v>
      </c>
      <c r="B791" t="s">
        <v>115</v>
      </c>
      <c r="C791" t="b">
        <v>0</v>
      </c>
      <c r="D791" s="1">
        <v>37530</v>
      </c>
      <c r="E791">
        <v>2</v>
      </c>
      <c r="F791"/>
      <c r="G791"/>
      <c r="H791"/>
      <c r="I791"/>
      <c r="J791"/>
      <c r="K791"/>
      <c r="L791"/>
      <c r="M791"/>
      <c r="N791"/>
      <c r="O791"/>
    </row>
    <row r="792" spans="1:15" hidden="1" x14ac:dyDescent="0.25">
      <c r="A792" t="s">
        <v>106</v>
      </c>
      <c r="B792" t="s">
        <v>115</v>
      </c>
      <c r="C792" t="b">
        <v>0</v>
      </c>
      <c r="D792" s="1">
        <v>37530</v>
      </c>
      <c r="E792">
        <v>2</v>
      </c>
      <c r="F792"/>
      <c r="G792"/>
      <c r="H792"/>
      <c r="I792"/>
      <c r="J792"/>
      <c r="K792"/>
      <c r="L792"/>
      <c r="M792"/>
      <c r="N792"/>
      <c r="O792"/>
    </row>
    <row r="793" spans="1:15" hidden="1" x14ac:dyDescent="0.25">
      <c r="A793" t="s">
        <v>106</v>
      </c>
      <c r="B793" t="s">
        <v>115</v>
      </c>
      <c r="C793" t="b">
        <v>0</v>
      </c>
      <c r="D793" s="1">
        <v>37530</v>
      </c>
      <c r="E793">
        <v>2</v>
      </c>
      <c r="F793"/>
      <c r="G793"/>
      <c r="H793"/>
      <c r="I793"/>
      <c r="J793"/>
      <c r="K793"/>
      <c r="L793"/>
      <c r="M793"/>
      <c r="N793"/>
      <c r="O793"/>
    </row>
    <row r="794" spans="1:15" hidden="1" x14ac:dyDescent="0.25">
      <c r="A794" t="s">
        <v>106</v>
      </c>
      <c r="B794" t="s">
        <v>115</v>
      </c>
      <c r="C794" t="b">
        <v>0</v>
      </c>
      <c r="D794" s="1">
        <v>37530</v>
      </c>
      <c r="E794">
        <v>2</v>
      </c>
      <c r="F794"/>
      <c r="G794"/>
      <c r="H794"/>
      <c r="I794"/>
      <c r="J794"/>
      <c r="K794"/>
      <c r="L794"/>
      <c r="M794"/>
      <c r="N794"/>
      <c r="O794"/>
    </row>
    <row r="795" spans="1:15" hidden="1" x14ac:dyDescent="0.25">
      <c r="A795" t="s">
        <v>106</v>
      </c>
      <c r="B795" t="s">
        <v>115</v>
      </c>
      <c r="C795" t="b">
        <v>0</v>
      </c>
      <c r="D795" s="1">
        <v>37530</v>
      </c>
      <c r="E795">
        <v>2</v>
      </c>
      <c r="F795"/>
      <c r="G795"/>
      <c r="H795"/>
      <c r="I795"/>
      <c r="J795"/>
      <c r="K795"/>
      <c r="L795"/>
      <c r="M795"/>
      <c r="N795"/>
      <c r="O795"/>
    </row>
    <row r="796" spans="1:15" hidden="1" x14ac:dyDescent="0.25">
      <c r="A796" t="s">
        <v>106</v>
      </c>
      <c r="B796" t="s">
        <v>115</v>
      </c>
      <c r="C796" t="b">
        <v>0</v>
      </c>
      <c r="D796" s="1">
        <v>37530</v>
      </c>
      <c r="E796">
        <v>2</v>
      </c>
      <c r="F796"/>
      <c r="G796"/>
      <c r="H796"/>
      <c r="I796"/>
      <c r="J796"/>
      <c r="K796"/>
      <c r="L796"/>
      <c r="M796"/>
      <c r="N796"/>
      <c r="O796"/>
    </row>
    <row r="797" spans="1:15" hidden="1" x14ac:dyDescent="0.25">
      <c r="A797" t="s">
        <v>106</v>
      </c>
      <c r="B797" t="s">
        <v>115</v>
      </c>
      <c r="C797" t="b">
        <v>0</v>
      </c>
      <c r="D797" s="1">
        <v>37530</v>
      </c>
      <c r="E797">
        <v>2</v>
      </c>
      <c r="F797"/>
      <c r="G797"/>
      <c r="H797"/>
      <c r="I797"/>
      <c r="J797"/>
      <c r="K797"/>
      <c r="L797"/>
      <c r="M797"/>
      <c r="N797"/>
      <c r="O797"/>
    </row>
    <row r="798" spans="1:15" hidden="1" x14ac:dyDescent="0.25">
      <c r="A798" t="s">
        <v>106</v>
      </c>
      <c r="B798" t="s">
        <v>115</v>
      </c>
      <c r="C798" t="b">
        <v>0</v>
      </c>
      <c r="D798" s="1">
        <v>37530</v>
      </c>
      <c r="E798">
        <v>2</v>
      </c>
      <c r="F798"/>
      <c r="G798"/>
      <c r="H798"/>
      <c r="I798"/>
      <c r="J798"/>
      <c r="K798"/>
      <c r="L798"/>
      <c r="M798"/>
      <c r="N798"/>
      <c r="O798"/>
    </row>
    <row r="799" spans="1:15" hidden="1" x14ac:dyDescent="0.25">
      <c r="A799" t="s">
        <v>106</v>
      </c>
      <c r="B799" t="s">
        <v>115</v>
      </c>
      <c r="C799" t="b">
        <v>0</v>
      </c>
      <c r="D799" s="1">
        <v>37530</v>
      </c>
      <c r="E799">
        <v>2</v>
      </c>
      <c r="F799"/>
      <c r="G799"/>
      <c r="H799"/>
      <c r="I799"/>
      <c r="J799"/>
      <c r="K799"/>
      <c r="L799"/>
      <c r="M799"/>
      <c r="N799"/>
      <c r="O799"/>
    </row>
    <row r="800" spans="1:15" hidden="1" x14ac:dyDescent="0.25">
      <c r="A800" t="s">
        <v>106</v>
      </c>
      <c r="B800" t="s">
        <v>115</v>
      </c>
      <c r="C800" t="b">
        <v>0</v>
      </c>
      <c r="D800" s="1">
        <v>37530</v>
      </c>
      <c r="E800">
        <v>2</v>
      </c>
      <c r="F800"/>
      <c r="G800"/>
      <c r="H800"/>
      <c r="I800"/>
      <c r="J800"/>
      <c r="K800"/>
      <c r="L800"/>
      <c r="M800"/>
      <c r="N800"/>
      <c r="O800"/>
    </row>
    <row r="801" spans="1:15" hidden="1" x14ac:dyDescent="0.25">
      <c r="A801" t="s">
        <v>106</v>
      </c>
      <c r="B801" t="s">
        <v>115</v>
      </c>
      <c r="C801" t="b">
        <v>0</v>
      </c>
      <c r="D801" s="1">
        <v>37530</v>
      </c>
      <c r="E801">
        <v>2</v>
      </c>
      <c r="F801"/>
      <c r="G801"/>
      <c r="H801"/>
      <c r="I801"/>
      <c r="J801"/>
      <c r="K801"/>
      <c r="L801"/>
      <c r="M801"/>
      <c r="N801"/>
      <c r="O801"/>
    </row>
    <row r="802" spans="1:15" hidden="1" x14ac:dyDescent="0.25">
      <c r="A802" t="s">
        <v>106</v>
      </c>
      <c r="B802" t="s">
        <v>115</v>
      </c>
      <c r="C802" t="b">
        <v>0</v>
      </c>
      <c r="D802" s="1">
        <v>37530</v>
      </c>
      <c r="E802">
        <v>2</v>
      </c>
      <c r="F802"/>
      <c r="G802"/>
      <c r="H802"/>
      <c r="I802"/>
      <c r="J802"/>
      <c r="K802"/>
      <c r="L802"/>
      <c r="M802"/>
      <c r="N802"/>
      <c r="O802"/>
    </row>
    <row r="803" spans="1:15" hidden="1" x14ac:dyDescent="0.25">
      <c r="A803" t="s">
        <v>106</v>
      </c>
      <c r="B803" t="s">
        <v>115</v>
      </c>
      <c r="C803" t="b">
        <v>0</v>
      </c>
      <c r="D803" s="1">
        <v>37530</v>
      </c>
      <c r="E803">
        <v>2</v>
      </c>
      <c r="F803"/>
      <c r="G803"/>
      <c r="H803"/>
      <c r="I803"/>
      <c r="J803"/>
      <c r="K803"/>
      <c r="L803"/>
      <c r="M803"/>
      <c r="N803"/>
      <c r="O803"/>
    </row>
    <row r="804" spans="1:15" hidden="1" x14ac:dyDescent="0.25">
      <c r="A804" t="s">
        <v>106</v>
      </c>
      <c r="B804" t="s">
        <v>115</v>
      </c>
      <c r="C804" t="b">
        <v>0</v>
      </c>
      <c r="D804" s="1">
        <v>37530</v>
      </c>
      <c r="E804">
        <v>2</v>
      </c>
      <c r="F804"/>
      <c r="G804"/>
      <c r="H804"/>
      <c r="I804"/>
      <c r="J804"/>
      <c r="K804"/>
      <c r="L804"/>
      <c r="M804"/>
      <c r="N804"/>
      <c r="O804"/>
    </row>
    <row r="805" spans="1:15" hidden="1" x14ac:dyDescent="0.25">
      <c r="A805" t="s">
        <v>106</v>
      </c>
      <c r="B805" t="s">
        <v>115</v>
      </c>
      <c r="C805" t="b">
        <v>0</v>
      </c>
      <c r="D805" s="1">
        <v>37530</v>
      </c>
      <c r="E805">
        <v>2</v>
      </c>
      <c r="F805"/>
      <c r="G805"/>
      <c r="H805"/>
      <c r="I805"/>
      <c r="J805"/>
      <c r="K805"/>
      <c r="L805"/>
      <c r="M805"/>
      <c r="N805"/>
      <c r="O805"/>
    </row>
    <row r="806" spans="1:15" hidden="1" x14ac:dyDescent="0.25">
      <c r="A806" t="s">
        <v>106</v>
      </c>
      <c r="B806" t="s">
        <v>115</v>
      </c>
      <c r="C806" t="b">
        <v>0</v>
      </c>
      <c r="D806" s="1">
        <v>37530</v>
      </c>
      <c r="E806">
        <v>2</v>
      </c>
      <c r="F806"/>
      <c r="G806"/>
      <c r="H806"/>
      <c r="I806"/>
      <c r="J806"/>
      <c r="K806"/>
      <c r="L806"/>
      <c r="M806"/>
      <c r="N806"/>
      <c r="O806"/>
    </row>
    <row r="807" spans="1:15" hidden="1" x14ac:dyDescent="0.25">
      <c r="A807" t="s">
        <v>106</v>
      </c>
      <c r="B807" t="s">
        <v>115</v>
      </c>
      <c r="C807" t="b">
        <v>0</v>
      </c>
      <c r="D807" s="1">
        <v>37530</v>
      </c>
      <c r="E807">
        <v>2</v>
      </c>
      <c r="F807"/>
      <c r="G807"/>
      <c r="H807"/>
      <c r="I807"/>
      <c r="J807"/>
      <c r="K807"/>
      <c r="L807"/>
      <c r="M807"/>
      <c r="N807"/>
      <c r="O807"/>
    </row>
    <row r="808" spans="1:15" hidden="1" x14ac:dyDescent="0.25">
      <c r="A808" t="s">
        <v>106</v>
      </c>
      <c r="B808" t="s">
        <v>115</v>
      </c>
      <c r="C808" t="b">
        <v>0</v>
      </c>
      <c r="D808" s="1">
        <v>37530</v>
      </c>
      <c r="E808">
        <v>2</v>
      </c>
      <c r="F808"/>
      <c r="G808"/>
      <c r="H808"/>
      <c r="I808"/>
      <c r="J808"/>
      <c r="K808"/>
      <c r="L808"/>
      <c r="M808"/>
      <c r="N808"/>
      <c r="O808"/>
    </row>
    <row r="809" spans="1:15" hidden="1" x14ac:dyDescent="0.25">
      <c r="A809" t="s">
        <v>106</v>
      </c>
      <c r="B809" t="s">
        <v>115</v>
      </c>
      <c r="C809" t="b">
        <v>0</v>
      </c>
      <c r="D809" s="1">
        <v>37530</v>
      </c>
      <c r="E809">
        <v>2</v>
      </c>
      <c r="F809"/>
      <c r="G809"/>
      <c r="H809"/>
      <c r="I809"/>
      <c r="J809"/>
      <c r="K809"/>
      <c r="L809"/>
      <c r="M809"/>
      <c r="N809"/>
      <c r="O809"/>
    </row>
    <row r="810" spans="1:15" hidden="1" x14ac:dyDescent="0.25">
      <c r="A810" t="s">
        <v>19</v>
      </c>
      <c r="B810" t="s">
        <v>115</v>
      </c>
      <c r="C810" t="b">
        <v>0</v>
      </c>
      <c r="D810" s="1">
        <v>37530</v>
      </c>
      <c r="E810">
        <v>2</v>
      </c>
      <c r="F810"/>
      <c r="G810"/>
      <c r="H810"/>
      <c r="I810"/>
      <c r="J810"/>
      <c r="K810"/>
      <c r="L810"/>
      <c r="M810"/>
      <c r="N810"/>
      <c r="O810"/>
    </row>
    <row r="811" spans="1:15" hidden="1" x14ac:dyDescent="0.25">
      <c r="A811" t="s">
        <v>30</v>
      </c>
      <c r="B811" t="s">
        <v>115</v>
      </c>
      <c r="C811" t="b">
        <v>0</v>
      </c>
      <c r="D811" s="1">
        <v>37530</v>
      </c>
      <c r="E811">
        <v>2</v>
      </c>
      <c r="F811"/>
      <c r="G811"/>
      <c r="H811"/>
      <c r="I811"/>
      <c r="J811"/>
      <c r="K811"/>
      <c r="L811"/>
      <c r="M811"/>
      <c r="N811"/>
      <c r="O811"/>
    </row>
    <row r="812" spans="1:15" hidden="1" x14ac:dyDescent="0.25">
      <c r="A812" t="s">
        <v>39</v>
      </c>
      <c r="B812" t="s">
        <v>115</v>
      </c>
      <c r="C812" t="b">
        <v>0</v>
      </c>
      <c r="D812" s="1">
        <v>37530</v>
      </c>
      <c r="E812">
        <v>2</v>
      </c>
      <c r="F812"/>
      <c r="G812"/>
      <c r="H812"/>
      <c r="I812"/>
      <c r="J812"/>
      <c r="K812"/>
      <c r="L812"/>
      <c r="M812"/>
      <c r="N812"/>
      <c r="O812"/>
    </row>
    <row r="813" spans="1:15" hidden="1" x14ac:dyDescent="0.25">
      <c r="A813" t="s">
        <v>57</v>
      </c>
      <c r="B813" t="s">
        <v>115</v>
      </c>
      <c r="C813" t="b">
        <v>0</v>
      </c>
      <c r="D813" s="1">
        <v>37530</v>
      </c>
      <c r="E813">
        <v>2</v>
      </c>
      <c r="F813"/>
      <c r="G813"/>
      <c r="H813"/>
      <c r="I813"/>
      <c r="J813"/>
      <c r="K813"/>
      <c r="L813"/>
      <c r="M813"/>
      <c r="N813"/>
      <c r="O813"/>
    </row>
    <row r="814" spans="1:15" hidden="1" x14ac:dyDescent="0.25">
      <c r="A814" t="s">
        <v>69</v>
      </c>
      <c r="B814" t="s">
        <v>115</v>
      </c>
      <c r="C814" t="b">
        <v>0</v>
      </c>
      <c r="D814" s="1">
        <v>37530</v>
      </c>
      <c r="E814">
        <v>2</v>
      </c>
      <c r="F814"/>
      <c r="G814"/>
      <c r="H814"/>
      <c r="I814"/>
      <c r="J814"/>
      <c r="K814"/>
      <c r="L814"/>
      <c r="M814"/>
      <c r="N814"/>
      <c r="O814"/>
    </row>
    <row r="815" spans="1:15" hidden="1" x14ac:dyDescent="0.25">
      <c r="A815" t="s">
        <v>99</v>
      </c>
      <c r="B815" t="s">
        <v>114</v>
      </c>
      <c r="C815" t="b">
        <v>0</v>
      </c>
      <c r="D815" s="1">
        <v>37530</v>
      </c>
      <c r="E815">
        <v>9.75</v>
      </c>
      <c r="F815"/>
      <c r="G815"/>
      <c r="H815"/>
      <c r="I815"/>
      <c r="J815"/>
      <c r="K815"/>
      <c r="L815"/>
      <c r="M815"/>
      <c r="N815"/>
      <c r="O815"/>
    </row>
    <row r="816" spans="1:15" hidden="1" x14ac:dyDescent="0.25">
      <c r="A816" t="s">
        <v>102</v>
      </c>
      <c r="B816" t="s">
        <v>117</v>
      </c>
      <c r="C816" t="b">
        <v>0</v>
      </c>
      <c r="D816" s="1">
        <v>37561</v>
      </c>
      <c r="E816" s="2">
        <v>-20</v>
      </c>
      <c r="F816"/>
      <c r="G816"/>
      <c r="H816"/>
      <c r="I816"/>
      <c r="J816"/>
      <c r="K816"/>
      <c r="L816"/>
      <c r="M816"/>
      <c r="N816"/>
      <c r="O816"/>
    </row>
    <row r="817" spans="1:15" hidden="1" x14ac:dyDescent="0.25">
      <c r="A817" t="s">
        <v>108</v>
      </c>
      <c r="B817" t="s">
        <v>115</v>
      </c>
      <c r="C817" t="b">
        <v>0</v>
      </c>
      <c r="D817" s="1">
        <v>37561</v>
      </c>
      <c r="E817">
        <v>2</v>
      </c>
      <c r="F817"/>
      <c r="G817"/>
      <c r="H817"/>
      <c r="I817"/>
      <c r="J817"/>
      <c r="K817"/>
      <c r="L817"/>
      <c r="M817"/>
      <c r="N817"/>
      <c r="O817"/>
    </row>
    <row r="818" spans="1:15" hidden="1" x14ac:dyDescent="0.25">
      <c r="A818" t="s">
        <v>12</v>
      </c>
      <c r="B818" t="s">
        <v>115</v>
      </c>
      <c r="C818" t="b">
        <v>0</v>
      </c>
      <c r="D818" s="1">
        <v>37561</v>
      </c>
      <c r="E818">
        <v>2</v>
      </c>
      <c r="F818"/>
      <c r="G818"/>
      <c r="H818"/>
      <c r="I818"/>
      <c r="J818"/>
      <c r="K818"/>
      <c r="L818"/>
      <c r="M818"/>
      <c r="N818"/>
      <c r="O818"/>
    </row>
    <row r="819" spans="1:15" hidden="1" x14ac:dyDescent="0.25">
      <c r="A819" t="s">
        <v>14</v>
      </c>
      <c r="B819" t="s">
        <v>115</v>
      </c>
      <c r="C819" t="b">
        <v>0</v>
      </c>
      <c r="D819" s="1">
        <v>37561</v>
      </c>
      <c r="E819">
        <v>2</v>
      </c>
      <c r="F819"/>
      <c r="G819"/>
      <c r="H819"/>
      <c r="I819"/>
      <c r="J819"/>
      <c r="K819"/>
      <c r="L819"/>
      <c r="M819"/>
      <c r="N819"/>
      <c r="O819"/>
    </row>
    <row r="820" spans="1:15" hidden="1" x14ac:dyDescent="0.25">
      <c r="A820" t="s">
        <v>18</v>
      </c>
      <c r="B820" t="s">
        <v>115</v>
      </c>
      <c r="C820" t="b">
        <v>0</v>
      </c>
      <c r="D820" s="1">
        <v>37561</v>
      </c>
      <c r="E820">
        <v>2</v>
      </c>
      <c r="F820"/>
      <c r="G820"/>
      <c r="H820"/>
      <c r="I820"/>
      <c r="J820"/>
      <c r="K820"/>
      <c r="L820"/>
      <c r="M820"/>
      <c r="N820"/>
      <c r="O820"/>
    </row>
    <row r="821" spans="1:15" hidden="1" x14ac:dyDescent="0.25">
      <c r="A821" t="s">
        <v>106</v>
      </c>
      <c r="B821" t="s">
        <v>115</v>
      </c>
      <c r="C821" t="b">
        <v>0</v>
      </c>
      <c r="D821" s="1">
        <v>37561</v>
      </c>
      <c r="E821">
        <v>2</v>
      </c>
      <c r="F821"/>
      <c r="G821"/>
      <c r="H821"/>
      <c r="I821"/>
      <c r="J821"/>
      <c r="K821"/>
      <c r="L821"/>
      <c r="M821"/>
      <c r="N821"/>
      <c r="O821"/>
    </row>
    <row r="822" spans="1:15" hidden="1" x14ac:dyDescent="0.25">
      <c r="A822" t="s">
        <v>106</v>
      </c>
      <c r="B822" t="s">
        <v>115</v>
      </c>
      <c r="C822" t="b">
        <v>0</v>
      </c>
      <c r="D822" s="1">
        <v>37561</v>
      </c>
      <c r="E822">
        <v>2</v>
      </c>
      <c r="F822"/>
      <c r="G822"/>
      <c r="H822"/>
      <c r="I822"/>
      <c r="J822"/>
      <c r="K822"/>
      <c r="L822"/>
      <c r="M822"/>
      <c r="N822"/>
      <c r="O822"/>
    </row>
    <row r="823" spans="1:15" hidden="1" x14ac:dyDescent="0.25">
      <c r="A823" t="s">
        <v>106</v>
      </c>
      <c r="B823" t="s">
        <v>115</v>
      </c>
      <c r="C823" t="b">
        <v>0</v>
      </c>
      <c r="D823" s="1">
        <v>37561</v>
      </c>
      <c r="E823">
        <v>2</v>
      </c>
      <c r="F823"/>
      <c r="G823"/>
      <c r="H823"/>
      <c r="I823"/>
      <c r="J823"/>
      <c r="K823"/>
      <c r="L823"/>
      <c r="M823"/>
      <c r="N823"/>
      <c r="O823"/>
    </row>
    <row r="824" spans="1:15" hidden="1" x14ac:dyDescent="0.25">
      <c r="A824" t="s">
        <v>106</v>
      </c>
      <c r="B824" t="s">
        <v>115</v>
      </c>
      <c r="C824" t="b">
        <v>0</v>
      </c>
      <c r="D824" s="1">
        <v>37561</v>
      </c>
      <c r="E824">
        <v>2</v>
      </c>
      <c r="F824"/>
      <c r="G824"/>
      <c r="H824"/>
      <c r="I824"/>
      <c r="J824"/>
      <c r="K824"/>
      <c r="L824"/>
      <c r="M824"/>
      <c r="N824"/>
      <c r="O824"/>
    </row>
    <row r="825" spans="1:15" hidden="1" x14ac:dyDescent="0.25">
      <c r="A825" t="s">
        <v>106</v>
      </c>
      <c r="B825" t="s">
        <v>115</v>
      </c>
      <c r="C825" t="b">
        <v>0</v>
      </c>
      <c r="D825" s="1">
        <v>37561</v>
      </c>
      <c r="E825">
        <v>1</v>
      </c>
      <c r="F825"/>
      <c r="G825"/>
      <c r="H825"/>
      <c r="I825"/>
      <c r="J825"/>
      <c r="K825"/>
      <c r="L825"/>
      <c r="M825"/>
      <c r="N825"/>
      <c r="O825"/>
    </row>
    <row r="826" spans="1:15" hidden="1" x14ac:dyDescent="0.25">
      <c r="A826" t="s">
        <v>106</v>
      </c>
      <c r="B826" t="s">
        <v>115</v>
      </c>
      <c r="C826" t="b">
        <v>0</v>
      </c>
      <c r="D826" s="1">
        <v>37561</v>
      </c>
      <c r="E826">
        <v>2</v>
      </c>
      <c r="F826"/>
      <c r="G826"/>
      <c r="H826"/>
      <c r="I826"/>
      <c r="J826"/>
      <c r="K826"/>
      <c r="L826"/>
      <c r="M826"/>
      <c r="N826"/>
      <c r="O826"/>
    </row>
    <row r="827" spans="1:15" hidden="1" x14ac:dyDescent="0.25">
      <c r="A827" t="s">
        <v>106</v>
      </c>
      <c r="B827" t="s">
        <v>115</v>
      </c>
      <c r="C827" t="b">
        <v>0</v>
      </c>
      <c r="D827" s="1">
        <v>37561</v>
      </c>
      <c r="E827">
        <v>2</v>
      </c>
      <c r="F827"/>
      <c r="G827"/>
      <c r="H827"/>
      <c r="I827"/>
      <c r="J827"/>
      <c r="K827"/>
      <c r="L827"/>
      <c r="M827"/>
      <c r="N827"/>
      <c r="O827"/>
    </row>
    <row r="828" spans="1:15" hidden="1" x14ac:dyDescent="0.25">
      <c r="A828" t="s">
        <v>106</v>
      </c>
      <c r="B828" t="s">
        <v>115</v>
      </c>
      <c r="C828" t="b">
        <v>0</v>
      </c>
      <c r="D828" s="1">
        <v>37561</v>
      </c>
      <c r="E828">
        <v>2</v>
      </c>
      <c r="F828"/>
      <c r="G828"/>
      <c r="H828"/>
      <c r="I828"/>
      <c r="J828"/>
      <c r="K828"/>
      <c r="L828"/>
      <c r="M828"/>
      <c r="N828"/>
      <c r="O828"/>
    </row>
    <row r="829" spans="1:15" hidden="1" x14ac:dyDescent="0.25">
      <c r="A829" t="s">
        <v>106</v>
      </c>
      <c r="B829" t="s">
        <v>115</v>
      </c>
      <c r="C829" t="b">
        <v>0</v>
      </c>
      <c r="D829" s="1">
        <v>37561</v>
      </c>
      <c r="E829">
        <v>2</v>
      </c>
      <c r="F829"/>
      <c r="G829"/>
      <c r="H829"/>
      <c r="I829"/>
      <c r="J829"/>
      <c r="K829"/>
      <c r="L829"/>
      <c r="M829"/>
      <c r="N829"/>
      <c r="O829"/>
    </row>
    <row r="830" spans="1:15" hidden="1" x14ac:dyDescent="0.25">
      <c r="A830" t="s">
        <v>106</v>
      </c>
      <c r="B830" t="s">
        <v>115</v>
      </c>
      <c r="C830" t="b">
        <v>0</v>
      </c>
      <c r="D830" s="1">
        <v>37561</v>
      </c>
      <c r="E830">
        <v>2</v>
      </c>
      <c r="F830"/>
      <c r="G830"/>
      <c r="H830"/>
      <c r="I830"/>
      <c r="J830"/>
      <c r="K830"/>
      <c r="L830"/>
      <c r="M830"/>
      <c r="N830"/>
      <c r="O830"/>
    </row>
    <row r="831" spans="1:15" hidden="1" x14ac:dyDescent="0.25">
      <c r="A831" t="s">
        <v>106</v>
      </c>
      <c r="B831" t="s">
        <v>115</v>
      </c>
      <c r="C831" t="b">
        <v>0</v>
      </c>
      <c r="D831" s="1">
        <v>37561</v>
      </c>
      <c r="E831">
        <v>2</v>
      </c>
      <c r="F831"/>
      <c r="G831"/>
      <c r="H831"/>
      <c r="I831"/>
      <c r="J831"/>
      <c r="K831"/>
      <c r="L831"/>
      <c r="M831"/>
      <c r="N831"/>
      <c r="O831"/>
    </row>
    <row r="832" spans="1:15" hidden="1" x14ac:dyDescent="0.25">
      <c r="A832" t="s">
        <v>106</v>
      </c>
      <c r="B832" t="s">
        <v>115</v>
      </c>
      <c r="C832" t="b">
        <v>0</v>
      </c>
      <c r="D832" s="1">
        <v>37561</v>
      </c>
      <c r="E832">
        <v>2</v>
      </c>
      <c r="F832"/>
      <c r="G832"/>
      <c r="H832"/>
      <c r="I832"/>
      <c r="J832"/>
      <c r="K832"/>
      <c r="L832"/>
      <c r="M832"/>
      <c r="N832"/>
      <c r="O832"/>
    </row>
    <row r="833" spans="1:15" hidden="1" x14ac:dyDescent="0.25">
      <c r="A833" t="s">
        <v>106</v>
      </c>
      <c r="B833" t="s">
        <v>115</v>
      </c>
      <c r="C833" t="b">
        <v>0</v>
      </c>
      <c r="D833" s="1">
        <v>37561</v>
      </c>
      <c r="E833">
        <v>2</v>
      </c>
      <c r="F833"/>
      <c r="G833"/>
      <c r="H833"/>
      <c r="I833"/>
      <c r="J833"/>
      <c r="K833"/>
      <c r="L833"/>
      <c r="M833"/>
      <c r="N833"/>
      <c r="O833"/>
    </row>
    <row r="834" spans="1:15" hidden="1" x14ac:dyDescent="0.25">
      <c r="A834" t="s">
        <v>106</v>
      </c>
      <c r="B834" t="s">
        <v>115</v>
      </c>
      <c r="C834" t="b">
        <v>0</v>
      </c>
      <c r="D834" s="1">
        <v>37561</v>
      </c>
      <c r="E834">
        <v>2</v>
      </c>
      <c r="F834"/>
      <c r="G834"/>
      <c r="H834"/>
      <c r="I834"/>
      <c r="J834"/>
      <c r="K834"/>
      <c r="L834"/>
      <c r="M834"/>
      <c r="N834"/>
      <c r="O834"/>
    </row>
    <row r="835" spans="1:15" hidden="1" x14ac:dyDescent="0.25">
      <c r="A835" t="s">
        <v>106</v>
      </c>
      <c r="B835" t="s">
        <v>115</v>
      </c>
      <c r="C835" t="b">
        <v>0</v>
      </c>
      <c r="D835" s="1">
        <v>37561</v>
      </c>
      <c r="E835">
        <v>2</v>
      </c>
      <c r="F835"/>
      <c r="G835"/>
      <c r="H835"/>
      <c r="I835"/>
      <c r="J835"/>
      <c r="K835"/>
      <c r="L835"/>
      <c r="M835"/>
      <c r="N835"/>
      <c r="O835"/>
    </row>
    <row r="836" spans="1:15" hidden="1" x14ac:dyDescent="0.25">
      <c r="A836" t="s">
        <v>106</v>
      </c>
      <c r="B836" t="s">
        <v>115</v>
      </c>
      <c r="C836" t="b">
        <v>0</v>
      </c>
      <c r="D836" s="1">
        <v>37561</v>
      </c>
      <c r="E836">
        <v>2</v>
      </c>
      <c r="F836"/>
      <c r="G836"/>
      <c r="H836"/>
      <c r="I836"/>
      <c r="J836"/>
      <c r="K836"/>
      <c r="L836"/>
      <c r="M836"/>
      <c r="N836"/>
      <c r="O836"/>
    </row>
    <row r="837" spans="1:15" hidden="1" x14ac:dyDescent="0.25">
      <c r="A837" t="s">
        <v>106</v>
      </c>
      <c r="B837" t="s">
        <v>115</v>
      </c>
      <c r="C837" t="b">
        <v>0</v>
      </c>
      <c r="D837" s="1">
        <v>37561</v>
      </c>
      <c r="E837">
        <v>2</v>
      </c>
      <c r="F837"/>
      <c r="G837"/>
      <c r="H837"/>
      <c r="I837"/>
      <c r="J837"/>
      <c r="K837"/>
      <c r="L837"/>
      <c r="M837"/>
      <c r="N837"/>
      <c r="O837"/>
    </row>
    <row r="838" spans="1:15" hidden="1" x14ac:dyDescent="0.25">
      <c r="A838" t="s">
        <v>106</v>
      </c>
      <c r="B838" t="s">
        <v>115</v>
      </c>
      <c r="C838" t="b">
        <v>0</v>
      </c>
      <c r="D838" s="1">
        <v>37561</v>
      </c>
      <c r="E838">
        <v>2</v>
      </c>
      <c r="F838"/>
      <c r="G838"/>
      <c r="H838"/>
      <c r="I838"/>
      <c r="J838"/>
      <c r="K838"/>
      <c r="L838"/>
      <c r="M838"/>
      <c r="N838"/>
      <c r="O838"/>
    </row>
    <row r="839" spans="1:15" hidden="1" x14ac:dyDescent="0.25">
      <c r="A839" t="s">
        <v>106</v>
      </c>
      <c r="B839" t="s">
        <v>115</v>
      </c>
      <c r="C839" t="b">
        <v>0</v>
      </c>
      <c r="D839" s="1">
        <v>37561</v>
      </c>
      <c r="E839">
        <v>2</v>
      </c>
      <c r="F839"/>
      <c r="G839"/>
      <c r="H839"/>
      <c r="I839"/>
      <c r="J839"/>
      <c r="K839"/>
      <c r="L839"/>
      <c r="M839"/>
      <c r="N839"/>
      <c r="O839"/>
    </row>
    <row r="840" spans="1:15" hidden="1" x14ac:dyDescent="0.25">
      <c r="A840" t="s">
        <v>106</v>
      </c>
      <c r="B840" t="s">
        <v>115</v>
      </c>
      <c r="C840" t="b">
        <v>0</v>
      </c>
      <c r="D840" s="1">
        <v>37561</v>
      </c>
      <c r="E840">
        <v>2</v>
      </c>
      <c r="F840"/>
      <c r="G840"/>
      <c r="H840"/>
      <c r="I840"/>
      <c r="J840"/>
      <c r="K840"/>
      <c r="L840"/>
      <c r="M840"/>
      <c r="N840"/>
      <c r="O840"/>
    </row>
    <row r="841" spans="1:15" hidden="1" x14ac:dyDescent="0.25">
      <c r="A841" t="s">
        <v>106</v>
      </c>
      <c r="B841" t="s">
        <v>115</v>
      </c>
      <c r="C841" t="b">
        <v>0</v>
      </c>
      <c r="D841" s="1">
        <v>37561</v>
      </c>
      <c r="E841">
        <v>2</v>
      </c>
      <c r="F841"/>
      <c r="G841"/>
      <c r="H841"/>
      <c r="I841"/>
      <c r="J841"/>
      <c r="K841"/>
      <c r="L841"/>
      <c r="M841"/>
      <c r="N841"/>
      <c r="O841"/>
    </row>
    <row r="842" spans="1:15" hidden="1" x14ac:dyDescent="0.25">
      <c r="A842" t="s">
        <v>106</v>
      </c>
      <c r="B842" t="s">
        <v>115</v>
      </c>
      <c r="C842" t="b">
        <v>0</v>
      </c>
      <c r="D842" s="1">
        <v>37561</v>
      </c>
      <c r="E842">
        <v>2</v>
      </c>
      <c r="F842"/>
      <c r="G842"/>
      <c r="H842"/>
      <c r="I842"/>
      <c r="J842"/>
      <c r="K842"/>
      <c r="L842"/>
      <c r="M842"/>
      <c r="N842"/>
      <c r="O842"/>
    </row>
    <row r="843" spans="1:15" hidden="1" x14ac:dyDescent="0.25">
      <c r="A843" t="s">
        <v>106</v>
      </c>
      <c r="B843" t="s">
        <v>115</v>
      </c>
      <c r="C843" t="b">
        <v>0</v>
      </c>
      <c r="D843" s="1">
        <v>37561</v>
      </c>
      <c r="E843">
        <v>2</v>
      </c>
      <c r="F843"/>
      <c r="G843"/>
      <c r="H843"/>
      <c r="I843"/>
      <c r="J843"/>
      <c r="K843"/>
      <c r="L843"/>
      <c r="M843"/>
      <c r="N843"/>
      <c r="O843"/>
    </row>
    <row r="844" spans="1:15" hidden="1" x14ac:dyDescent="0.25">
      <c r="A844" t="s">
        <v>19</v>
      </c>
      <c r="B844" t="s">
        <v>115</v>
      </c>
      <c r="C844" t="b">
        <v>0</v>
      </c>
      <c r="D844" s="1">
        <v>37561</v>
      </c>
      <c r="E844">
        <v>2</v>
      </c>
      <c r="F844"/>
      <c r="G844"/>
      <c r="H844"/>
      <c r="I844"/>
      <c r="J844"/>
      <c r="K844"/>
      <c r="L844"/>
      <c r="M844"/>
      <c r="N844"/>
      <c r="O844"/>
    </row>
    <row r="845" spans="1:15" hidden="1" x14ac:dyDescent="0.25">
      <c r="A845" t="s">
        <v>30</v>
      </c>
      <c r="B845" t="s">
        <v>115</v>
      </c>
      <c r="C845" t="b">
        <v>0</v>
      </c>
      <c r="D845" s="1">
        <v>37561</v>
      </c>
      <c r="E845">
        <v>2</v>
      </c>
      <c r="F845"/>
      <c r="G845"/>
      <c r="H845"/>
      <c r="I845"/>
      <c r="J845"/>
      <c r="K845"/>
      <c r="L845"/>
      <c r="M845"/>
      <c r="N845"/>
      <c r="O845"/>
    </row>
    <row r="846" spans="1:15" hidden="1" x14ac:dyDescent="0.25">
      <c r="A846" t="s">
        <v>39</v>
      </c>
      <c r="B846" t="s">
        <v>115</v>
      </c>
      <c r="C846" t="b">
        <v>0</v>
      </c>
      <c r="D846" s="1">
        <v>37561</v>
      </c>
      <c r="E846">
        <v>2</v>
      </c>
      <c r="F846"/>
      <c r="G846"/>
      <c r="H846"/>
      <c r="I846"/>
      <c r="J846"/>
      <c r="K846"/>
      <c r="L846"/>
      <c r="M846"/>
      <c r="N846"/>
      <c r="O846"/>
    </row>
    <row r="847" spans="1:15" hidden="1" x14ac:dyDescent="0.25">
      <c r="A847" t="s">
        <v>57</v>
      </c>
      <c r="B847" t="s">
        <v>115</v>
      </c>
      <c r="C847" t="b">
        <v>0</v>
      </c>
      <c r="D847" s="1">
        <v>37561</v>
      </c>
      <c r="E847">
        <v>2</v>
      </c>
      <c r="F847"/>
      <c r="G847"/>
      <c r="H847"/>
      <c r="I847"/>
      <c r="J847"/>
      <c r="K847"/>
      <c r="L847"/>
      <c r="M847"/>
      <c r="N847"/>
      <c r="O847"/>
    </row>
    <row r="848" spans="1:15" hidden="1" x14ac:dyDescent="0.25">
      <c r="A848" t="s">
        <v>69</v>
      </c>
      <c r="B848" t="s">
        <v>115</v>
      </c>
      <c r="C848" t="b">
        <v>0</v>
      </c>
      <c r="D848" s="1">
        <v>37561</v>
      </c>
      <c r="E848">
        <v>2</v>
      </c>
      <c r="F848"/>
      <c r="G848"/>
      <c r="H848"/>
      <c r="I848"/>
      <c r="J848"/>
      <c r="K848"/>
      <c r="L848"/>
      <c r="M848"/>
      <c r="N848"/>
      <c r="O848"/>
    </row>
    <row r="849" spans="1:15" hidden="1" x14ac:dyDescent="0.25">
      <c r="A849" t="s">
        <v>100</v>
      </c>
      <c r="B849" t="s">
        <v>117</v>
      </c>
      <c r="C849" t="b">
        <v>0</v>
      </c>
      <c r="D849" s="1">
        <v>37591</v>
      </c>
      <c r="E849" s="2">
        <v>-47.310000000000009</v>
      </c>
      <c r="F849"/>
      <c r="G849"/>
      <c r="H849"/>
      <c r="I849"/>
      <c r="J849"/>
      <c r="K849"/>
      <c r="L849"/>
      <c r="M849"/>
      <c r="N849"/>
      <c r="O849"/>
    </row>
    <row r="850" spans="1:15" hidden="1" x14ac:dyDescent="0.25">
      <c r="A850" t="s">
        <v>102</v>
      </c>
      <c r="B850" t="s">
        <v>117</v>
      </c>
      <c r="C850" t="b">
        <v>0</v>
      </c>
      <c r="D850" s="1">
        <v>37591</v>
      </c>
      <c r="E850" s="2">
        <v>-42.379999999999995</v>
      </c>
      <c r="F850"/>
      <c r="G850"/>
      <c r="H850"/>
      <c r="I850"/>
      <c r="J850"/>
      <c r="K850"/>
      <c r="L850"/>
      <c r="M850"/>
      <c r="N850"/>
      <c r="O850"/>
    </row>
    <row r="851" spans="1:15" hidden="1" x14ac:dyDescent="0.25">
      <c r="A851" t="s">
        <v>103</v>
      </c>
      <c r="B851" t="s">
        <v>117</v>
      </c>
      <c r="C851" t="b">
        <v>0</v>
      </c>
      <c r="D851" s="1">
        <v>37591</v>
      </c>
      <c r="E851" s="2">
        <v>-27.78</v>
      </c>
      <c r="F851"/>
      <c r="G851"/>
      <c r="H851"/>
      <c r="I851"/>
      <c r="J851"/>
      <c r="K851"/>
      <c r="L851"/>
      <c r="M851"/>
      <c r="N851"/>
      <c r="O851"/>
    </row>
    <row r="852" spans="1:15" hidden="1" x14ac:dyDescent="0.25">
      <c r="A852" t="s">
        <v>101</v>
      </c>
      <c r="B852" t="s">
        <v>117</v>
      </c>
      <c r="C852" t="b">
        <v>0</v>
      </c>
      <c r="D852" s="1">
        <v>37591</v>
      </c>
      <c r="E852" s="2">
        <v>-24.8</v>
      </c>
      <c r="F852"/>
      <c r="G852"/>
      <c r="H852"/>
      <c r="I852"/>
      <c r="J852"/>
      <c r="K852"/>
      <c r="L852"/>
      <c r="M852"/>
      <c r="N852"/>
      <c r="O852"/>
    </row>
    <row r="853" spans="1:15" hidden="1" x14ac:dyDescent="0.25">
      <c r="A853" t="s">
        <v>108</v>
      </c>
      <c r="B853" t="s">
        <v>115</v>
      </c>
      <c r="C853" t="b">
        <v>0</v>
      </c>
      <c r="D853" s="1">
        <v>37591</v>
      </c>
      <c r="E853">
        <v>2</v>
      </c>
      <c r="F853"/>
      <c r="G853"/>
      <c r="H853"/>
      <c r="I853"/>
      <c r="J853"/>
      <c r="K853"/>
      <c r="L853"/>
      <c r="M853"/>
      <c r="N853"/>
      <c r="O853"/>
    </row>
    <row r="854" spans="1:15" hidden="1" x14ac:dyDescent="0.25">
      <c r="A854" t="s">
        <v>11</v>
      </c>
      <c r="B854" t="s">
        <v>115</v>
      </c>
      <c r="C854" t="b">
        <v>0</v>
      </c>
      <c r="D854" s="1">
        <v>37591</v>
      </c>
      <c r="E854">
        <v>2</v>
      </c>
      <c r="F854"/>
      <c r="G854"/>
      <c r="H854"/>
      <c r="I854"/>
      <c r="J854"/>
      <c r="K854"/>
      <c r="L854"/>
      <c r="M854"/>
      <c r="N854"/>
      <c r="O854"/>
    </row>
    <row r="855" spans="1:15" hidden="1" x14ac:dyDescent="0.25">
      <c r="A855" t="s">
        <v>12</v>
      </c>
      <c r="B855" t="s">
        <v>115</v>
      </c>
      <c r="C855" t="b">
        <v>0</v>
      </c>
      <c r="D855" s="1">
        <v>37591</v>
      </c>
      <c r="E855">
        <v>2</v>
      </c>
      <c r="F855"/>
      <c r="G855"/>
      <c r="H855"/>
      <c r="I855"/>
      <c r="J855"/>
      <c r="K855"/>
      <c r="L855"/>
      <c r="M855"/>
      <c r="N855"/>
      <c r="O855"/>
    </row>
    <row r="856" spans="1:15" hidden="1" x14ac:dyDescent="0.25">
      <c r="A856" t="s">
        <v>14</v>
      </c>
      <c r="B856" t="s">
        <v>115</v>
      </c>
      <c r="C856" t="b">
        <v>0</v>
      </c>
      <c r="D856" s="1">
        <v>37591</v>
      </c>
      <c r="E856">
        <v>2</v>
      </c>
      <c r="F856"/>
      <c r="G856"/>
      <c r="H856"/>
      <c r="I856"/>
      <c r="J856"/>
      <c r="K856"/>
      <c r="L856"/>
      <c r="M856"/>
      <c r="N856"/>
      <c r="O856"/>
    </row>
    <row r="857" spans="1:15" hidden="1" x14ac:dyDescent="0.25">
      <c r="A857" t="s">
        <v>18</v>
      </c>
      <c r="B857" t="s">
        <v>115</v>
      </c>
      <c r="C857" t="b">
        <v>0</v>
      </c>
      <c r="D857" s="1">
        <v>37591</v>
      </c>
      <c r="E857">
        <v>2</v>
      </c>
      <c r="F857"/>
      <c r="G857"/>
      <c r="H857"/>
      <c r="I857"/>
      <c r="J857"/>
      <c r="K857"/>
      <c r="L857"/>
      <c r="M857"/>
      <c r="N857"/>
      <c r="O857"/>
    </row>
    <row r="858" spans="1:15" hidden="1" x14ac:dyDescent="0.25">
      <c r="A858" t="s">
        <v>106</v>
      </c>
      <c r="B858" t="s">
        <v>115</v>
      </c>
      <c r="C858" t="b">
        <v>0</v>
      </c>
      <c r="D858" s="1">
        <v>37591</v>
      </c>
      <c r="E858">
        <v>2</v>
      </c>
      <c r="F858"/>
      <c r="G858"/>
      <c r="H858"/>
      <c r="I858"/>
      <c r="J858"/>
      <c r="K858"/>
      <c r="L858"/>
      <c r="M858"/>
      <c r="N858"/>
      <c r="O858"/>
    </row>
    <row r="859" spans="1:15" hidden="1" x14ac:dyDescent="0.25">
      <c r="A859" t="s">
        <v>106</v>
      </c>
      <c r="B859" t="s">
        <v>115</v>
      </c>
      <c r="C859" t="b">
        <v>0</v>
      </c>
      <c r="D859" s="1">
        <v>37591</v>
      </c>
      <c r="E859">
        <v>2</v>
      </c>
      <c r="F859"/>
      <c r="G859"/>
      <c r="H859"/>
      <c r="I859"/>
      <c r="J859"/>
      <c r="K859"/>
      <c r="L859"/>
      <c r="M859"/>
      <c r="N859"/>
      <c r="O859"/>
    </row>
    <row r="860" spans="1:15" hidden="1" x14ac:dyDescent="0.25">
      <c r="A860" t="s">
        <v>106</v>
      </c>
      <c r="B860" t="s">
        <v>115</v>
      </c>
      <c r="C860" t="b">
        <v>0</v>
      </c>
      <c r="D860" s="1">
        <v>37591</v>
      </c>
      <c r="E860">
        <v>2</v>
      </c>
      <c r="F860"/>
      <c r="G860"/>
      <c r="H860"/>
      <c r="I860"/>
      <c r="J860"/>
      <c r="K860"/>
      <c r="L860"/>
      <c r="M860"/>
      <c r="N860"/>
      <c r="O860"/>
    </row>
    <row r="861" spans="1:15" hidden="1" x14ac:dyDescent="0.25">
      <c r="A861" t="s">
        <v>106</v>
      </c>
      <c r="B861" t="s">
        <v>115</v>
      </c>
      <c r="C861" t="b">
        <v>0</v>
      </c>
      <c r="D861" s="1">
        <v>37591</v>
      </c>
      <c r="E861">
        <v>2</v>
      </c>
      <c r="F861"/>
      <c r="G861"/>
      <c r="H861"/>
      <c r="I861"/>
      <c r="J861"/>
      <c r="K861"/>
      <c r="L861"/>
      <c r="M861"/>
      <c r="N861"/>
      <c r="O861"/>
    </row>
    <row r="862" spans="1:15" hidden="1" x14ac:dyDescent="0.25">
      <c r="A862" t="s">
        <v>106</v>
      </c>
      <c r="B862" t="s">
        <v>115</v>
      </c>
      <c r="C862" t="b">
        <v>0</v>
      </c>
      <c r="D862" s="1">
        <v>37591</v>
      </c>
      <c r="E862">
        <v>2</v>
      </c>
      <c r="F862"/>
      <c r="G862"/>
      <c r="H862"/>
      <c r="I862"/>
      <c r="J862"/>
      <c r="K862"/>
      <c r="L862"/>
      <c r="M862"/>
      <c r="N862"/>
      <c r="O862"/>
    </row>
    <row r="863" spans="1:15" hidden="1" x14ac:dyDescent="0.25">
      <c r="A863" t="s">
        <v>106</v>
      </c>
      <c r="B863" t="s">
        <v>115</v>
      </c>
      <c r="C863" t="b">
        <v>0</v>
      </c>
      <c r="D863" s="1">
        <v>37591</v>
      </c>
      <c r="E863">
        <v>2</v>
      </c>
      <c r="F863"/>
      <c r="G863"/>
      <c r="H863"/>
      <c r="I863"/>
      <c r="J863"/>
      <c r="K863"/>
      <c r="L863"/>
      <c r="M863"/>
      <c r="N863"/>
      <c r="O863"/>
    </row>
    <row r="864" spans="1:15" hidden="1" x14ac:dyDescent="0.25">
      <c r="A864" t="s">
        <v>106</v>
      </c>
      <c r="B864" t="s">
        <v>115</v>
      </c>
      <c r="C864" t="b">
        <v>0</v>
      </c>
      <c r="D864" s="1">
        <v>37591</v>
      </c>
      <c r="E864">
        <v>2</v>
      </c>
      <c r="F864"/>
      <c r="G864"/>
      <c r="H864"/>
      <c r="I864"/>
      <c r="J864"/>
      <c r="K864"/>
      <c r="L864"/>
      <c r="M864"/>
      <c r="N864"/>
      <c r="O864"/>
    </row>
    <row r="865" spans="1:15" hidden="1" x14ac:dyDescent="0.25">
      <c r="A865" t="s">
        <v>106</v>
      </c>
      <c r="B865" t="s">
        <v>115</v>
      </c>
      <c r="C865" t="b">
        <v>0</v>
      </c>
      <c r="D865" s="1">
        <v>37591</v>
      </c>
      <c r="E865">
        <v>2</v>
      </c>
      <c r="F865"/>
      <c r="G865"/>
      <c r="H865"/>
      <c r="I865"/>
      <c r="J865"/>
      <c r="K865"/>
      <c r="L865"/>
      <c r="M865"/>
      <c r="N865"/>
      <c r="O865"/>
    </row>
    <row r="866" spans="1:15" hidden="1" x14ac:dyDescent="0.25">
      <c r="A866" t="s">
        <v>106</v>
      </c>
      <c r="B866" t="s">
        <v>115</v>
      </c>
      <c r="C866" t="b">
        <v>0</v>
      </c>
      <c r="D866" s="1">
        <v>37591</v>
      </c>
      <c r="E866">
        <v>2</v>
      </c>
      <c r="F866"/>
      <c r="G866"/>
      <c r="H866"/>
      <c r="I866"/>
      <c r="J866"/>
      <c r="K866"/>
      <c r="L866"/>
      <c r="M866"/>
      <c r="N866"/>
      <c r="O866"/>
    </row>
    <row r="867" spans="1:15" hidden="1" x14ac:dyDescent="0.25">
      <c r="A867" t="s">
        <v>106</v>
      </c>
      <c r="B867" t="s">
        <v>115</v>
      </c>
      <c r="C867" t="b">
        <v>0</v>
      </c>
      <c r="D867" s="1">
        <v>37591</v>
      </c>
      <c r="E867">
        <v>2</v>
      </c>
      <c r="F867"/>
      <c r="G867"/>
      <c r="H867"/>
      <c r="I867"/>
      <c r="J867"/>
      <c r="K867"/>
      <c r="L867"/>
      <c r="M867"/>
      <c r="N867"/>
      <c r="O867"/>
    </row>
    <row r="868" spans="1:15" hidden="1" x14ac:dyDescent="0.25">
      <c r="A868" t="s">
        <v>106</v>
      </c>
      <c r="B868" t="s">
        <v>115</v>
      </c>
      <c r="C868" t="b">
        <v>0</v>
      </c>
      <c r="D868" s="1">
        <v>37591</v>
      </c>
      <c r="E868">
        <v>2</v>
      </c>
      <c r="F868"/>
      <c r="G868"/>
      <c r="H868"/>
      <c r="I868"/>
      <c r="J868"/>
      <c r="K868"/>
      <c r="L868"/>
      <c r="M868"/>
      <c r="N868"/>
      <c r="O868"/>
    </row>
    <row r="869" spans="1:15" hidden="1" x14ac:dyDescent="0.25">
      <c r="A869" t="s">
        <v>106</v>
      </c>
      <c r="B869" t="s">
        <v>115</v>
      </c>
      <c r="C869" t="b">
        <v>0</v>
      </c>
      <c r="D869" s="1">
        <v>37591</v>
      </c>
      <c r="E869">
        <v>2</v>
      </c>
      <c r="F869"/>
      <c r="G869"/>
      <c r="H869"/>
      <c r="I869"/>
      <c r="J869"/>
      <c r="K869"/>
      <c r="L869"/>
      <c r="M869"/>
      <c r="N869"/>
      <c r="O869"/>
    </row>
    <row r="870" spans="1:15" hidden="1" x14ac:dyDescent="0.25">
      <c r="A870" t="s">
        <v>106</v>
      </c>
      <c r="B870" t="s">
        <v>115</v>
      </c>
      <c r="C870" t="b">
        <v>0</v>
      </c>
      <c r="D870" s="1">
        <v>37591</v>
      </c>
      <c r="E870">
        <v>1</v>
      </c>
      <c r="F870"/>
      <c r="G870"/>
      <c r="H870"/>
      <c r="I870"/>
      <c r="J870"/>
      <c r="K870"/>
      <c r="L870"/>
      <c r="M870"/>
      <c r="N870"/>
      <c r="O870"/>
    </row>
    <row r="871" spans="1:15" hidden="1" x14ac:dyDescent="0.25">
      <c r="A871" t="s">
        <v>106</v>
      </c>
      <c r="B871" t="s">
        <v>115</v>
      </c>
      <c r="C871" t="b">
        <v>0</v>
      </c>
      <c r="D871" s="1">
        <v>37591</v>
      </c>
      <c r="E871">
        <v>2</v>
      </c>
      <c r="F871"/>
      <c r="G871"/>
      <c r="H871"/>
      <c r="I871"/>
      <c r="J871"/>
      <c r="K871"/>
      <c r="L871"/>
      <c r="M871"/>
      <c r="N871"/>
      <c r="O871"/>
    </row>
    <row r="872" spans="1:15" hidden="1" x14ac:dyDescent="0.25">
      <c r="A872" t="s">
        <v>106</v>
      </c>
      <c r="B872" t="s">
        <v>115</v>
      </c>
      <c r="C872" t="b">
        <v>0</v>
      </c>
      <c r="D872" s="1">
        <v>37591</v>
      </c>
      <c r="E872">
        <v>2</v>
      </c>
      <c r="F872"/>
      <c r="G872"/>
      <c r="H872"/>
      <c r="I872"/>
      <c r="J872"/>
      <c r="K872"/>
      <c r="L872"/>
      <c r="M872"/>
      <c r="N872"/>
      <c r="O872"/>
    </row>
    <row r="873" spans="1:15" hidden="1" x14ac:dyDescent="0.25">
      <c r="A873" t="s">
        <v>106</v>
      </c>
      <c r="B873" t="s">
        <v>115</v>
      </c>
      <c r="C873" t="b">
        <v>0</v>
      </c>
      <c r="D873" s="1">
        <v>37591</v>
      </c>
      <c r="E873">
        <v>2</v>
      </c>
      <c r="F873"/>
      <c r="G873"/>
      <c r="H873"/>
      <c r="I873"/>
      <c r="J873"/>
      <c r="K873"/>
      <c r="L873"/>
      <c r="M873"/>
      <c r="N873"/>
      <c r="O873"/>
    </row>
    <row r="874" spans="1:15" hidden="1" x14ac:dyDescent="0.25">
      <c r="A874" t="s">
        <v>106</v>
      </c>
      <c r="B874" t="s">
        <v>115</v>
      </c>
      <c r="C874" t="b">
        <v>0</v>
      </c>
      <c r="D874" s="1">
        <v>37591</v>
      </c>
      <c r="E874">
        <v>2</v>
      </c>
      <c r="F874"/>
      <c r="G874"/>
      <c r="H874"/>
      <c r="I874"/>
      <c r="J874"/>
      <c r="K874"/>
      <c r="L874"/>
      <c r="M874"/>
      <c r="N874"/>
      <c r="O874"/>
    </row>
    <row r="875" spans="1:15" hidden="1" x14ac:dyDescent="0.25">
      <c r="A875" t="s">
        <v>106</v>
      </c>
      <c r="B875" t="s">
        <v>115</v>
      </c>
      <c r="C875" t="b">
        <v>0</v>
      </c>
      <c r="D875" s="1">
        <v>37591</v>
      </c>
      <c r="E875">
        <v>2</v>
      </c>
      <c r="F875"/>
      <c r="G875"/>
      <c r="H875"/>
      <c r="I875"/>
      <c r="J875"/>
      <c r="K875"/>
      <c r="L875"/>
      <c r="M875"/>
      <c r="N875"/>
      <c r="O875"/>
    </row>
    <row r="876" spans="1:15" hidden="1" x14ac:dyDescent="0.25">
      <c r="A876" t="s">
        <v>106</v>
      </c>
      <c r="B876" t="s">
        <v>115</v>
      </c>
      <c r="C876" t="b">
        <v>0</v>
      </c>
      <c r="D876" s="1">
        <v>37591</v>
      </c>
      <c r="E876">
        <v>2</v>
      </c>
      <c r="F876"/>
      <c r="G876"/>
      <c r="H876"/>
      <c r="I876"/>
      <c r="J876"/>
      <c r="K876"/>
      <c r="L876"/>
      <c r="M876"/>
      <c r="N876"/>
      <c r="O876"/>
    </row>
    <row r="877" spans="1:15" hidden="1" x14ac:dyDescent="0.25">
      <c r="A877" t="s">
        <v>106</v>
      </c>
      <c r="B877" t="s">
        <v>115</v>
      </c>
      <c r="C877" t="b">
        <v>0</v>
      </c>
      <c r="D877" s="1">
        <v>37591</v>
      </c>
      <c r="E877">
        <v>2</v>
      </c>
      <c r="F877"/>
      <c r="G877"/>
      <c r="H877"/>
      <c r="I877"/>
      <c r="J877"/>
      <c r="K877"/>
      <c r="L877"/>
      <c r="M877"/>
      <c r="N877"/>
      <c r="O877"/>
    </row>
    <row r="878" spans="1:15" hidden="1" x14ac:dyDescent="0.25">
      <c r="A878" t="s">
        <v>106</v>
      </c>
      <c r="B878" t="s">
        <v>115</v>
      </c>
      <c r="C878" t="b">
        <v>0</v>
      </c>
      <c r="D878" s="1">
        <v>37591</v>
      </c>
      <c r="E878">
        <v>2</v>
      </c>
      <c r="F878"/>
      <c r="G878"/>
      <c r="H878"/>
      <c r="I878"/>
      <c r="J878"/>
      <c r="K878"/>
      <c r="L878"/>
      <c r="M878"/>
      <c r="N878"/>
      <c r="O878"/>
    </row>
    <row r="879" spans="1:15" hidden="1" x14ac:dyDescent="0.25">
      <c r="A879" t="s">
        <v>106</v>
      </c>
      <c r="B879" t="s">
        <v>115</v>
      </c>
      <c r="C879" t="b">
        <v>0</v>
      </c>
      <c r="D879" s="1">
        <v>37591</v>
      </c>
      <c r="E879">
        <v>2</v>
      </c>
      <c r="F879"/>
      <c r="G879"/>
      <c r="H879"/>
      <c r="I879"/>
      <c r="J879"/>
      <c r="K879"/>
      <c r="L879"/>
      <c r="M879"/>
      <c r="N879"/>
      <c r="O879"/>
    </row>
    <row r="880" spans="1:15" hidden="1" x14ac:dyDescent="0.25">
      <c r="A880" t="s">
        <v>106</v>
      </c>
      <c r="B880" t="s">
        <v>115</v>
      </c>
      <c r="C880" t="b">
        <v>0</v>
      </c>
      <c r="D880" s="1">
        <v>37591</v>
      </c>
      <c r="E880">
        <v>2</v>
      </c>
      <c r="F880"/>
      <c r="G880"/>
      <c r="H880"/>
      <c r="I880"/>
      <c r="J880"/>
      <c r="K880"/>
      <c r="L880"/>
      <c r="M880"/>
      <c r="N880"/>
      <c r="O880"/>
    </row>
    <row r="881" spans="1:15" hidden="1" x14ac:dyDescent="0.25">
      <c r="A881" t="s">
        <v>106</v>
      </c>
      <c r="B881" t="s">
        <v>115</v>
      </c>
      <c r="C881" t="b">
        <v>0</v>
      </c>
      <c r="D881" s="1">
        <v>37591</v>
      </c>
      <c r="E881">
        <v>2</v>
      </c>
      <c r="F881"/>
      <c r="G881"/>
      <c r="H881"/>
      <c r="I881"/>
      <c r="J881"/>
      <c r="K881"/>
      <c r="L881"/>
      <c r="M881"/>
      <c r="N881"/>
      <c r="O881"/>
    </row>
    <row r="882" spans="1:15" hidden="1" x14ac:dyDescent="0.25">
      <c r="A882" t="s">
        <v>30</v>
      </c>
      <c r="B882" t="s">
        <v>115</v>
      </c>
      <c r="C882" t="b">
        <v>0</v>
      </c>
      <c r="D882" s="1">
        <v>37591</v>
      </c>
      <c r="E882">
        <v>2</v>
      </c>
      <c r="F882"/>
      <c r="G882"/>
      <c r="H882"/>
      <c r="I882"/>
      <c r="J882"/>
      <c r="K882"/>
      <c r="L882"/>
      <c r="M882"/>
      <c r="N882"/>
      <c r="O882"/>
    </row>
    <row r="883" spans="1:15" hidden="1" x14ac:dyDescent="0.25">
      <c r="A883" t="s">
        <v>39</v>
      </c>
      <c r="B883" t="s">
        <v>115</v>
      </c>
      <c r="C883" t="b">
        <v>0</v>
      </c>
      <c r="D883" s="1">
        <v>37591</v>
      </c>
      <c r="E883">
        <v>2</v>
      </c>
      <c r="F883"/>
      <c r="G883"/>
      <c r="H883"/>
      <c r="I883"/>
      <c r="J883"/>
      <c r="K883"/>
      <c r="L883"/>
      <c r="M883"/>
      <c r="N883"/>
      <c r="O883"/>
    </row>
    <row r="884" spans="1:15" hidden="1" x14ac:dyDescent="0.25">
      <c r="A884" t="s">
        <v>57</v>
      </c>
      <c r="B884" t="s">
        <v>115</v>
      </c>
      <c r="C884" t="b">
        <v>0</v>
      </c>
      <c r="D884" s="1">
        <v>37591</v>
      </c>
      <c r="E884">
        <v>2</v>
      </c>
      <c r="F884"/>
      <c r="G884"/>
      <c r="H884"/>
      <c r="I884"/>
      <c r="J884"/>
      <c r="K884"/>
      <c r="L884"/>
      <c r="M884"/>
      <c r="N884"/>
      <c r="O884"/>
    </row>
    <row r="885" spans="1:15" hidden="1" x14ac:dyDescent="0.25">
      <c r="A885" t="s">
        <v>69</v>
      </c>
      <c r="B885" t="s">
        <v>115</v>
      </c>
      <c r="C885" t="b">
        <v>0</v>
      </c>
      <c r="D885" s="1">
        <v>37591</v>
      </c>
      <c r="E885">
        <v>2</v>
      </c>
      <c r="F885"/>
      <c r="G885"/>
      <c r="H885"/>
      <c r="I885"/>
      <c r="J885"/>
      <c r="K885"/>
      <c r="L885"/>
      <c r="M885"/>
      <c r="N885"/>
      <c r="O885"/>
    </row>
    <row r="886" spans="1:15" hidden="1" x14ac:dyDescent="0.25">
      <c r="A886" t="s">
        <v>99</v>
      </c>
      <c r="B886" t="s">
        <v>114</v>
      </c>
      <c r="C886" t="b">
        <v>0</v>
      </c>
      <c r="D886" s="1">
        <v>37591</v>
      </c>
      <c r="E886">
        <v>11.93</v>
      </c>
      <c r="F886"/>
      <c r="G886"/>
      <c r="H886"/>
      <c r="I886"/>
      <c r="J886"/>
      <c r="K886"/>
      <c r="L886"/>
      <c r="M886"/>
      <c r="N886"/>
      <c r="O886"/>
    </row>
    <row r="887" spans="1:15" hidden="1" x14ac:dyDescent="0.25">
      <c r="A887" t="s">
        <v>100</v>
      </c>
      <c r="B887" t="s">
        <v>117</v>
      </c>
      <c r="C887" t="b">
        <v>0</v>
      </c>
      <c r="D887" s="1">
        <v>37622</v>
      </c>
      <c r="E887" s="2">
        <v>-12</v>
      </c>
      <c r="F887"/>
      <c r="G887"/>
      <c r="H887"/>
      <c r="I887"/>
      <c r="J887"/>
      <c r="K887"/>
      <c r="L887"/>
      <c r="M887"/>
      <c r="N887"/>
      <c r="O887"/>
    </row>
    <row r="888" spans="1:15" hidden="1" x14ac:dyDescent="0.25">
      <c r="A888" t="s">
        <v>102</v>
      </c>
      <c r="B888" t="s">
        <v>117</v>
      </c>
      <c r="C888" t="b">
        <v>0</v>
      </c>
      <c r="D888" s="1">
        <v>37622</v>
      </c>
      <c r="E888" s="2">
        <v>-8</v>
      </c>
      <c r="F888"/>
      <c r="G888"/>
      <c r="H888"/>
      <c r="I888"/>
      <c r="J888"/>
      <c r="K888"/>
      <c r="L888"/>
      <c r="M888"/>
      <c r="N888"/>
      <c r="O888"/>
    </row>
    <row r="889" spans="1:15" hidden="1" x14ac:dyDescent="0.25">
      <c r="A889" t="s">
        <v>108</v>
      </c>
      <c r="B889" t="s">
        <v>115</v>
      </c>
      <c r="C889" t="b">
        <v>0</v>
      </c>
      <c r="D889" s="1">
        <v>37622</v>
      </c>
      <c r="E889">
        <v>2</v>
      </c>
      <c r="F889"/>
      <c r="G889"/>
      <c r="H889"/>
      <c r="I889"/>
      <c r="J889"/>
      <c r="K889"/>
      <c r="L889"/>
      <c r="M889"/>
      <c r="N889"/>
      <c r="O889"/>
    </row>
    <row r="890" spans="1:15" hidden="1" x14ac:dyDescent="0.25">
      <c r="A890" t="s">
        <v>11</v>
      </c>
      <c r="B890" t="s">
        <v>115</v>
      </c>
      <c r="C890" t="b">
        <v>0</v>
      </c>
      <c r="D890" s="1">
        <v>37622</v>
      </c>
      <c r="E890">
        <v>2</v>
      </c>
      <c r="F890"/>
      <c r="G890"/>
      <c r="H890"/>
      <c r="I890"/>
      <c r="J890"/>
      <c r="K890"/>
      <c r="L890"/>
      <c r="M890"/>
      <c r="N890"/>
      <c r="O890"/>
    </row>
    <row r="891" spans="1:15" hidden="1" x14ac:dyDescent="0.25">
      <c r="A891" t="s">
        <v>12</v>
      </c>
      <c r="B891" t="s">
        <v>115</v>
      </c>
      <c r="C891" t="b">
        <v>0</v>
      </c>
      <c r="D891" s="1">
        <v>37622</v>
      </c>
      <c r="E891">
        <v>2</v>
      </c>
      <c r="F891"/>
      <c r="G891"/>
      <c r="H891"/>
      <c r="I891"/>
      <c r="J891"/>
      <c r="K891"/>
      <c r="L891"/>
      <c r="M891"/>
      <c r="N891"/>
      <c r="O891"/>
    </row>
    <row r="892" spans="1:15" hidden="1" x14ac:dyDescent="0.25">
      <c r="A892" t="s">
        <v>14</v>
      </c>
      <c r="B892" t="s">
        <v>115</v>
      </c>
      <c r="C892" t="b">
        <v>0</v>
      </c>
      <c r="D892" s="1">
        <v>37622</v>
      </c>
      <c r="E892">
        <v>2</v>
      </c>
      <c r="F892"/>
      <c r="G892"/>
      <c r="H892"/>
      <c r="I892"/>
      <c r="J892"/>
      <c r="K892"/>
      <c r="L892"/>
      <c r="M892"/>
      <c r="N892"/>
      <c r="O892"/>
    </row>
    <row r="893" spans="1:15" hidden="1" x14ac:dyDescent="0.25">
      <c r="A893" t="s">
        <v>18</v>
      </c>
      <c r="B893" t="s">
        <v>115</v>
      </c>
      <c r="C893" t="b">
        <v>0</v>
      </c>
      <c r="D893" s="1">
        <v>37622</v>
      </c>
      <c r="E893">
        <v>2</v>
      </c>
      <c r="F893"/>
      <c r="G893"/>
      <c r="H893"/>
      <c r="I893"/>
      <c r="J893"/>
      <c r="K893"/>
      <c r="L893"/>
      <c r="M893"/>
      <c r="N893"/>
      <c r="O893"/>
    </row>
    <row r="894" spans="1:15" hidden="1" x14ac:dyDescent="0.25">
      <c r="A894" t="s">
        <v>106</v>
      </c>
      <c r="B894" t="s">
        <v>115</v>
      </c>
      <c r="C894" t="b">
        <v>0</v>
      </c>
      <c r="D894" s="1">
        <v>37622</v>
      </c>
      <c r="E894">
        <v>2</v>
      </c>
      <c r="F894"/>
      <c r="G894"/>
      <c r="H894"/>
      <c r="I894"/>
      <c r="J894"/>
      <c r="K894"/>
      <c r="L894"/>
      <c r="M894"/>
      <c r="N894"/>
      <c r="O894"/>
    </row>
    <row r="895" spans="1:15" hidden="1" x14ac:dyDescent="0.25">
      <c r="A895" t="s">
        <v>106</v>
      </c>
      <c r="B895" t="s">
        <v>115</v>
      </c>
      <c r="C895" t="b">
        <v>0</v>
      </c>
      <c r="D895" s="1">
        <v>37622</v>
      </c>
      <c r="E895">
        <v>2</v>
      </c>
      <c r="F895"/>
      <c r="G895"/>
      <c r="H895"/>
      <c r="I895"/>
      <c r="J895"/>
      <c r="K895"/>
      <c r="L895"/>
      <c r="M895"/>
      <c r="N895"/>
      <c r="O895"/>
    </row>
    <row r="896" spans="1:15" hidden="1" x14ac:dyDescent="0.25">
      <c r="A896" t="s">
        <v>106</v>
      </c>
      <c r="B896" t="s">
        <v>115</v>
      </c>
      <c r="C896" t="b">
        <v>0</v>
      </c>
      <c r="D896" s="1">
        <v>37622</v>
      </c>
      <c r="E896">
        <v>2</v>
      </c>
      <c r="F896"/>
      <c r="G896"/>
      <c r="H896"/>
      <c r="I896"/>
      <c r="J896"/>
      <c r="K896"/>
      <c r="L896"/>
      <c r="M896"/>
      <c r="N896"/>
      <c r="O896"/>
    </row>
    <row r="897" spans="1:15" hidden="1" x14ac:dyDescent="0.25">
      <c r="A897" t="s">
        <v>106</v>
      </c>
      <c r="B897" t="s">
        <v>115</v>
      </c>
      <c r="C897" t="b">
        <v>0</v>
      </c>
      <c r="D897" s="1">
        <v>37622</v>
      </c>
      <c r="E897">
        <v>2</v>
      </c>
      <c r="F897"/>
      <c r="G897"/>
      <c r="H897"/>
      <c r="I897"/>
      <c r="J897"/>
      <c r="K897"/>
      <c r="L897"/>
      <c r="M897"/>
      <c r="N897"/>
      <c r="O897"/>
    </row>
    <row r="898" spans="1:15" hidden="1" x14ac:dyDescent="0.25">
      <c r="A898" t="s">
        <v>106</v>
      </c>
      <c r="B898" t="s">
        <v>115</v>
      </c>
      <c r="C898" t="b">
        <v>0</v>
      </c>
      <c r="D898" s="1">
        <v>37622</v>
      </c>
      <c r="E898">
        <v>2</v>
      </c>
      <c r="F898"/>
      <c r="G898"/>
      <c r="H898"/>
      <c r="I898"/>
      <c r="J898"/>
      <c r="K898"/>
      <c r="L898"/>
      <c r="M898"/>
      <c r="N898"/>
      <c r="O898"/>
    </row>
    <row r="899" spans="1:15" hidden="1" x14ac:dyDescent="0.25">
      <c r="A899" t="s">
        <v>106</v>
      </c>
      <c r="B899" t="s">
        <v>115</v>
      </c>
      <c r="C899" t="b">
        <v>0</v>
      </c>
      <c r="D899" s="1">
        <v>37622</v>
      </c>
      <c r="E899">
        <v>2</v>
      </c>
      <c r="F899"/>
      <c r="G899"/>
      <c r="H899"/>
      <c r="I899"/>
      <c r="J899"/>
      <c r="K899"/>
      <c r="L899"/>
      <c r="M899"/>
      <c r="N899"/>
      <c r="O899"/>
    </row>
    <row r="900" spans="1:15" hidden="1" x14ac:dyDescent="0.25">
      <c r="A900" t="s">
        <v>106</v>
      </c>
      <c r="B900" t="s">
        <v>115</v>
      </c>
      <c r="C900" t="b">
        <v>0</v>
      </c>
      <c r="D900" s="1">
        <v>37622</v>
      </c>
      <c r="E900">
        <v>2</v>
      </c>
      <c r="F900"/>
      <c r="G900"/>
      <c r="H900"/>
      <c r="I900"/>
      <c r="J900"/>
      <c r="K900"/>
      <c r="L900"/>
      <c r="M900"/>
      <c r="N900"/>
      <c r="O900"/>
    </row>
    <row r="901" spans="1:15" hidden="1" x14ac:dyDescent="0.25">
      <c r="A901" t="s">
        <v>106</v>
      </c>
      <c r="B901" t="s">
        <v>115</v>
      </c>
      <c r="C901" t="b">
        <v>0</v>
      </c>
      <c r="D901" s="1">
        <v>37622</v>
      </c>
      <c r="E901">
        <v>2</v>
      </c>
      <c r="F901"/>
      <c r="G901"/>
      <c r="H901"/>
      <c r="I901"/>
      <c r="J901"/>
      <c r="K901"/>
      <c r="L901"/>
      <c r="M901"/>
      <c r="N901"/>
      <c r="O901"/>
    </row>
    <row r="902" spans="1:15" hidden="1" x14ac:dyDescent="0.25">
      <c r="A902" t="s">
        <v>106</v>
      </c>
      <c r="B902" t="s">
        <v>115</v>
      </c>
      <c r="C902" t="b">
        <v>0</v>
      </c>
      <c r="D902" s="1">
        <v>37622</v>
      </c>
      <c r="E902">
        <v>2</v>
      </c>
      <c r="F902"/>
      <c r="G902"/>
      <c r="H902"/>
      <c r="I902"/>
      <c r="J902"/>
      <c r="K902"/>
      <c r="L902"/>
      <c r="M902"/>
      <c r="N902"/>
      <c r="O902"/>
    </row>
    <row r="903" spans="1:15" hidden="1" x14ac:dyDescent="0.25">
      <c r="A903" t="s">
        <v>106</v>
      </c>
      <c r="B903" t="s">
        <v>115</v>
      </c>
      <c r="C903" t="b">
        <v>0</v>
      </c>
      <c r="D903" s="1">
        <v>37622</v>
      </c>
      <c r="E903">
        <v>2</v>
      </c>
      <c r="F903"/>
      <c r="G903"/>
      <c r="H903"/>
      <c r="I903"/>
      <c r="J903"/>
      <c r="K903"/>
      <c r="L903"/>
      <c r="M903"/>
      <c r="N903"/>
      <c r="O903"/>
    </row>
    <row r="904" spans="1:15" hidden="1" x14ac:dyDescent="0.25">
      <c r="A904" t="s">
        <v>106</v>
      </c>
      <c r="B904" t="s">
        <v>115</v>
      </c>
      <c r="C904" t="b">
        <v>0</v>
      </c>
      <c r="D904" s="1">
        <v>37622</v>
      </c>
      <c r="E904">
        <v>2</v>
      </c>
      <c r="F904"/>
      <c r="G904"/>
      <c r="H904"/>
      <c r="I904"/>
      <c r="J904"/>
      <c r="K904"/>
      <c r="L904"/>
      <c r="M904"/>
      <c r="N904"/>
      <c r="O904"/>
    </row>
    <row r="905" spans="1:15" hidden="1" x14ac:dyDescent="0.25">
      <c r="A905" t="s">
        <v>106</v>
      </c>
      <c r="B905" t="s">
        <v>115</v>
      </c>
      <c r="C905" t="b">
        <v>0</v>
      </c>
      <c r="D905" s="1">
        <v>37622</v>
      </c>
      <c r="E905">
        <v>2</v>
      </c>
      <c r="F905"/>
      <c r="G905"/>
      <c r="H905"/>
      <c r="I905"/>
      <c r="J905"/>
      <c r="K905"/>
      <c r="L905"/>
      <c r="M905"/>
      <c r="N905"/>
      <c r="O905"/>
    </row>
    <row r="906" spans="1:15" hidden="1" x14ac:dyDescent="0.25">
      <c r="A906" t="s">
        <v>106</v>
      </c>
      <c r="B906" t="s">
        <v>115</v>
      </c>
      <c r="C906" t="b">
        <v>0</v>
      </c>
      <c r="D906" s="1">
        <v>37622</v>
      </c>
      <c r="E906">
        <v>2</v>
      </c>
      <c r="F906"/>
      <c r="G906"/>
      <c r="H906"/>
      <c r="I906"/>
      <c r="J906"/>
      <c r="K906"/>
      <c r="L906"/>
      <c r="M906"/>
      <c r="N906"/>
      <c r="O906"/>
    </row>
    <row r="907" spans="1:15" hidden="1" x14ac:dyDescent="0.25">
      <c r="A907" t="s">
        <v>106</v>
      </c>
      <c r="B907" t="s">
        <v>115</v>
      </c>
      <c r="C907" t="b">
        <v>0</v>
      </c>
      <c r="D907" s="1">
        <v>37622</v>
      </c>
      <c r="E907">
        <v>2</v>
      </c>
      <c r="F907"/>
      <c r="G907"/>
      <c r="H907"/>
      <c r="I907"/>
      <c r="J907"/>
      <c r="K907"/>
      <c r="L907"/>
      <c r="M907"/>
      <c r="N907"/>
      <c r="O907"/>
    </row>
    <row r="908" spans="1:15" hidden="1" x14ac:dyDescent="0.25">
      <c r="A908" t="s">
        <v>106</v>
      </c>
      <c r="B908" t="s">
        <v>115</v>
      </c>
      <c r="C908" t="b">
        <v>0</v>
      </c>
      <c r="D908" s="1">
        <v>37622</v>
      </c>
      <c r="E908">
        <v>2</v>
      </c>
      <c r="F908"/>
      <c r="G908"/>
      <c r="H908"/>
      <c r="I908"/>
      <c r="J908"/>
      <c r="K908"/>
      <c r="L908"/>
      <c r="M908"/>
      <c r="N908"/>
      <c r="O908"/>
    </row>
    <row r="909" spans="1:15" hidden="1" x14ac:dyDescent="0.25">
      <c r="A909" t="s">
        <v>106</v>
      </c>
      <c r="B909" t="s">
        <v>115</v>
      </c>
      <c r="C909" t="b">
        <v>0</v>
      </c>
      <c r="D909" s="1">
        <v>37622</v>
      </c>
      <c r="E909">
        <v>2</v>
      </c>
      <c r="F909"/>
      <c r="G909"/>
      <c r="H909"/>
      <c r="I909"/>
      <c r="J909"/>
      <c r="K909"/>
      <c r="L909"/>
      <c r="M909"/>
      <c r="N909"/>
      <c r="O909"/>
    </row>
    <row r="910" spans="1:15" hidden="1" x14ac:dyDescent="0.25">
      <c r="A910" t="s">
        <v>106</v>
      </c>
      <c r="B910" t="s">
        <v>115</v>
      </c>
      <c r="C910" t="b">
        <v>0</v>
      </c>
      <c r="D910" s="1">
        <v>37622</v>
      </c>
      <c r="E910">
        <v>2</v>
      </c>
      <c r="F910"/>
      <c r="G910"/>
      <c r="H910"/>
      <c r="I910"/>
      <c r="J910"/>
      <c r="K910"/>
      <c r="L910"/>
      <c r="M910"/>
      <c r="N910"/>
      <c r="O910"/>
    </row>
    <row r="911" spans="1:15" hidden="1" x14ac:dyDescent="0.25">
      <c r="A911" t="s">
        <v>106</v>
      </c>
      <c r="B911" t="s">
        <v>115</v>
      </c>
      <c r="C911" t="b">
        <v>0</v>
      </c>
      <c r="D911" s="1">
        <v>37622</v>
      </c>
      <c r="E911">
        <v>2</v>
      </c>
      <c r="F911"/>
      <c r="G911"/>
      <c r="H911"/>
      <c r="I911"/>
      <c r="J911"/>
      <c r="K911"/>
      <c r="L911"/>
      <c r="M911"/>
      <c r="N911"/>
      <c r="O911"/>
    </row>
    <row r="912" spans="1:15" hidden="1" x14ac:dyDescent="0.25">
      <c r="A912" t="s">
        <v>106</v>
      </c>
      <c r="B912" t="s">
        <v>115</v>
      </c>
      <c r="C912" t="b">
        <v>0</v>
      </c>
      <c r="D912" s="1">
        <v>37622</v>
      </c>
      <c r="E912">
        <v>2</v>
      </c>
      <c r="F912"/>
      <c r="G912"/>
      <c r="H912"/>
      <c r="I912"/>
      <c r="J912"/>
      <c r="K912"/>
      <c r="L912"/>
      <c r="M912"/>
      <c r="N912"/>
      <c r="O912"/>
    </row>
    <row r="913" spans="1:15" hidden="1" x14ac:dyDescent="0.25">
      <c r="A913" t="s">
        <v>106</v>
      </c>
      <c r="B913" t="s">
        <v>115</v>
      </c>
      <c r="C913" t="b">
        <v>0</v>
      </c>
      <c r="D913" s="1">
        <v>37622</v>
      </c>
      <c r="E913">
        <v>2</v>
      </c>
      <c r="F913"/>
      <c r="G913"/>
      <c r="H913"/>
      <c r="I913"/>
      <c r="J913"/>
      <c r="K913"/>
      <c r="L913"/>
      <c r="M913"/>
      <c r="N913"/>
      <c r="O913"/>
    </row>
    <row r="914" spans="1:15" hidden="1" x14ac:dyDescent="0.25">
      <c r="A914" t="s">
        <v>106</v>
      </c>
      <c r="B914" t="s">
        <v>115</v>
      </c>
      <c r="C914" t="b">
        <v>0</v>
      </c>
      <c r="D914" s="1">
        <v>37622</v>
      </c>
      <c r="E914">
        <v>2</v>
      </c>
      <c r="F914"/>
      <c r="G914"/>
      <c r="H914"/>
      <c r="I914"/>
      <c r="J914"/>
      <c r="K914"/>
      <c r="L914"/>
      <c r="M914"/>
      <c r="N914"/>
      <c r="O914"/>
    </row>
    <row r="915" spans="1:15" hidden="1" x14ac:dyDescent="0.25">
      <c r="A915" t="s">
        <v>106</v>
      </c>
      <c r="B915" t="s">
        <v>115</v>
      </c>
      <c r="C915" t="b">
        <v>0</v>
      </c>
      <c r="D915" s="1">
        <v>37622</v>
      </c>
      <c r="E915">
        <v>2</v>
      </c>
      <c r="F915"/>
      <c r="G915"/>
      <c r="H915"/>
      <c r="I915"/>
      <c r="J915"/>
      <c r="K915"/>
      <c r="L915"/>
      <c r="M915"/>
      <c r="N915"/>
      <c r="O915"/>
    </row>
    <row r="916" spans="1:15" hidden="1" x14ac:dyDescent="0.25">
      <c r="A916" t="s">
        <v>106</v>
      </c>
      <c r="B916" t="s">
        <v>115</v>
      </c>
      <c r="C916" t="b">
        <v>0</v>
      </c>
      <c r="D916" s="1">
        <v>37622</v>
      </c>
      <c r="E916">
        <v>2</v>
      </c>
      <c r="F916"/>
      <c r="G916"/>
      <c r="H916"/>
      <c r="I916"/>
      <c r="J916"/>
      <c r="K916"/>
      <c r="L916"/>
      <c r="M916"/>
      <c r="N916"/>
      <c r="O916"/>
    </row>
    <row r="917" spans="1:15" hidden="1" x14ac:dyDescent="0.25">
      <c r="A917" t="s">
        <v>106</v>
      </c>
      <c r="B917" t="s">
        <v>115</v>
      </c>
      <c r="C917" t="b">
        <v>0</v>
      </c>
      <c r="D917" s="1">
        <v>37622</v>
      </c>
      <c r="E917">
        <v>2</v>
      </c>
      <c r="F917"/>
      <c r="G917"/>
      <c r="H917"/>
      <c r="I917"/>
      <c r="J917"/>
      <c r="K917"/>
      <c r="L917"/>
      <c r="M917"/>
      <c r="N917"/>
      <c r="O917"/>
    </row>
    <row r="918" spans="1:15" hidden="1" x14ac:dyDescent="0.25">
      <c r="A918" t="s">
        <v>19</v>
      </c>
      <c r="B918" t="s">
        <v>115</v>
      </c>
      <c r="C918" t="b">
        <v>0</v>
      </c>
      <c r="D918" s="1">
        <v>37622</v>
      </c>
      <c r="E918">
        <v>2</v>
      </c>
      <c r="F918"/>
      <c r="G918"/>
      <c r="H918"/>
      <c r="I918"/>
      <c r="J918"/>
      <c r="K918"/>
      <c r="L918"/>
      <c r="M918"/>
      <c r="N918"/>
      <c r="O918"/>
    </row>
    <row r="919" spans="1:15" hidden="1" x14ac:dyDescent="0.25">
      <c r="A919" t="s">
        <v>30</v>
      </c>
      <c r="B919" t="s">
        <v>115</v>
      </c>
      <c r="C919" t="b">
        <v>0</v>
      </c>
      <c r="D919" s="1">
        <v>37622</v>
      </c>
      <c r="E919">
        <v>2</v>
      </c>
      <c r="F919"/>
      <c r="G919"/>
      <c r="H919"/>
      <c r="I919"/>
      <c r="J919"/>
      <c r="K919"/>
      <c r="L919"/>
      <c r="M919"/>
      <c r="N919"/>
      <c r="O919"/>
    </row>
    <row r="920" spans="1:15" hidden="1" x14ac:dyDescent="0.25">
      <c r="A920" t="s">
        <v>39</v>
      </c>
      <c r="B920" t="s">
        <v>115</v>
      </c>
      <c r="C920" t="b">
        <v>0</v>
      </c>
      <c r="D920" s="1">
        <v>37622</v>
      </c>
      <c r="E920">
        <v>2</v>
      </c>
      <c r="F920"/>
      <c r="G920"/>
      <c r="H920"/>
      <c r="I920"/>
      <c r="J920"/>
      <c r="K920"/>
      <c r="L920"/>
      <c r="M920"/>
      <c r="N920"/>
      <c r="O920"/>
    </row>
    <row r="921" spans="1:15" hidden="1" x14ac:dyDescent="0.25">
      <c r="A921" t="s">
        <v>57</v>
      </c>
      <c r="B921" t="s">
        <v>115</v>
      </c>
      <c r="C921" t="b">
        <v>0</v>
      </c>
      <c r="D921" s="1">
        <v>37622</v>
      </c>
      <c r="E921">
        <v>2</v>
      </c>
      <c r="F921"/>
      <c r="G921"/>
      <c r="H921"/>
      <c r="I921"/>
      <c r="J921"/>
      <c r="K921"/>
      <c r="L921"/>
      <c r="M921"/>
      <c r="N921"/>
      <c r="O921"/>
    </row>
    <row r="922" spans="1:15" hidden="1" x14ac:dyDescent="0.25">
      <c r="A922" t="s">
        <v>69</v>
      </c>
      <c r="B922" t="s">
        <v>115</v>
      </c>
      <c r="C922" t="b">
        <v>0</v>
      </c>
      <c r="D922" s="1">
        <v>37622</v>
      </c>
      <c r="E922">
        <v>2</v>
      </c>
      <c r="F922"/>
      <c r="G922"/>
      <c r="H922"/>
      <c r="I922"/>
      <c r="J922"/>
      <c r="K922"/>
      <c r="L922"/>
      <c r="M922"/>
      <c r="N922"/>
      <c r="O922"/>
    </row>
    <row r="923" spans="1:15" hidden="1" x14ac:dyDescent="0.25">
      <c r="A923" t="s">
        <v>99</v>
      </c>
      <c r="B923" t="s">
        <v>114</v>
      </c>
      <c r="C923" t="b">
        <v>0</v>
      </c>
      <c r="D923" s="1">
        <v>37622</v>
      </c>
      <c r="E923">
        <v>8.0299999999999994</v>
      </c>
      <c r="F923"/>
      <c r="G923"/>
      <c r="H923"/>
      <c r="I923"/>
      <c r="J923"/>
      <c r="K923"/>
      <c r="L923"/>
      <c r="M923"/>
      <c r="N923"/>
      <c r="O923"/>
    </row>
    <row r="924" spans="1:15" hidden="1" x14ac:dyDescent="0.25">
      <c r="A924" t="s">
        <v>100</v>
      </c>
      <c r="B924" t="s">
        <v>117</v>
      </c>
      <c r="C924" t="b">
        <v>0</v>
      </c>
      <c r="D924" s="1">
        <v>37653</v>
      </c>
      <c r="E924" s="2">
        <v>-62.57</v>
      </c>
      <c r="F924"/>
      <c r="G924"/>
      <c r="H924"/>
      <c r="I924"/>
      <c r="J924"/>
      <c r="K924"/>
      <c r="L924"/>
      <c r="M924"/>
      <c r="N924"/>
      <c r="O924"/>
    </row>
    <row r="925" spans="1:15" hidden="1" x14ac:dyDescent="0.25">
      <c r="A925" t="s">
        <v>102</v>
      </c>
      <c r="B925" t="s">
        <v>117</v>
      </c>
      <c r="C925" t="b">
        <v>0</v>
      </c>
      <c r="D925" s="1">
        <v>37653</v>
      </c>
      <c r="E925" s="2">
        <v>-11.940000000000001</v>
      </c>
      <c r="F925"/>
      <c r="G925"/>
      <c r="H925"/>
      <c r="I925"/>
      <c r="J925"/>
      <c r="K925"/>
      <c r="L925"/>
      <c r="M925"/>
      <c r="N925"/>
      <c r="O925"/>
    </row>
    <row r="926" spans="1:15" hidden="1" x14ac:dyDescent="0.25">
      <c r="A926" t="s">
        <v>103</v>
      </c>
      <c r="B926" t="s">
        <v>117</v>
      </c>
      <c r="C926" t="b">
        <v>0</v>
      </c>
      <c r="D926" s="1">
        <v>37653</v>
      </c>
      <c r="E926" s="2">
        <v>-2</v>
      </c>
      <c r="F926"/>
      <c r="G926"/>
      <c r="H926"/>
      <c r="I926"/>
      <c r="J926"/>
      <c r="K926"/>
      <c r="L926"/>
      <c r="M926"/>
      <c r="N926"/>
      <c r="O926"/>
    </row>
    <row r="927" spans="1:15" hidden="1" x14ac:dyDescent="0.25">
      <c r="A927" t="s">
        <v>108</v>
      </c>
      <c r="B927" t="s">
        <v>115</v>
      </c>
      <c r="C927" t="b">
        <v>0</v>
      </c>
      <c r="D927" s="1">
        <v>37653</v>
      </c>
      <c r="E927">
        <v>2</v>
      </c>
      <c r="F927"/>
      <c r="G927"/>
      <c r="H927"/>
      <c r="I927"/>
      <c r="J927"/>
      <c r="K927"/>
      <c r="L927"/>
      <c r="M927"/>
      <c r="N927"/>
      <c r="O927"/>
    </row>
    <row r="928" spans="1:15" hidden="1" x14ac:dyDescent="0.25">
      <c r="A928" t="s">
        <v>11</v>
      </c>
      <c r="B928" t="s">
        <v>115</v>
      </c>
      <c r="C928" t="b">
        <v>0</v>
      </c>
      <c r="D928" s="1">
        <v>37653</v>
      </c>
      <c r="E928">
        <v>2</v>
      </c>
      <c r="F928"/>
      <c r="G928"/>
      <c r="H928"/>
      <c r="I928"/>
      <c r="J928"/>
      <c r="K928"/>
      <c r="L928"/>
      <c r="M928"/>
      <c r="N928"/>
      <c r="O928"/>
    </row>
    <row r="929" spans="1:15" hidden="1" x14ac:dyDescent="0.25">
      <c r="A929" t="s">
        <v>12</v>
      </c>
      <c r="B929" t="s">
        <v>115</v>
      </c>
      <c r="C929" t="b">
        <v>0</v>
      </c>
      <c r="D929" s="1">
        <v>37653</v>
      </c>
      <c r="E929">
        <v>2</v>
      </c>
      <c r="F929"/>
      <c r="G929"/>
      <c r="H929"/>
      <c r="I929"/>
      <c r="J929"/>
      <c r="K929"/>
      <c r="L929"/>
      <c r="M929"/>
      <c r="N929"/>
      <c r="O929"/>
    </row>
    <row r="930" spans="1:15" hidden="1" x14ac:dyDescent="0.25">
      <c r="A930" t="s">
        <v>14</v>
      </c>
      <c r="B930" t="s">
        <v>115</v>
      </c>
      <c r="C930" t="b">
        <v>0</v>
      </c>
      <c r="D930" s="1">
        <v>37653</v>
      </c>
      <c r="E930">
        <v>2</v>
      </c>
      <c r="F930"/>
      <c r="G930"/>
      <c r="H930"/>
      <c r="I930"/>
      <c r="J930"/>
      <c r="K930"/>
      <c r="L930"/>
      <c r="M930"/>
      <c r="N930"/>
      <c r="O930"/>
    </row>
    <row r="931" spans="1:15" hidden="1" x14ac:dyDescent="0.25">
      <c r="A931" t="s">
        <v>18</v>
      </c>
      <c r="B931" t="s">
        <v>115</v>
      </c>
      <c r="C931" t="b">
        <v>0</v>
      </c>
      <c r="D931" s="1">
        <v>37653</v>
      </c>
      <c r="E931">
        <v>2</v>
      </c>
      <c r="F931"/>
      <c r="G931"/>
      <c r="H931"/>
      <c r="I931"/>
      <c r="J931"/>
      <c r="K931"/>
      <c r="L931"/>
      <c r="M931"/>
      <c r="N931"/>
      <c r="O931"/>
    </row>
    <row r="932" spans="1:15" hidden="1" x14ac:dyDescent="0.25">
      <c r="A932" t="s">
        <v>106</v>
      </c>
      <c r="B932" t="s">
        <v>115</v>
      </c>
      <c r="C932" t="b">
        <v>0</v>
      </c>
      <c r="D932" s="1">
        <v>37653</v>
      </c>
      <c r="E932">
        <v>2</v>
      </c>
      <c r="F932"/>
      <c r="G932"/>
      <c r="H932"/>
      <c r="I932"/>
      <c r="J932"/>
      <c r="K932"/>
      <c r="L932"/>
      <c r="M932"/>
      <c r="N932"/>
      <c r="O932"/>
    </row>
    <row r="933" spans="1:15" hidden="1" x14ac:dyDescent="0.25">
      <c r="A933" t="s">
        <v>106</v>
      </c>
      <c r="B933" t="s">
        <v>115</v>
      </c>
      <c r="C933" t="b">
        <v>0</v>
      </c>
      <c r="D933" s="1">
        <v>37653</v>
      </c>
      <c r="E933">
        <v>2</v>
      </c>
      <c r="F933"/>
      <c r="G933"/>
      <c r="H933"/>
      <c r="I933"/>
      <c r="J933"/>
      <c r="K933"/>
      <c r="L933"/>
      <c r="M933"/>
      <c r="N933"/>
      <c r="O933"/>
    </row>
    <row r="934" spans="1:15" hidden="1" x14ac:dyDescent="0.25">
      <c r="A934" t="s">
        <v>106</v>
      </c>
      <c r="B934" t="s">
        <v>115</v>
      </c>
      <c r="C934" t="b">
        <v>0</v>
      </c>
      <c r="D934" s="1">
        <v>37653</v>
      </c>
      <c r="E934">
        <v>2</v>
      </c>
      <c r="F934"/>
      <c r="G934"/>
      <c r="H934"/>
      <c r="I934"/>
      <c r="J934"/>
      <c r="K934"/>
      <c r="L934"/>
      <c r="M934"/>
      <c r="N934"/>
      <c r="O934"/>
    </row>
    <row r="935" spans="1:15" hidden="1" x14ac:dyDescent="0.25">
      <c r="A935" t="s">
        <v>106</v>
      </c>
      <c r="B935" t="s">
        <v>115</v>
      </c>
      <c r="C935" t="b">
        <v>0</v>
      </c>
      <c r="D935" s="1">
        <v>37653</v>
      </c>
      <c r="E935">
        <v>2</v>
      </c>
      <c r="F935"/>
      <c r="G935"/>
      <c r="H935"/>
      <c r="I935"/>
      <c r="J935"/>
      <c r="K935"/>
      <c r="L935"/>
      <c r="M935"/>
      <c r="N935"/>
      <c r="O935"/>
    </row>
    <row r="936" spans="1:15" hidden="1" x14ac:dyDescent="0.25">
      <c r="A936" t="s">
        <v>106</v>
      </c>
      <c r="B936" t="s">
        <v>115</v>
      </c>
      <c r="C936" t="b">
        <v>0</v>
      </c>
      <c r="D936" s="1">
        <v>37653</v>
      </c>
      <c r="E936">
        <v>2</v>
      </c>
      <c r="F936"/>
      <c r="G936"/>
      <c r="H936"/>
      <c r="I936"/>
      <c r="J936"/>
      <c r="K936"/>
      <c r="L936"/>
      <c r="M936"/>
      <c r="N936"/>
      <c r="O936"/>
    </row>
    <row r="937" spans="1:15" hidden="1" x14ac:dyDescent="0.25">
      <c r="A937" t="s">
        <v>106</v>
      </c>
      <c r="B937" t="s">
        <v>115</v>
      </c>
      <c r="C937" t="b">
        <v>0</v>
      </c>
      <c r="D937" s="1">
        <v>37653</v>
      </c>
      <c r="E937">
        <v>2</v>
      </c>
      <c r="F937"/>
      <c r="G937"/>
      <c r="H937"/>
      <c r="I937"/>
      <c r="J937"/>
      <c r="K937"/>
      <c r="L937"/>
      <c r="M937"/>
      <c r="N937"/>
      <c r="O937"/>
    </row>
    <row r="938" spans="1:15" hidden="1" x14ac:dyDescent="0.25">
      <c r="A938" t="s">
        <v>106</v>
      </c>
      <c r="B938" t="s">
        <v>115</v>
      </c>
      <c r="C938" t="b">
        <v>0</v>
      </c>
      <c r="D938" s="1">
        <v>37653</v>
      </c>
      <c r="E938">
        <v>2</v>
      </c>
      <c r="F938"/>
      <c r="G938"/>
      <c r="H938"/>
      <c r="I938"/>
      <c r="J938"/>
      <c r="K938"/>
      <c r="L938"/>
      <c r="M938"/>
      <c r="N938"/>
      <c r="O938"/>
    </row>
    <row r="939" spans="1:15" hidden="1" x14ac:dyDescent="0.25">
      <c r="A939" t="s">
        <v>106</v>
      </c>
      <c r="B939" t="s">
        <v>115</v>
      </c>
      <c r="C939" t="b">
        <v>0</v>
      </c>
      <c r="D939" s="1">
        <v>37653</v>
      </c>
      <c r="E939">
        <v>2</v>
      </c>
      <c r="F939"/>
      <c r="G939"/>
      <c r="H939"/>
      <c r="I939"/>
      <c r="J939"/>
      <c r="K939"/>
      <c r="L939"/>
      <c r="M939"/>
      <c r="N939"/>
      <c r="O939"/>
    </row>
    <row r="940" spans="1:15" hidden="1" x14ac:dyDescent="0.25">
      <c r="A940" t="s">
        <v>106</v>
      </c>
      <c r="B940" t="s">
        <v>115</v>
      </c>
      <c r="C940" t="b">
        <v>0</v>
      </c>
      <c r="D940" s="1">
        <v>37653</v>
      </c>
      <c r="E940">
        <v>2</v>
      </c>
      <c r="F940"/>
      <c r="G940"/>
      <c r="H940"/>
      <c r="I940"/>
      <c r="J940"/>
      <c r="K940"/>
      <c r="L940"/>
      <c r="M940"/>
      <c r="N940"/>
      <c r="O940"/>
    </row>
    <row r="941" spans="1:15" hidden="1" x14ac:dyDescent="0.25">
      <c r="A941" t="s">
        <v>106</v>
      </c>
      <c r="B941" t="s">
        <v>115</v>
      </c>
      <c r="C941" t="b">
        <v>0</v>
      </c>
      <c r="D941" s="1">
        <v>37653</v>
      </c>
      <c r="E941">
        <v>2</v>
      </c>
      <c r="F941"/>
      <c r="G941"/>
      <c r="H941"/>
      <c r="I941"/>
      <c r="J941"/>
      <c r="K941"/>
      <c r="L941"/>
      <c r="M941"/>
      <c r="N941"/>
      <c r="O941"/>
    </row>
    <row r="942" spans="1:15" hidden="1" x14ac:dyDescent="0.25">
      <c r="A942" t="s">
        <v>106</v>
      </c>
      <c r="B942" t="s">
        <v>115</v>
      </c>
      <c r="C942" t="b">
        <v>0</v>
      </c>
      <c r="D942" s="1">
        <v>37653</v>
      </c>
      <c r="E942">
        <v>2</v>
      </c>
      <c r="F942"/>
      <c r="G942"/>
      <c r="H942"/>
      <c r="I942"/>
      <c r="J942"/>
      <c r="K942"/>
      <c r="L942"/>
      <c r="M942"/>
      <c r="N942"/>
      <c r="O942"/>
    </row>
    <row r="943" spans="1:15" hidden="1" x14ac:dyDescent="0.25">
      <c r="A943" t="s">
        <v>106</v>
      </c>
      <c r="B943" t="s">
        <v>115</v>
      </c>
      <c r="C943" t="b">
        <v>0</v>
      </c>
      <c r="D943" s="1">
        <v>37653</v>
      </c>
      <c r="E943">
        <v>2</v>
      </c>
      <c r="F943"/>
      <c r="G943"/>
      <c r="H943"/>
      <c r="I943"/>
      <c r="J943"/>
      <c r="K943"/>
      <c r="L943"/>
      <c r="M943"/>
      <c r="N943"/>
      <c r="O943"/>
    </row>
    <row r="944" spans="1:15" hidden="1" x14ac:dyDescent="0.25">
      <c r="A944" t="s">
        <v>106</v>
      </c>
      <c r="B944" t="s">
        <v>115</v>
      </c>
      <c r="C944" t="b">
        <v>0</v>
      </c>
      <c r="D944" s="1">
        <v>37653</v>
      </c>
      <c r="E944">
        <v>2</v>
      </c>
      <c r="F944"/>
      <c r="G944"/>
      <c r="H944"/>
      <c r="I944"/>
      <c r="J944"/>
      <c r="K944"/>
      <c r="L944"/>
      <c r="M944"/>
      <c r="N944"/>
      <c r="O944"/>
    </row>
    <row r="945" spans="1:15" hidden="1" x14ac:dyDescent="0.25">
      <c r="A945" t="s">
        <v>106</v>
      </c>
      <c r="B945" t="s">
        <v>115</v>
      </c>
      <c r="C945" t="b">
        <v>0</v>
      </c>
      <c r="D945" s="1">
        <v>37653</v>
      </c>
      <c r="E945">
        <v>2</v>
      </c>
      <c r="F945"/>
      <c r="G945"/>
      <c r="H945"/>
      <c r="I945"/>
      <c r="J945"/>
      <c r="K945"/>
      <c r="L945"/>
      <c r="M945"/>
      <c r="N945"/>
      <c r="O945"/>
    </row>
    <row r="946" spans="1:15" hidden="1" x14ac:dyDescent="0.25">
      <c r="A946" t="s">
        <v>106</v>
      </c>
      <c r="B946" t="s">
        <v>115</v>
      </c>
      <c r="C946" t="b">
        <v>0</v>
      </c>
      <c r="D946" s="1">
        <v>37653</v>
      </c>
      <c r="E946">
        <v>2</v>
      </c>
      <c r="F946"/>
      <c r="G946"/>
      <c r="H946"/>
      <c r="I946"/>
      <c r="J946"/>
      <c r="K946"/>
      <c r="L946"/>
      <c r="M946"/>
      <c r="N946"/>
      <c r="O946"/>
    </row>
    <row r="947" spans="1:15" hidden="1" x14ac:dyDescent="0.25">
      <c r="A947" t="s">
        <v>106</v>
      </c>
      <c r="B947" t="s">
        <v>115</v>
      </c>
      <c r="C947" t="b">
        <v>0</v>
      </c>
      <c r="D947" s="1">
        <v>37653</v>
      </c>
      <c r="E947">
        <v>2</v>
      </c>
      <c r="F947"/>
      <c r="G947"/>
      <c r="H947"/>
      <c r="I947"/>
      <c r="J947"/>
      <c r="K947"/>
      <c r="L947"/>
      <c r="M947"/>
      <c r="N947"/>
      <c r="O947"/>
    </row>
    <row r="948" spans="1:15" hidden="1" x14ac:dyDescent="0.25">
      <c r="A948" t="s">
        <v>106</v>
      </c>
      <c r="B948" t="s">
        <v>115</v>
      </c>
      <c r="C948" t="b">
        <v>0</v>
      </c>
      <c r="D948" s="1">
        <v>37653</v>
      </c>
      <c r="E948">
        <v>2</v>
      </c>
      <c r="F948"/>
      <c r="G948"/>
      <c r="H948"/>
      <c r="I948"/>
      <c r="J948"/>
      <c r="K948"/>
      <c r="L948"/>
      <c r="M948"/>
      <c r="N948"/>
      <c r="O948"/>
    </row>
    <row r="949" spans="1:15" hidden="1" x14ac:dyDescent="0.25">
      <c r="A949" t="s">
        <v>106</v>
      </c>
      <c r="B949" t="s">
        <v>115</v>
      </c>
      <c r="C949" t="b">
        <v>0</v>
      </c>
      <c r="D949" s="1">
        <v>37653</v>
      </c>
      <c r="E949">
        <v>2</v>
      </c>
      <c r="F949"/>
      <c r="G949"/>
      <c r="H949"/>
      <c r="I949"/>
      <c r="J949"/>
      <c r="K949"/>
      <c r="L949"/>
      <c r="M949"/>
      <c r="N949"/>
      <c r="O949"/>
    </row>
    <row r="950" spans="1:15" hidden="1" x14ac:dyDescent="0.25">
      <c r="A950" t="s">
        <v>106</v>
      </c>
      <c r="B950" t="s">
        <v>115</v>
      </c>
      <c r="C950" t="b">
        <v>0</v>
      </c>
      <c r="D950" s="1">
        <v>37653</v>
      </c>
      <c r="E950">
        <v>2</v>
      </c>
      <c r="F950"/>
      <c r="G950"/>
      <c r="H950"/>
      <c r="I950"/>
      <c r="J950"/>
      <c r="K950"/>
      <c r="L950"/>
      <c r="M950"/>
      <c r="N950"/>
      <c r="O950"/>
    </row>
    <row r="951" spans="1:15" hidden="1" x14ac:dyDescent="0.25">
      <c r="A951" t="s">
        <v>106</v>
      </c>
      <c r="B951" t="s">
        <v>115</v>
      </c>
      <c r="C951" t="b">
        <v>0</v>
      </c>
      <c r="D951" s="1">
        <v>37653</v>
      </c>
      <c r="E951">
        <v>2</v>
      </c>
      <c r="F951"/>
      <c r="G951"/>
      <c r="H951"/>
      <c r="I951"/>
      <c r="J951"/>
      <c r="K951"/>
      <c r="L951"/>
      <c r="M951"/>
      <c r="N951"/>
      <c r="O951"/>
    </row>
    <row r="952" spans="1:15" hidden="1" x14ac:dyDescent="0.25">
      <c r="A952" t="s">
        <v>106</v>
      </c>
      <c r="B952" t="s">
        <v>115</v>
      </c>
      <c r="C952" t="b">
        <v>0</v>
      </c>
      <c r="D952" s="1">
        <v>37653</v>
      </c>
      <c r="E952">
        <v>2</v>
      </c>
      <c r="F952"/>
      <c r="G952"/>
      <c r="H952"/>
      <c r="I952"/>
      <c r="J952"/>
      <c r="K952"/>
      <c r="L952"/>
      <c r="M952"/>
      <c r="N952"/>
      <c r="O952"/>
    </row>
    <row r="953" spans="1:15" hidden="1" x14ac:dyDescent="0.25">
      <c r="A953" t="s">
        <v>106</v>
      </c>
      <c r="B953" t="s">
        <v>115</v>
      </c>
      <c r="C953" t="b">
        <v>0</v>
      </c>
      <c r="D953" s="1">
        <v>37653</v>
      </c>
      <c r="E953">
        <v>2</v>
      </c>
      <c r="F953"/>
      <c r="G953"/>
      <c r="H953"/>
      <c r="I953"/>
      <c r="J953"/>
      <c r="K953"/>
      <c r="L953"/>
      <c r="M953"/>
      <c r="N953"/>
      <c r="O953"/>
    </row>
    <row r="954" spans="1:15" hidden="1" x14ac:dyDescent="0.25">
      <c r="A954" t="s">
        <v>19</v>
      </c>
      <c r="B954" t="s">
        <v>115</v>
      </c>
      <c r="C954" t="b">
        <v>0</v>
      </c>
      <c r="D954" s="1">
        <v>37653</v>
      </c>
      <c r="E954">
        <v>2</v>
      </c>
      <c r="F954"/>
      <c r="G954"/>
      <c r="H954"/>
      <c r="I954"/>
      <c r="J954"/>
      <c r="K954"/>
      <c r="L954"/>
      <c r="M954"/>
      <c r="N954"/>
      <c r="O954"/>
    </row>
    <row r="955" spans="1:15" hidden="1" x14ac:dyDescent="0.25">
      <c r="A955" t="s">
        <v>30</v>
      </c>
      <c r="B955" t="s">
        <v>115</v>
      </c>
      <c r="C955" t="b">
        <v>0</v>
      </c>
      <c r="D955" s="1">
        <v>37653</v>
      </c>
      <c r="E955">
        <v>2</v>
      </c>
      <c r="F955"/>
      <c r="G955"/>
      <c r="H955"/>
      <c r="I955"/>
      <c r="J955"/>
      <c r="K955"/>
      <c r="L955"/>
      <c r="M955"/>
      <c r="N955"/>
      <c r="O955"/>
    </row>
    <row r="956" spans="1:15" hidden="1" x14ac:dyDescent="0.25">
      <c r="A956" t="s">
        <v>39</v>
      </c>
      <c r="B956" t="s">
        <v>115</v>
      </c>
      <c r="C956" t="b">
        <v>0</v>
      </c>
      <c r="D956" s="1">
        <v>37653</v>
      </c>
      <c r="E956">
        <v>2</v>
      </c>
      <c r="F956"/>
      <c r="G956"/>
      <c r="H956"/>
      <c r="I956"/>
      <c r="J956"/>
      <c r="K956"/>
      <c r="L956"/>
      <c r="M956"/>
      <c r="N956"/>
      <c r="O956"/>
    </row>
    <row r="957" spans="1:15" hidden="1" x14ac:dyDescent="0.25">
      <c r="A957" t="s">
        <v>57</v>
      </c>
      <c r="B957" t="s">
        <v>115</v>
      </c>
      <c r="C957" t="b">
        <v>0</v>
      </c>
      <c r="D957" s="1">
        <v>37653</v>
      </c>
      <c r="E957">
        <v>2</v>
      </c>
      <c r="F957"/>
      <c r="G957"/>
      <c r="H957"/>
      <c r="I957"/>
      <c r="J957"/>
      <c r="K957"/>
      <c r="L957"/>
      <c r="M957"/>
      <c r="N957"/>
      <c r="O957"/>
    </row>
    <row r="958" spans="1:15" hidden="1" x14ac:dyDescent="0.25">
      <c r="A958" t="s">
        <v>69</v>
      </c>
      <c r="B958" t="s">
        <v>115</v>
      </c>
      <c r="C958" t="b">
        <v>0</v>
      </c>
      <c r="D958" s="1">
        <v>37653</v>
      </c>
      <c r="E958">
        <v>2</v>
      </c>
      <c r="F958"/>
      <c r="G958"/>
      <c r="H958"/>
      <c r="I958"/>
      <c r="J958"/>
      <c r="K958"/>
      <c r="L958"/>
      <c r="M958"/>
      <c r="N958"/>
      <c r="O958"/>
    </row>
    <row r="959" spans="1:15" hidden="1" x14ac:dyDescent="0.25">
      <c r="A959" t="s">
        <v>86</v>
      </c>
      <c r="B959" t="s">
        <v>115</v>
      </c>
      <c r="C959" t="b">
        <v>0</v>
      </c>
      <c r="D959" s="1">
        <v>37653</v>
      </c>
      <c r="E959">
        <v>2</v>
      </c>
      <c r="F959"/>
      <c r="G959"/>
      <c r="H959"/>
      <c r="I959"/>
      <c r="J959"/>
      <c r="K959"/>
      <c r="L959"/>
      <c r="M959"/>
      <c r="N959"/>
      <c r="O959"/>
    </row>
    <row r="960" spans="1:15" hidden="1" x14ac:dyDescent="0.25">
      <c r="A960" t="s">
        <v>99</v>
      </c>
      <c r="B960" t="s">
        <v>114</v>
      </c>
      <c r="C960" t="b">
        <v>0</v>
      </c>
      <c r="D960" s="1">
        <v>37653</v>
      </c>
      <c r="E960">
        <v>6.37</v>
      </c>
      <c r="F960"/>
      <c r="G960"/>
      <c r="H960"/>
      <c r="I960"/>
      <c r="J960"/>
      <c r="K960"/>
      <c r="L960"/>
      <c r="M960"/>
      <c r="N960"/>
      <c r="O960"/>
    </row>
    <row r="961" spans="1:15" hidden="1" x14ac:dyDescent="0.25">
      <c r="A961" t="s">
        <v>100</v>
      </c>
      <c r="B961" t="s">
        <v>117</v>
      </c>
      <c r="C961" t="b">
        <v>0</v>
      </c>
      <c r="D961" s="1">
        <v>37681</v>
      </c>
      <c r="E961" s="2">
        <v>-19.96</v>
      </c>
      <c r="F961"/>
      <c r="G961"/>
      <c r="H961"/>
      <c r="I961"/>
      <c r="J961"/>
      <c r="K961"/>
      <c r="L961"/>
      <c r="M961"/>
      <c r="N961"/>
      <c r="O961"/>
    </row>
    <row r="962" spans="1:15" hidden="1" x14ac:dyDescent="0.25">
      <c r="A962" t="s">
        <v>102</v>
      </c>
      <c r="B962" t="s">
        <v>117</v>
      </c>
      <c r="C962" t="b">
        <v>0</v>
      </c>
      <c r="D962" s="1">
        <v>37681</v>
      </c>
      <c r="E962" s="2">
        <v>-1.99</v>
      </c>
      <c r="F962"/>
      <c r="G962"/>
      <c r="H962"/>
      <c r="I962"/>
      <c r="J962"/>
      <c r="K962"/>
      <c r="L962"/>
      <c r="M962"/>
      <c r="N962"/>
      <c r="O962"/>
    </row>
    <row r="963" spans="1:15" hidden="1" x14ac:dyDescent="0.25">
      <c r="A963" t="s">
        <v>101</v>
      </c>
      <c r="B963" t="s">
        <v>117</v>
      </c>
      <c r="C963" t="b">
        <v>0</v>
      </c>
      <c r="D963" s="1">
        <v>37681</v>
      </c>
      <c r="E963" s="2">
        <v>-11.36</v>
      </c>
      <c r="F963"/>
      <c r="G963"/>
      <c r="H963"/>
      <c r="I963"/>
      <c r="J963"/>
      <c r="K963"/>
      <c r="L963"/>
      <c r="M963"/>
      <c r="N963"/>
      <c r="O963"/>
    </row>
    <row r="964" spans="1:15" hidden="1" x14ac:dyDescent="0.25">
      <c r="A964" t="s">
        <v>108</v>
      </c>
      <c r="B964" t="s">
        <v>115</v>
      </c>
      <c r="C964" t="b">
        <v>0</v>
      </c>
      <c r="D964" s="1">
        <v>37681</v>
      </c>
      <c r="E964">
        <v>3</v>
      </c>
      <c r="F964"/>
      <c r="G964"/>
      <c r="H964"/>
      <c r="I964"/>
      <c r="J964"/>
      <c r="K964"/>
      <c r="L964"/>
      <c r="M964"/>
      <c r="N964"/>
      <c r="O964"/>
    </row>
    <row r="965" spans="1:15" hidden="1" x14ac:dyDescent="0.25">
      <c r="A965" t="s">
        <v>11</v>
      </c>
      <c r="B965" t="s">
        <v>115</v>
      </c>
      <c r="C965" t="b">
        <v>0</v>
      </c>
      <c r="D965" s="1">
        <v>37681</v>
      </c>
      <c r="E965">
        <v>3</v>
      </c>
      <c r="F965"/>
      <c r="G965"/>
      <c r="H965"/>
      <c r="I965"/>
      <c r="J965"/>
      <c r="K965"/>
      <c r="L965"/>
      <c r="M965"/>
      <c r="N965"/>
      <c r="O965"/>
    </row>
    <row r="966" spans="1:15" hidden="1" x14ac:dyDescent="0.25">
      <c r="A966" t="s">
        <v>12</v>
      </c>
      <c r="B966" t="s">
        <v>115</v>
      </c>
      <c r="C966" t="b">
        <v>0</v>
      </c>
      <c r="D966" s="1">
        <v>37681</v>
      </c>
      <c r="E966">
        <v>3</v>
      </c>
      <c r="F966"/>
      <c r="G966"/>
      <c r="H966"/>
      <c r="I966"/>
      <c r="J966"/>
      <c r="K966"/>
      <c r="L966"/>
      <c r="M966"/>
      <c r="N966"/>
      <c r="O966"/>
    </row>
    <row r="967" spans="1:15" hidden="1" x14ac:dyDescent="0.25">
      <c r="A967" t="s">
        <v>14</v>
      </c>
      <c r="B967" t="s">
        <v>115</v>
      </c>
      <c r="C967" t="b">
        <v>0</v>
      </c>
      <c r="D967" s="1">
        <v>37681</v>
      </c>
      <c r="E967">
        <v>3</v>
      </c>
      <c r="F967"/>
      <c r="G967"/>
      <c r="H967"/>
      <c r="I967"/>
      <c r="J967"/>
      <c r="K967"/>
      <c r="L967"/>
      <c r="M967"/>
      <c r="N967"/>
      <c r="O967"/>
    </row>
    <row r="968" spans="1:15" hidden="1" x14ac:dyDescent="0.25">
      <c r="A968" t="s">
        <v>18</v>
      </c>
      <c r="B968" t="s">
        <v>115</v>
      </c>
      <c r="C968" t="b">
        <v>0</v>
      </c>
      <c r="D968" s="1">
        <v>37681</v>
      </c>
      <c r="E968">
        <v>3</v>
      </c>
      <c r="F968"/>
      <c r="G968"/>
      <c r="H968"/>
      <c r="I968"/>
      <c r="J968"/>
      <c r="K968"/>
      <c r="L968"/>
      <c r="M968"/>
      <c r="N968"/>
      <c r="O968"/>
    </row>
    <row r="969" spans="1:15" hidden="1" x14ac:dyDescent="0.25">
      <c r="A969" t="s">
        <v>106</v>
      </c>
      <c r="B969" t="s">
        <v>115</v>
      </c>
      <c r="C969" t="b">
        <v>0</v>
      </c>
      <c r="D969" s="1">
        <v>37681</v>
      </c>
      <c r="E969">
        <v>3</v>
      </c>
      <c r="F969"/>
      <c r="G969"/>
      <c r="H969"/>
      <c r="I969"/>
      <c r="J969"/>
      <c r="K969"/>
      <c r="L969"/>
      <c r="M969"/>
      <c r="N969"/>
      <c r="O969"/>
    </row>
    <row r="970" spans="1:15" hidden="1" x14ac:dyDescent="0.25">
      <c r="A970" t="s">
        <v>106</v>
      </c>
      <c r="B970" t="s">
        <v>115</v>
      </c>
      <c r="C970" t="b">
        <v>0</v>
      </c>
      <c r="D970" s="1">
        <v>37681</v>
      </c>
      <c r="E970">
        <v>3</v>
      </c>
      <c r="F970"/>
      <c r="G970"/>
      <c r="H970"/>
      <c r="I970"/>
      <c r="J970"/>
      <c r="K970"/>
      <c r="L970"/>
      <c r="M970"/>
      <c r="N970"/>
      <c r="O970"/>
    </row>
    <row r="971" spans="1:15" hidden="1" x14ac:dyDescent="0.25">
      <c r="A971" t="s">
        <v>106</v>
      </c>
      <c r="B971" t="s">
        <v>115</v>
      </c>
      <c r="C971" t="b">
        <v>0</v>
      </c>
      <c r="D971" s="1">
        <v>37681</v>
      </c>
      <c r="E971">
        <v>3</v>
      </c>
      <c r="F971"/>
      <c r="G971"/>
      <c r="H971"/>
      <c r="I971"/>
      <c r="J971"/>
      <c r="K971"/>
      <c r="L971"/>
      <c r="M971"/>
      <c r="N971"/>
      <c r="O971"/>
    </row>
    <row r="972" spans="1:15" hidden="1" x14ac:dyDescent="0.25">
      <c r="A972" t="s">
        <v>106</v>
      </c>
      <c r="B972" t="s">
        <v>115</v>
      </c>
      <c r="C972" t="b">
        <v>0</v>
      </c>
      <c r="D972" s="1">
        <v>37681</v>
      </c>
      <c r="E972">
        <v>3</v>
      </c>
      <c r="F972"/>
      <c r="G972"/>
      <c r="H972"/>
      <c r="I972"/>
      <c r="J972"/>
      <c r="K972"/>
      <c r="L972"/>
      <c r="M972"/>
      <c r="N972"/>
      <c r="O972"/>
    </row>
    <row r="973" spans="1:15" hidden="1" x14ac:dyDescent="0.25">
      <c r="A973" t="s">
        <v>106</v>
      </c>
      <c r="B973" t="s">
        <v>115</v>
      </c>
      <c r="C973" t="b">
        <v>0</v>
      </c>
      <c r="D973" s="1">
        <v>37681</v>
      </c>
      <c r="E973">
        <v>3</v>
      </c>
      <c r="F973"/>
      <c r="G973"/>
      <c r="H973"/>
      <c r="I973"/>
      <c r="J973"/>
      <c r="K973"/>
      <c r="L973"/>
      <c r="M973"/>
      <c r="N973"/>
      <c r="O973"/>
    </row>
    <row r="974" spans="1:15" hidden="1" x14ac:dyDescent="0.25">
      <c r="A974" t="s">
        <v>106</v>
      </c>
      <c r="B974" t="s">
        <v>115</v>
      </c>
      <c r="C974" t="b">
        <v>0</v>
      </c>
      <c r="D974" s="1">
        <v>37681</v>
      </c>
      <c r="E974">
        <v>3</v>
      </c>
      <c r="F974"/>
      <c r="G974"/>
      <c r="H974"/>
      <c r="I974"/>
      <c r="J974"/>
      <c r="K974"/>
      <c r="L974"/>
      <c r="M974"/>
      <c r="N974"/>
      <c r="O974"/>
    </row>
    <row r="975" spans="1:15" hidden="1" x14ac:dyDescent="0.25">
      <c r="A975" t="s">
        <v>106</v>
      </c>
      <c r="B975" t="s">
        <v>115</v>
      </c>
      <c r="C975" t="b">
        <v>0</v>
      </c>
      <c r="D975" s="1">
        <v>37681</v>
      </c>
      <c r="E975">
        <v>3</v>
      </c>
      <c r="F975"/>
      <c r="G975"/>
      <c r="H975"/>
      <c r="I975"/>
      <c r="J975"/>
      <c r="K975"/>
      <c r="L975"/>
      <c r="M975"/>
      <c r="N975"/>
      <c r="O975"/>
    </row>
    <row r="976" spans="1:15" hidden="1" x14ac:dyDescent="0.25">
      <c r="A976" t="s">
        <v>106</v>
      </c>
      <c r="B976" t="s">
        <v>115</v>
      </c>
      <c r="C976" t="b">
        <v>0</v>
      </c>
      <c r="D976" s="1">
        <v>37681</v>
      </c>
      <c r="E976">
        <v>3</v>
      </c>
      <c r="F976"/>
      <c r="G976"/>
      <c r="H976"/>
      <c r="I976"/>
      <c r="J976"/>
      <c r="K976"/>
      <c r="L976"/>
      <c r="M976"/>
      <c r="N976"/>
      <c r="O976"/>
    </row>
    <row r="977" spans="1:15" hidden="1" x14ac:dyDescent="0.25">
      <c r="A977" t="s">
        <v>106</v>
      </c>
      <c r="B977" t="s">
        <v>115</v>
      </c>
      <c r="C977" t="b">
        <v>0</v>
      </c>
      <c r="D977" s="1">
        <v>37681</v>
      </c>
      <c r="E977">
        <v>3</v>
      </c>
      <c r="F977"/>
      <c r="G977"/>
      <c r="H977"/>
      <c r="I977"/>
      <c r="J977"/>
      <c r="K977"/>
      <c r="L977"/>
      <c r="M977"/>
      <c r="N977"/>
      <c r="O977"/>
    </row>
    <row r="978" spans="1:15" hidden="1" x14ac:dyDescent="0.25">
      <c r="A978" t="s">
        <v>106</v>
      </c>
      <c r="B978" t="s">
        <v>115</v>
      </c>
      <c r="C978" t="b">
        <v>0</v>
      </c>
      <c r="D978" s="1">
        <v>37681</v>
      </c>
      <c r="E978">
        <v>2</v>
      </c>
      <c r="F978"/>
      <c r="G978"/>
      <c r="H978"/>
      <c r="I978"/>
      <c r="J978"/>
      <c r="K978"/>
      <c r="L978"/>
      <c r="M978"/>
      <c r="N978"/>
      <c r="O978"/>
    </row>
    <row r="979" spans="1:15" hidden="1" x14ac:dyDescent="0.25">
      <c r="A979" t="s">
        <v>106</v>
      </c>
      <c r="B979" t="s">
        <v>115</v>
      </c>
      <c r="C979" t="b">
        <v>0</v>
      </c>
      <c r="D979" s="1">
        <v>37681</v>
      </c>
      <c r="E979">
        <v>3</v>
      </c>
      <c r="F979"/>
      <c r="G979"/>
      <c r="H979"/>
      <c r="I979"/>
      <c r="J979"/>
      <c r="K979"/>
      <c r="L979"/>
      <c r="M979"/>
      <c r="N979"/>
      <c r="O979"/>
    </row>
    <row r="980" spans="1:15" hidden="1" x14ac:dyDescent="0.25">
      <c r="A980" t="s">
        <v>106</v>
      </c>
      <c r="B980" t="s">
        <v>115</v>
      </c>
      <c r="C980" t="b">
        <v>0</v>
      </c>
      <c r="D980" s="1">
        <v>37681</v>
      </c>
      <c r="E980">
        <v>3</v>
      </c>
      <c r="F980"/>
      <c r="G980"/>
      <c r="H980"/>
      <c r="I980"/>
      <c r="J980"/>
      <c r="K980"/>
      <c r="L980"/>
      <c r="M980"/>
      <c r="N980"/>
      <c r="O980"/>
    </row>
    <row r="981" spans="1:15" hidden="1" x14ac:dyDescent="0.25">
      <c r="A981" t="s">
        <v>106</v>
      </c>
      <c r="B981" t="s">
        <v>115</v>
      </c>
      <c r="C981" t="b">
        <v>0</v>
      </c>
      <c r="D981" s="1">
        <v>37681</v>
      </c>
      <c r="E981">
        <v>3</v>
      </c>
      <c r="F981"/>
      <c r="G981"/>
      <c r="H981"/>
      <c r="I981"/>
      <c r="J981"/>
      <c r="K981"/>
      <c r="L981"/>
      <c r="M981"/>
      <c r="N981"/>
      <c r="O981"/>
    </row>
    <row r="982" spans="1:15" hidden="1" x14ac:dyDescent="0.25">
      <c r="A982" t="s">
        <v>106</v>
      </c>
      <c r="B982" t="s">
        <v>115</v>
      </c>
      <c r="C982" t="b">
        <v>0</v>
      </c>
      <c r="D982" s="1">
        <v>37681</v>
      </c>
      <c r="E982">
        <v>3</v>
      </c>
      <c r="F982"/>
      <c r="G982"/>
      <c r="H982"/>
      <c r="I982"/>
      <c r="J982"/>
      <c r="K982"/>
      <c r="L982"/>
      <c r="M982"/>
      <c r="N982"/>
      <c r="O982"/>
    </row>
    <row r="983" spans="1:15" hidden="1" x14ac:dyDescent="0.25">
      <c r="A983" t="s">
        <v>106</v>
      </c>
      <c r="B983" t="s">
        <v>115</v>
      </c>
      <c r="C983" t="b">
        <v>0</v>
      </c>
      <c r="D983" s="1">
        <v>37681</v>
      </c>
      <c r="E983">
        <v>3</v>
      </c>
      <c r="F983"/>
      <c r="G983"/>
      <c r="H983"/>
      <c r="I983"/>
      <c r="J983"/>
      <c r="K983"/>
      <c r="L983"/>
      <c r="M983"/>
      <c r="N983"/>
      <c r="O983"/>
    </row>
    <row r="984" spans="1:15" hidden="1" x14ac:dyDescent="0.25">
      <c r="A984" t="s">
        <v>106</v>
      </c>
      <c r="B984" t="s">
        <v>115</v>
      </c>
      <c r="C984" t="b">
        <v>0</v>
      </c>
      <c r="D984" s="1">
        <v>37681</v>
      </c>
      <c r="E984">
        <v>3</v>
      </c>
      <c r="F984"/>
      <c r="G984"/>
      <c r="H984"/>
      <c r="I984"/>
      <c r="J984"/>
      <c r="K984"/>
      <c r="L984"/>
      <c r="M984"/>
      <c r="N984"/>
      <c r="O984"/>
    </row>
    <row r="985" spans="1:15" hidden="1" x14ac:dyDescent="0.25">
      <c r="A985" t="s">
        <v>106</v>
      </c>
      <c r="B985" t="s">
        <v>115</v>
      </c>
      <c r="C985" t="b">
        <v>0</v>
      </c>
      <c r="D985" s="1">
        <v>37681</v>
      </c>
      <c r="E985">
        <v>3</v>
      </c>
      <c r="F985"/>
      <c r="G985"/>
      <c r="H985"/>
      <c r="I985"/>
      <c r="J985"/>
      <c r="K985"/>
      <c r="L985"/>
      <c r="M985"/>
      <c r="N985"/>
      <c r="O985"/>
    </row>
    <row r="986" spans="1:15" hidden="1" x14ac:dyDescent="0.25">
      <c r="A986" t="s">
        <v>106</v>
      </c>
      <c r="B986" t="s">
        <v>115</v>
      </c>
      <c r="C986" t="b">
        <v>0</v>
      </c>
      <c r="D986" s="1">
        <v>37681</v>
      </c>
      <c r="E986">
        <v>3</v>
      </c>
      <c r="F986"/>
      <c r="G986"/>
      <c r="H986"/>
      <c r="I986"/>
      <c r="J986"/>
      <c r="K986"/>
      <c r="L986"/>
      <c r="M986"/>
      <c r="N986"/>
      <c r="O986"/>
    </row>
    <row r="987" spans="1:15" hidden="1" x14ac:dyDescent="0.25">
      <c r="A987" t="s">
        <v>106</v>
      </c>
      <c r="B987" t="s">
        <v>115</v>
      </c>
      <c r="C987" t="b">
        <v>0</v>
      </c>
      <c r="D987" s="1">
        <v>37681</v>
      </c>
      <c r="E987">
        <v>3</v>
      </c>
      <c r="F987"/>
      <c r="G987"/>
      <c r="H987"/>
      <c r="I987"/>
      <c r="J987"/>
      <c r="K987"/>
      <c r="L987"/>
      <c r="M987"/>
      <c r="N987"/>
      <c r="O987"/>
    </row>
    <row r="988" spans="1:15" hidden="1" x14ac:dyDescent="0.25">
      <c r="A988" t="s">
        <v>106</v>
      </c>
      <c r="B988" t="s">
        <v>115</v>
      </c>
      <c r="C988" t="b">
        <v>0</v>
      </c>
      <c r="D988" s="1">
        <v>37681</v>
      </c>
      <c r="E988">
        <v>3</v>
      </c>
      <c r="F988"/>
      <c r="G988"/>
      <c r="H988"/>
      <c r="I988"/>
      <c r="J988"/>
      <c r="K988"/>
      <c r="L988"/>
      <c r="M988"/>
      <c r="N988"/>
      <c r="O988"/>
    </row>
    <row r="989" spans="1:15" hidden="1" x14ac:dyDescent="0.25">
      <c r="A989" t="s">
        <v>106</v>
      </c>
      <c r="B989" t="s">
        <v>115</v>
      </c>
      <c r="C989" t="b">
        <v>0</v>
      </c>
      <c r="D989" s="1">
        <v>37681</v>
      </c>
      <c r="E989">
        <v>3</v>
      </c>
      <c r="F989"/>
      <c r="G989"/>
      <c r="H989"/>
      <c r="I989"/>
      <c r="J989"/>
      <c r="K989"/>
      <c r="L989"/>
      <c r="M989"/>
      <c r="N989"/>
      <c r="O989"/>
    </row>
    <row r="990" spans="1:15" hidden="1" x14ac:dyDescent="0.25">
      <c r="A990" t="s">
        <v>106</v>
      </c>
      <c r="B990" t="s">
        <v>115</v>
      </c>
      <c r="C990" t="b">
        <v>0</v>
      </c>
      <c r="D990" s="1">
        <v>37681</v>
      </c>
      <c r="E990">
        <v>3</v>
      </c>
      <c r="F990"/>
      <c r="G990"/>
      <c r="H990"/>
      <c r="I990"/>
      <c r="J990"/>
      <c r="K990"/>
      <c r="L990"/>
      <c r="M990"/>
      <c r="N990"/>
      <c r="O990"/>
    </row>
    <row r="991" spans="1:15" hidden="1" x14ac:dyDescent="0.25">
      <c r="A991" t="s">
        <v>19</v>
      </c>
      <c r="B991" t="s">
        <v>115</v>
      </c>
      <c r="C991" t="b">
        <v>0</v>
      </c>
      <c r="D991" s="1">
        <v>37681</v>
      </c>
      <c r="E991">
        <v>3</v>
      </c>
      <c r="F991"/>
      <c r="G991"/>
      <c r="H991"/>
      <c r="I991"/>
      <c r="J991"/>
      <c r="K991"/>
      <c r="L991"/>
      <c r="M991"/>
      <c r="N991"/>
      <c r="O991"/>
    </row>
    <row r="992" spans="1:15" hidden="1" x14ac:dyDescent="0.25">
      <c r="A992" t="s">
        <v>30</v>
      </c>
      <c r="B992" t="s">
        <v>115</v>
      </c>
      <c r="C992" t="b">
        <v>0</v>
      </c>
      <c r="D992" s="1">
        <v>37681</v>
      </c>
      <c r="E992">
        <v>3</v>
      </c>
      <c r="F992"/>
      <c r="G992"/>
      <c r="H992"/>
      <c r="I992"/>
      <c r="J992"/>
      <c r="K992"/>
      <c r="L992"/>
      <c r="M992"/>
      <c r="N992"/>
      <c r="O992"/>
    </row>
    <row r="993" spans="1:15" hidden="1" x14ac:dyDescent="0.25">
      <c r="A993" t="s">
        <v>39</v>
      </c>
      <c r="B993" t="s">
        <v>115</v>
      </c>
      <c r="C993" t="b">
        <v>0</v>
      </c>
      <c r="D993" s="1">
        <v>37681</v>
      </c>
      <c r="E993">
        <v>3</v>
      </c>
      <c r="F993"/>
      <c r="G993"/>
      <c r="H993"/>
      <c r="I993"/>
      <c r="J993"/>
      <c r="K993"/>
      <c r="L993"/>
      <c r="M993"/>
      <c r="N993"/>
      <c r="O993"/>
    </row>
    <row r="994" spans="1:15" hidden="1" x14ac:dyDescent="0.25">
      <c r="A994" t="s">
        <v>57</v>
      </c>
      <c r="B994" t="s">
        <v>115</v>
      </c>
      <c r="C994" t="b">
        <v>0</v>
      </c>
      <c r="D994" s="1">
        <v>37681</v>
      </c>
      <c r="E994">
        <v>3</v>
      </c>
      <c r="F994"/>
      <c r="G994"/>
      <c r="H994"/>
      <c r="I994"/>
      <c r="J994"/>
      <c r="K994"/>
      <c r="L994"/>
      <c r="M994"/>
      <c r="N994"/>
      <c r="O994"/>
    </row>
    <row r="995" spans="1:15" hidden="1" x14ac:dyDescent="0.25">
      <c r="A995" t="s">
        <v>86</v>
      </c>
      <c r="B995" t="s">
        <v>115</v>
      </c>
      <c r="C995" t="b">
        <v>0</v>
      </c>
      <c r="D995" s="1">
        <v>37681</v>
      </c>
      <c r="E995">
        <v>3</v>
      </c>
      <c r="F995"/>
      <c r="G995"/>
      <c r="H995"/>
      <c r="I995"/>
      <c r="J995"/>
      <c r="K995"/>
      <c r="L995"/>
      <c r="M995"/>
      <c r="N995"/>
      <c r="O995"/>
    </row>
    <row r="996" spans="1:15" hidden="1" x14ac:dyDescent="0.25">
      <c r="A996" t="s">
        <v>99</v>
      </c>
      <c r="B996" t="s">
        <v>114</v>
      </c>
      <c r="C996" t="b">
        <v>0</v>
      </c>
      <c r="D996" s="1">
        <v>37681</v>
      </c>
      <c r="E996">
        <v>7.42</v>
      </c>
      <c r="F996"/>
      <c r="G996"/>
      <c r="H996"/>
      <c r="I996"/>
      <c r="J996"/>
      <c r="K996"/>
      <c r="L996"/>
      <c r="M996"/>
      <c r="N996"/>
      <c r="O996"/>
    </row>
    <row r="997" spans="1:15" hidden="1" x14ac:dyDescent="0.25">
      <c r="A997" t="s">
        <v>100</v>
      </c>
      <c r="B997" t="s">
        <v>117</v>
      </c>
      <c r="C997" t="b">
        <v>0</v>
      </c>
      <c r="D997" s="1">
        <v>37712</v>
      </c>
      <c r="E997" s="2">
        <v>-166.16</v>
      </c>
      <c r="F997"/>
      <c r="G997"/>
      <c r="H997"/>
      <c r="I997"/>
      <c r="J997"/>
      <c r="K997"/>
      <c r="L997"/>
      <c r="M997"/>
      <c r="N997"/>
      <c r="O997"/>
    </row>
    <row r="998" spans="1:15" hidden="1" x14ac:dyDescent="0.25">
      <c r="A998" t="s">
        <v>102</v>
      </c>
      <c r="B998" t="s">
        <v>117</v>
      </c>
      <c r="C998" t="b">
        <v>0</v>
      </c>
      <c r="D998" s="1">
        <v>37712</v>
      </c>
      <c r="E998" s="2">
        <v>-5.2</v>
      </c>
      <c r="F998"/>
      <c r="G998"/>
      <c r="H998"/>
      <c r="I998"/>
      <c r="J998"/>
      <c r="K998"/>
      <c r="L998"/>
      <c r="M998"/>
      <c r="N998"/>
      <c r="O998"/>
    </row>
    <row r="999" spans="1:15" hidden="1" x14ac:dyDescent="0.25">
      <c r="A999" t="s">
        <v>108</v>
      </c>
      <c r="B999" t="s">
        <v>115</v>
      </c>
      <c r="C999" t="b">
        <v>0</v>
      </c>
      <c r="D999" s="1">
        <v>37712</v>
      </c>
      <c r="E999">
        <v>3</v>
      </c>
      <c r="F999"/>
      <c r="G999"/>
      <c r="H999"/>
      <c r="I999"/>
      <c r="J999"/>
      <c r="K999"/>
      <c r="L999"/>
      <c r="M999"/>
      <c r="N999"/>
      <c r="O999"/>
    </row>
    <row r="1000" spans="1:15" hidden="1" x14ac:dyDescent="0.25">
      <c r="A1000" t="s">
        <v>11</v>
      </c>
      <c r="B1000" t="s">
        <v>115</v>
      </c>
      <c r="C1000" t="b">
        <v>0</v>
      </c>
      <c r="D1000" s="1">
        <v>37712</v>
      </c>
      <c r="E1000">
        <v>3</v>
      </c>
      <c r="F1000"/>
      <c r="G1000"/>
      <c r="H1000"/>
      <c r="I1000"/>
      <c r="J1000"/>
      <c r="K1000"/>
      <c r="L1000"/>
      <c r="M1000"/>
      <c r="N1000"/>
      <c r="O1000"/>
    </row>
    <row r="1001" spans="1:15" hidden="1" x14ac:dyDescent="0.25">
      <c r="A1001" t="s">
        <v>12</v>
      </c>
      <c r="B1001" t="s">
        <v>115</v>
      </c>
      <c r="C1001" t="b">
        <v>0</v>
      </c>
      <c r="D1001" s="1">
        <v>37712</v>
      </c>
      <c r="E1001">
        <v>3</v>
      </c>
      <c r="F1001"/>
      <c r="G1001"/>
      <c r="H1001"/>
      <c r="I1001"/>
      <c r="J1001"/>
      <c r="K1001"/>
      <c r="L1001"/>
      <c r="M1001"/>
      <c r="N1001"/>
      <c r="O1001"/>
    </row>
    <row r="1002" spans="1:15" hidden="1" x14ac:dyDescent="0.25">
      <c r="A1002" t="s">
        <v>14</v>
      </c>
      <c r="B1002" t="s">
        <v>115</v>
      </c>
      <c r="C1002" t="b">
        <v>0</v>
      </c>
      <c r="D1002" s="1">
        <v>37712</v>
      </c>
      <c r="E1002">
        <v>3</v>
      </c>
      <c r="F1002"/>
      <c r="G1002"/>
      <c r="H1002"/>
      <c r="I1002"/>
      <c r="J1002"/>
      <c r="K1002"/>
      <c r="L1002"/>
      <c r="M1002"/>
      <c r="N1002"/>
      <c r="O1002"/>
    </row>
    <row r="1003" spans="1:15" hidden="1" x14ac:dyDescent="0.25">
      <c r="A1003" t="s">
        <v>18</v>
      </c>
      <c r="B1003" t="s">
        <v>115</v>
      </c>
      <c r="C1003" t="b">
        <v>0</v>
      </c>
      <c r="D1003" s="1">
        <v>37712</v>
      </c>
      <c r="E1003">
        <v>3</v>
      </c>
      <c r="F1003"/>
      <c r="G1003"/>
      <c r="H1003"/>
      <c r="I1003"/>
      <c r="J1003"/>
      <c r="K1003"/>
      <c r="L1003"/>
      <c r="M1003"/>
      <c r="N1003"/>
      <c r="O1003"/>
    </row>
    <row r="1004" spans="1:15" hidden="1" x14ac:dyDescent="0.25">
      <c r="A1004" t="s">
        <v>106</v>
      </c>
      <c r="B1004" t="s">
        <v>115</v>
      </c>
      <c r="C1004" t="b">
        <v>0</v>
      </c>
      <c r="D1004" s="1">
        <v>37712</v>
      </c>
      <c r="E1004">
        <v>3</v>
      </c>
      <c r="F1004"/>
      <c r="G1004"/>
      <c r="H1004"/>
      <c r="I1004"/>
      <c r="J1004"/>
      <c r="K1004"/>
      <c r="L1004"/>
      <c r="M1004"/>
      <c r="N1004"/>
      <c r="O1004"/>
    </row>
    <row r="1005" spans="1:15" hidden="1" x14ac:dyDescent="0.25">
      <c r="A1005" t="s">
        <v>106</v>
      </c>
      <c r="B1005" t="s">
        <v>115</v>
      </c>
      <c r="C1005" t="b">
        <v>0</v>
      </c>
      <c r="D1005" s="1">
        <v>37712</v>
      </c>
      <c r="E1005">
        <v>3</v>
      </c>
      <c r="F1005"/>
      <c r="G1005"/>
      <c r="H1005"/>
      <c r="I1005"/>
      <c r="J1005"/>
      <c r="K1005"/>
      <c r="L1005"/>
      <c r="M1005"/>
      <c r="N1005"/>
      <c r="O1005"/>
    </row>
    <row r="1006" spans="1:15" hidden="1" x14ac:dyDescent="0.25">
      <c r="A1006" t="s">
        <v>106</v>
      </c>
      <c r="B1006" t="s">
        <v>115</v>
      </c>
      <c r="C1006" t="b">
        <v>0</v>
      </c>
      <c r="D1006" s="1">
        <v>37712</v>
      </c>
      <c r="E1006">
        <v>3</v>
      </c>
      <c r="F1006"/>
      <c r="G1006"/>
      <c r="H1006"/>
      <c r="I1006"/>
      <c r="J1006"/>
      <c r="K1006"/>
      <c r="L1006"/>
      <c r="M1006"/>
      <c r="N1006"/>
      <c r="O1006"/>
    </row>
    <row r="1007" spans="1:15" hidden="1" x14ac:dyDescent="0.25">
      <c r="A1007" t="s">
        <v>106</v>
      </c>
      <c r="B1007" t="s">
        <v>115</v>
      </c>
      <c r="C1007" t="b">
        <v>0</v>
      </c>
      <c r="D1007" s="1">
        <v>37712</v>
      </c>
      <c r="E1007">
        <v>3</v>
      </c>
      <c r="F1007"/>
      <c r="G1007"/>
      <c r="H1007"/>
      <c r="I1007"/>
      <c r="J1007"/>
      <c r="K1007"/>
      <c r="L1007"/>
      <c r="M1007"/>
      <c r="N1007"/>
      <c r="O1007"/>
    </row>
    <row r="1008" spans="1:15" hidden="1" x14ac:dyDescent="0.25">
      <c r="A1008" t="s">
        <v>106</v>
      </c>
      <c r="B1008" t="s">
        <v>115</v>
      </c>
      <c r="C1008" t="b">
        <v>0</v>
      </c>
      <c r="D1008" s="1">
        <v>37712</v>
      </c>
      <c r="E1008">
        <v>3</v>
      </c>
      <c r="F1008"/>
      <c r="G1008"/>
      <c r="H1008"/>
      <c r="I1008"/>
      <c r="J1008"/>
      <c r="K1008"/>
      <c r="L1008"/>
      <c r="M1008"/>
      <c r="N1008"/>
      <c r="O1008"/>
    </row>
    <row r="1009" spans="1:15" hidden="1" x14ac:dyDescent="0.25">
      <c r="A1009" t="s">
        <v>106</v>
      </c>
      <c r="B1009" t="s">
        <v>115</v>
      </c>
      <c r="C1009" t="b">
        <v>0</v>
      </c>
      <c r="D1009" s="1">
        <v>37712</v>
      </c>
      <c r="E1009">
        <v>3</v>
      </c>
      <c r="F1009"/>
      <c r="G1009"/>
      <c r="H1009"/>
      <c r="I1009"/>
      <c r="J1009"/>
      <c r="K1009"/>
      <c r="L1009"/>
      <c r="M1009"/>
      <c r="N1009"/>
      <c r="O1009"/>
    </row>
    <row r="1010" spans="1:15" hidden="1" x14ac:dyDescent="0.25">
      <c r="A1010" t="s">
        <v>106</v>
      </c>
      <c r="B1010" t="s">
        <v>115</v>
      </c>
      <c r="C1010" t="b">
        <v>0</v>
      </c>
      <c r="D1010" s="1">
        <v>37712</v>
      </c>
      <c r="E1010">
        <v>3</v>
      </c>
      <c r="F1010"/>
      <c r="G1010"/>
      <c r="H1010"/>
      <c r="I1010"/>
      <c r="J1010"/>
      <c r="K1010"/>
      <c r="L1010"/>
      <c r="M1010"/>
      <c r="N1010"/>
      <c r="O1010"/>
    </row>
    <row r="1011" spans="1:15" hidden="1" x14ac:dyDescent="0.25">
      <c r="A1011" t="s">
        <v>106</v>
      </c>
      <c r="B1011" t="s">
        <v>115</v>
      </c>
      <c r="C1011" t="b">
        <v>0</v>
      </c>
      <c r="D1011" s="1">
        <v>37712</v>
      </c>
      <c r="E1011">
        <v>3</v>
      </c>
      <c r="F1011"/>
      <c r="G1011"/>
      <c r="H1011"/>
      <c r="I1011"/>
      <c r="J1011"/>
      <c r="K1011"/>
      <c r="L1011"/>
      <c r="M1011"/>
      <c r="N1011"/>
      <c r="O1011"/>
    </row>
    <row r="1012" spans="1:15" hidden="1" x14ac:dyDescent="0.25">
      <c r="A1012" t="s">
        <v>106</v>
      </c>
      <c r="B1012" t="s">
        <v>115</v>
      </c>
      <c r="C1012" t="b">
        <v>0</v>
      </c>
      <c r="D1012" s="1">
        <v>37712</v>
      </c>
      <c r="E1012">
        <v>3</v>
      </c>
      <c r="F1012"/>
      <c r="G1012"/>
      <c r="H1012"/>
      <c r="I1012"/>
      <c r="J1012"/>
      <c r="K1012"/>
      <c r="L1012"/>
      <c r="M1012"/>
      <c r="N1012"/>
      <c r="O1012"/>
    </row>
    <row r="1013" spans="1:15" hidden="1" x14ac:dyDescent="0.25">
      <c r="A1013" t="s">
        <v>106</v>
      </c>
      <c r="B1013" t="s">
        <v>115</v>
      </c>
      <c r="C1013" t="b">
        <v>0</v>
      </c>
      <c r="D1013" s="1">
        <v>37712</v>
      </c>
      <c r="E1013">
        <v>2</v>
      </c>
      <c r="F1013"/>
      <c r="G1013"/>
      <c r="H1013"/>
      <c r="I1013"/>
      <c r="J1013"/>
      <c r="K1013"/>
      <c r="L1013"/>
      <c r="M1013"/>
      <c r="N1013"/>
      <c r="O1013"/>
    </row>
    <row r="1014" spans="1:15" hidden="1" x14ac:dyDescent="0.25">
      <c r="A1014" t="s">
        <v>106</v>
      </c>
      <c r="B1014" t="s">
        <v>115</v>
      </c>
      <c r="C1014" t="b">
        <v>0</v>
      </c>
      <c r="D1014" s="1">
        <v>37712</v>
      </c>
      <c r="E1014">
        <v>3</v>
      </c>
      <c r="F1014"/>
      <c r="G1014"/>
      <c r="H1014"/>
      <c r="I1014"/>
      <c r="J1014"/>
      <c r="K1014"/>
      <c r="L1014"/>
      <c r="M1014"/>
      <c r="N1014"/>
      <c r="O1014"/>
    </row>
    <row r="1015" spans="1:15" hidden="1" x14ac:dyDescent="0.25">
      <c r="A1015" t="s">
        <v>106</v>
      </c>
      <c r="B1015" t="s">
        <v>115</v>
      </c>
      <c r="C1015" t="b">
        <v>0</v>
      </c>
      <c r="D1015" s="1">
        <v>37712</v>
      </c>
      <c r="E1015">
        <v>3</v>
      </c>
      <c r="F1015"/>
      <c r="G1015"/>
      <c r="H1015"/>
      <c r="I1015"/>
      <c r="J1015"/>
      <c r="K1015"/>
      <c r="L1015"/>
      <c r="M1015"/>
      <c r="N1015"/>
      <c r="O1015"/>
    </row>
    <row r="1016" spans="1:15" hidden="1" x14ac:dyDescent="0.25">
      <c r="A1016" t="s">
        <v>106</v>
      </c>
      <c r="B1016" t="s">
        <v>115</v>
      </c>
      <c r="C1016" t="b">
        <v>0</v>
      </c>
      <c r="D1016" s="1">
        <v>37712</v>
      </c>
      <c r="E1016">
        <v>3</v>
      </c>
      <c r="F1016"/>
      <c r="G1016"/>
      <c r="H1016"/>
      <c r="I1016"/>
      <c r="J1016"/>
      <c r="K1016"/>
      <c r="L1016"/>
      <c r="M1016"/>
      <c r="N1016"/>
      <c r="O1016"/>
    </row>
    <row r="1017" spans="1:15" hidden="1" x14ac:dyDescent="0.25">
      <c r="A1017" t="s">
        <v>106</v>
      </c>
      <c r="B1017" t="s">
        <v>115</v>
      </c>
      <c r="C1017" t="b">
        <v>0</v>
      </c>
      <c r="D1017" s="1">
        <v>37712</v>
      </c>
      <c r="E1017">
        <v>3</v>
      </c>
      <c r="F1017"/>
      <c r="G1017"/>
      <c r="H1017"/>
      <c r="I1017"/>
      <c r="J1017"/>
      <c r="K1017"/>
      <c r="L1017"/>
      <c r="M1017"/>
      <c r="N1017"/>
      <c r="O1017"/>
    </row>
    <row r="1018" spans="1:15" hidden="1" x14ac:dyDescent="0.25">
      <c r="A1018" t="s">
        <v>106</v>
      </c>
      <c r="B1018" t="s">
        <v>115</v>
      </c>
      <c r="C1018" t="b">
        <v>0</v>
      </c>
      <c r="D1018" s="1">
        <v>37712</v>
      </c>
      <c r="E1018">
        <v>3</v>
      </c>
      <c r="F1018"/>
      <c r="G1018"/>
      <c r="H1018"/>
      <c r="I1018"/>
      <c r="J1018"/>
      <c r="K1018"/>
      <c r="L1018"/>
      <c r="M1018"/>
      <c r="N1018"/>
      <c r="O1018"/>
    </row>
    <row r="1019" spans="1:15" hidden="1" x14ac:dyDescent="0.25">
      <c r="A1019" t="s">
        <v>106</v>
      </c>
      <c r="B1019" t="s">
        <v>115</v>
      </c>
      <c r="C1019" t="b">
        <v>0</v>
      </c>
      <c r="D1019" s="1">
        <v>37712</v>
      </c>
      <c r="E1019">
        <v>3</v>
      </c>
      <c r="F1019"/>
      <c r="G1019"/>
      <c r="H1019"/>
      <c r="I1019"/>
      <c r="J1019"/>
      <c r="K1019"/>
      <c r="L1019"/>
      <c r="M1019"/>
      <c r="N1019"/>
      <c r="O1019"/>
    </row>
    <row r="1020" spans="1:15" hidden="1" x14ac:dyDescent="0.25">
      <c r="A1020" t="s">
        <v>106</v>
      </c>
      <c r="B1020" t="s">
        <v>115</v>
      </c>
      <c r="C1020" t="b">
        <v>0</v>
      </c>
      <c r="D1020" s="1">
        <v>37712</v>
      </c>
      <c r="E1020">
        <v>3</v>
      </c>
      <c r="F1020"/>
      <c r="G1020"/>
      <c r="H1020"/>
      <c r="I1020"/>
      <c r="J1020"/>
      <c r="K1020"/>
      <c r="L1020"/>
      <c r="M1020"/>
      <c r="N1020"/>
      <c r="O1020"/>
    </row>
    <row r="1021" spans="1:15" hidden="1" x14ac:dyDescent="0.25">
      <c r="A1021" t="s">
        <v>106</v>
      </c>
      <c r="B1021" t="s">
        <v>115</v>
      </c>
      <c r="C1021" t="b">
        <v>0</v>
      </c>
      <c r="D1021" s="1">
        <v>37712</v>
      </c>
      <c r="E1021">
        <v>3</v>
      </c>
      <c r="F1021"/>
      <c r="G1021"/>
      <c r="H1021"/>
      <c r="I1021"/>
      <c r="J1021"/>
      <c r="K1021"/>
      <c r="L1021"/>
      <c r="M1021"/>
      <c r="N1021"/>
      <c r="O1021"/>
    </row>
    <row r="1022" spans="1:15" hidden="1" x14ac:dyDescent="0.25">
      <c r="A1022" t="s">
        <v>106</v>
      </c>
      <c r="B1022" t="s">
        <v>115</v>
      </c>
      <c r="C1022" t="b">
        <v>0</v>
      </c>
      <c r="D1022" s="1">
        <v>37712</v>
      </c>
      <c r="E1022">
        <v>3</v>
      </c>
      <c r="F1022"/>
      <c r="G1022"/>
      <c r="H1022"/>
      <c r="I1022"/>
      <c r="J1022"/>
      <c r="K1022"/>
      <c r="L1022"/>
      <c r="M1022"/>
      <c r="N1022"/>
      <c r="O1022"/>
    </row>
    <row r="1023" spans="1:15" hidden="1" x14ac:dyDescent="0.25">
      <c r="A1023" t="s">
        <v>106</v>
      </c>
      <c r="B1023" t="s">
        <v>115</v>
      </c>
      <c r="C1023" t="b">
        <v>0</v>
      </c>
      <c r="D1023" s="1">
        <v>37712</v>
      </c>
      <c r="E1023">
        <v>3</v>
      </c>
      <c r="F1023"/>
      <c r="G1023"/>
      <c r="H1023"/>
      <c r="I1023"/>
      <c r="J1023"/>
      <c r="K1023"/>
      <c r="L1023"/>
      <c r="M1023"/>
      <c r="N1023"/>
      <c r="O1023"/>
    </row>
    <row r="1024" spans="1:15" hidden="1" x14ac:dyDescent="0.25">
      <c r="A1024" t="s">
        <v>106</v>
      </c>
      <c r="B1024" t="s">
        <v>115</v>
      </c>
      <c r="C1024" t="b">
        <v>0</v>
      </c>
      <c r="D1024" s="1">
        <v>37712</v>
      </c>
      <c r="E1024">
        <v>3</v>
      </c>
      <c r="F1024"/>
      <c r="G1024"/>
      <c r="H1024"/>
      <c r="I1024"/>
      <c r="J1024"/>
      <c r="K1024"/>
      <c r="L1024"/>
      <c r="M1024"/>
      <c r="N1024"/>
      <c r="O1024"/>
    </row>
    <row r="1025" spans="1:15" hidden="1" x14ac:dyDescent="0.25">
      <c r="A1025" t="s">
        <v>106</v>
      </c>
      <c r="B1025" t="s">
        <v>115</v>
      </c>
      <c r="C1025" t="b">
        <v>0</v>
      </c>
      <c r="D1025" s="1">
        <v>37712</v>
      </c>
      <c r="E1025">
        <v>3</v>
      </c>
      <c r="F1025"/>
      <c r="G1025"/>
      <c r="H1025"/>
      <c r="I1025"/>
      <c r="J1025"/>
      <c r="K1025"/>
      <c r="L1025"/>
      <c r="M1025"/>
      <c r="N1025"/>
      <c r="O1025"/>
    </row>
    <row r="1026" spans="1:15" hidden="1" x14ac:dyDescent="0.25">
      <c r="A1026" t="s">
        <v>19</v>
      </c>
      <c r="B1026" t="s">
        <v>115</v>
      </c>
      <c r="C1026" t="b">
        <v>0</v>
      </c>
      <c r="D1026" s="1">
        <v>37712</v>
      </c>
      <c r="E1026">
        <v>3</v>
      </c>
      <c r="F1026"/>
      <c r="G1026"/>
      <c r="H1026"/>
      <c r="I1026"/>
      <c r="J1026"/>
      <c r="K1026"/>
      <c r="L1026"/>
      <c r="M1026"/>
      <c r="N1026"/>
      <c r="O1026"/>
    </row>
    <row r="1027" spans="1:15" hidden="1" x14ac:dyDescent="0.25">
      <c r="A1027" t="s">
        <v>30</v>
      </c>
      <c r="B1027" t="s">
        <v>115</v>
      </c>
      <c r="C1027" t="b">
        <v>0</v>
      </c>
      <c r="D1027" s="1">
        <v>37712</v>
      </c>
      <c r="E1027">
        <v>3</v>
      </c>
      <c r="F1027"/>
      <c r="G1027"/>
      <c r="H1027"/>
      <c r="I1027"/>
      <c r="J1027"/>
      <c r="K1027"/>
      <c r="L1027"/>
      <c r="M1027"/>
      <c r="N1027"/>
      <c r="O1027"/>
    </row>
    <row r="1028" spans="1:15" hidden="1" x14ac:dyDescent="0.25">
      <c r="A1028" t="s">
        <v>39</v>
      </c>
      <c r="B1028" t="s">
        <v>115</v>
      </c>
      <c r="C1028" t="b">
        <v>0</v>
      </c>
      <c r="D1028" s="1">
        <v>37712</v>
      </c>
      <c r="E1028">
        <v>3</v>
      </c>
      <c r="F1028"/>
      <c r="G1028"/>
      <c r="H1028"/>
      <c r="I1028"/>
      <c r="J1028"/>
      <c r="K1028"/>
      <c r="L1028"/>
      <c r="M1028"/>
      <c r="N1028"/>
      <c r="O1028"/>
    </row>
    <row r="1029" spans="1:15" hidden="1" x14ac:dyDescent="0.25">
      <c r="A1029" t="s">
        <v>57</v>
      </c>
      <c r="B1029" t="s">
        <v>115</v>
      </c>
      <c r="C1029" t="b">
        <v>0</v>
      </c>
      <c r="D1029" s="1">
        <v>37712</v>
      </c>
      <c r="E1029">
        <v>3</v>
      </c>
      <c r="F1029"/>
      <c r="G1029"/>
      <c r="H1029"/>
      <c r="I1029"/>
      <c r="J1029"/>
      <c r="K1029"/>
      <c r="L1029"/>
      <c r="M1029"/>
      <c r="N1029"/>
      <c r="O1029"/>
    </row>
    <row r="1030" spans="1:15" hidden="1" x14ac:dyDescent="0.25">
      <c r="A1030" t="s">
        <v>69</v>
      </c>
      <c r="B1030" t="s">
        <v>115</v>
      </c>
      <c r="C1030" t="b">
        <v>0</v>
      </c>
      <c r="D1030" s="1">
        <v>37712</v>
      </c>
      <c r="E1030">
        <v>3</v>
      </c>
      <c r="F1030"/>
      <c r="G1030"/>
      <c r="H1030"/>
      <c r="I1030"/>
      <c r="J1030"/>
      <c r="K1030"/>
      <c r="L1030"/>
      <c r="M1030"/>
      <c r="N1030"/>
      <c r="O1030"/>
    </row>
    <row r="1031" spans="1:15" hidden="1" x14ac:dyDescent="0.25">
      <c r="A1031" t="s">
        <v>86</v>
      </c>
      <c r="B1031" t="s">
        <v>115</v>
      </c>
      <c r="C1031" t="b">
        <v>0</v>
      </c>
      <c r="D1031" s="1">
        <v>37712</v>
      </c>
      <c r="E1031">
        <v>3</v>
      </c>
      <c r="F1031"/>
      <c r="G1031"/>
      <c r="H1031"/>
      <c r="I1031"/>
      <c r="J1031"/>
      <c r="K1031"/>
      <c r="L1031"/>
      <c r="M1031"/>
      <c r="N1031"/>
      <c r="O1031"/>
    </row>
    <row r="1032" spans="1:15" hidden="1" x14ac:dyDescent="0.25">
      <c r="A1032" t="s">
        <v>99</v>
      </c>
      <c r="B1032" t="s">
        <v>114</v>
      </c>
      <c r="C1032" t="b">
        <v>0</v>
      </c>
      <c r="D1032" s="1">
        <v>37712</v>
      </c>
      <c r="E1032">
        <v>12.839999999999998</v>
      </c>
      <c r="F1032"/>
      <c r="G1032"/>
      <c r="H1032"/>
      <c r="I1032"/>
      <c r="J1032"/>
      <c r="K1032"/>
      <c r="L1032"/>
      <c r="M1032"/>
      <c r="N1032"/>
      <c r="O1032"/>
    </row>
    <row r="1033" spans="1:15" hidden="1" x14ac:dyDescent="0.25">
      <c r="A1033" t="s">
        <v>104</v>
      </c>
      <c r="B1033" t="s">
        <v>117</v>
      </c>
      <c r="C1033" t="b">
        <v>0</v>
      </c>
      <c r="D1033" s="1">
        <v>37742</v>
      </c>
      <c r="E1033" s="2">
        <v>-6.88</v>
      </c>
      <c r="F1033"/>
      <c r="G1033"/>
      <c r="H1033"/>
      <c r="I1033"/>
      <c r="J1033"/>
      <c r="K1033"/>
      <c r="L1033"/>
      <c r="M1033"/>
      <c r="N1033"/>
      <c r="O1033"/>
    </row>
    <row r="1034" spans="1:15" hidden="1" x14ac:dyDescent="0.25">
      <c r="A1034" t="s">
        <v>102</v>
      </c>
      <c r="B1034" t="s">
        <v>117</v>
      </c>
      <c r="C1034" t="b">
        <v>0</v>
      </c>
      <c r="D1034" s="1">
        <v>37742</v>
      </c>
      <c r="E1034" s="2">
        <v>-16.61</v>
      </c>
      <c r="F1034"/>
      <c r="G1034"/>
      <c r="H1034"/>
      <c r="I1034"/>
      <c r="J1034"/>
      <c r="K1034"/>
      <c r="L1034"/>
      <c r="M1034"/>
      <c r="N1034"/>
      <c r="O1034"/>
    </row>
    <row r="1035" spans="1:15" hidden="1" x14ac:dyDescent="0.25">
      <c r="A1035" t="s">
        <v>108</v>
      </c>
      <c r="B1035" t="s">
        <v>115</v>
      </c>
      <c r="C1035" t="b">
        <v>0</v>
      </c>
      <c r="D1035" s="1">
        <v>37742</v>
      </c>
      <c r="E1035">
        <v>3</v>
      </c>
      <c r="F1035"/>
      <c r="G1035"/>
      <c r="H1035"/>
      <c r="I1035"/>
      <c r="J1035"/>
      <c r="K1035"/>
      <c r="L1035"/>
      <c r="M1035"/>
      <c r="N1035"/>
      <c r="O1035"/>
    </row>
    <row r="1036" spans="1:15" hidden="1" x14ac:dyDescent="0.25">
      <c r="A1036" t="s">
        <v>11</v>
      </c>
      <c r="B1036" t="s">
        <v>115</v>
      </c>
      <c r="C1036" t="b">
        <v>0</v>
      </c>
      <c r="D1036" s="1">
        <v>37742</v>
      </c>
      <c r="E1036">
        <v>3</v>
      </c>
      <c r="F1036"/>
      <c r="G1036"/>
      <c r="H1036"/>
      <c r="I1036"/>
      <c r="J1036"/>
      <c r="K1036"/>
      <c r="L1036"/>
      <c r="M1036"/>
      <c r="N1036"/>
      <c r="O1036"/>
    </row>
    <row r="1037" spans="1:15" hidden="1" x14ac:dyDescent="0.25">
      <c r="A1037" t="s">
        <v>12</v>
      </c>
      <c r="B1037" t="s">
        <v>115</v>
      </c>
      <c r="C1037" t="b">
        <v>0</v>
      </c>
      <c r="D1037" s="1">
        <v>37742</v>
      </c>
      <c r="E1037">
        <v>3</v>
      </c>
      <c r="F1037"/>
      <c r="G1037"/>
      <c r="H1037"/>
      <c r="I1037"/>
      <c r="J1037"/>
      <c r="K1037"/>
      <c r="L1037"/>
      <c r="M1037"/>
      <c r="N1037"/>
      <c r="O1037"/>
    </row>
    <row r="1038" spans="1:15" hidden="1" x14ac:dyDescent="0.25">
      <c r="A1038" t="s">
        <v>14</v>
      </c>
      <c r="B1038" t="s">
        <v>115</v>
      </c>
      <c r="C1038" t="b">
        <v>0</v>
      </c>
      <c r="D1038" s="1">
        <v>37742</v>
      </c>
      <c r="E1038">
        <v>3</v>
      </c>
      <c r="F1038"/>
      <c r="G1038"/>
      <c r="H1038"/>
      <c r="I1038"/>
      <c r="J1038"/>
      <c r="K1038"/>
      <c r="L1038"/>
      <c r="M1038"/>
      <c r="N1038"/>
      <c r="O1038"/>
    </row>
    <row r="1039" spans="1:15" hidden="1" x14ac:dyDescent="0.25">
      <c r="A1039" t="s">
        <v>18</v>
      </c>
      <c r="B1039" t="s">
        <v>115</v>
      </c>
      <c r="C1039" t="b">
        <v>0</v>
      </c>
      <c r="D1039" s="1">
        <v>37742</v>
      </c>
      <c r="E1039">
        <v>3</v>
      </c>
      <c r="F1039"/>
      <c r="G1039"/>
      <c r="H1039"/>
      <c r="I1039"/>
      <c r="J1039"/>
      <c r="K1039"/>
      <c r="L1039"/>
      <c r="M1039"/>
      <c r="N1039"/>
      <c r="O1039"/>
    </row>
    <row r="1040" spans="1:15" hidden="1" x14ac:dyDescent="0.25">
      <c r="A1040" t="s">
        <v>106</v>
      </c>
      <c r="B1040" t="s">
        <v>115</v>
      </c>
      <c r="C1040" t="b">
        <v>0</v>
      </c>
      <c r="D1040" s="1">
        <v>37742</v>
      </c>
      <c r="E1040">
        <v>3</v>
      </c>
      <c r="F1040"/>
      <c r="G1040"/>
      <c r="H1040"/>
      <c r="I1040"/>
      <c r="J1040"/>
      <c r="K1040"/>
      <c r="L1040"/>
      <c r="M1040"/>
      <c r="N1040"/>
      <c r="O1040"/>
    </row>
    <row r="1041" spans="1:15" hidden="1" x14ac:dyDescent="0.25">
      <c r="A1041" t="s">
        <v>106</v>
      </c>
      <c r="B1041" t="s">
        <v>115</v>
      </c>
      <c r="C1041" t="b">
        <v>0</v>
      </c>
      <c r="D1041" s="1">
        <v>37742</v>
      </c>
      <c r="E1041">
        <v>3</v>
      </c>
      <c r="F1041"/>
      <c r="G1041"/>
      <c r="H1041"/>
      <c r="I1041"/>
      <c r="J1041"/>
      <c r="K1041"/>
      <c r="L1041"/>
      <c r="M1041"/>
      <c r="N1041"/>
      <c r="O1041"/>
    </row>
    <row r="1042" spans="1:15" hidden="1" x14ac:dyDescent="0.25">
      <c r="A1042" t="s">
        <v>106</v>
      </c>
      <c r="B1042" t="s">
        <v>115</v>
      </c>
      <c r="C1042" t="b">
        <v>0</v>
      </c>
      <c r="D1042" s="1">
        <v>37742</v>
      </c>
      <c r="E1042">
        <v>3</v>
      </c>
      <c r="F1042"/>
      <c r="G1042"/>
      <c r="H1042"/>
      <c r="I1042"/>
      <c r="J1042"/>
      <c r="K1042"/>
      <c r="L1042"/>
      <c r="M1042"/>
      <c r="N1042"/>
      <c r="O1042"/>
    </row>
    <row r="1043" spans="1:15" hidden="1" x14ac:dyDescent="0.25">
      <c r="A1043" t="s">
        <v>106</v>
      </c>
      <c r="B1043" t="s">
        <v>115</v>
      </c>
      <c r="C1043" t="b">
        <v>0</v>
      </c>
      <c r="D1043" s="1">
        <v>37742</v>
      </c>
      <c r="E1043">
        <v>3</v>
      </c>
      <c r="F1043"/>
      <c r="G1043"/>
      <c r="H1043"/>
      <c r="I1043"/>
      <c r="J1043"/>
      <c r="K1043"/>
      <c r="L1043"/>
      <c r="M1043"/>
      <c r="N1043"/>
      <c r="O1043"/>
    </row>
    <row r="1044" spans="1:15" hidden="1" x14ac:dyDescent="0.25">
      <c r="A1044" t="s">
        <v>106</v>
      </c>
      <c r="B1044" t="s">
        <v>115</v>
      </c>
      <c r="C1044" t="b">
        <v>0</v>
      </c>
      <c r="D1044" s="1">
        <v>37742</v>
      </c>
      <c r="E1044">
        <v>3</v>
      </c>
      <c r="F1044"/>
      <c r="G1044"/>
      <c r="H1044"/>
      <c r="I1044"/>
      <c r="J1044"/>
      <c r="K1044"/>
      <c r="L1044"/>
      <c r="M1044"/>
      <c r="N1044"/>
      <c r="O1044"/>
    </row>
    <row r="1045" spans="1:15" hidden="1" x14ac:dyDescent="0.25">
      <c r="A1045" t="s">
        <v>106</v>
      </c>
      <c r="B1045" t="s">
        <v>115</v>
      </c>
      <c r="C1045" t="b">
        <v>0</v>
      </c>
      <c r="D1045" s="1">
        <v>37742</v>
      </c>
      <c r="E1045">
        <v>3</v>
      </c>
      <c r="F1045"/>
      <c r="G1045"/>
      <c r="H1045"/>
      <c r="I1045"/>
      <c r="J1045"/>
      <c r="K1045"/>
      <c r="L1045"/>
      <c r="M1045"/>
      <c r="N1045"/>
      <c r="O1045"/>
    </row>
    <row r="1046" spans="1:15" hidden="1" x14ac:dyDescent="0.25">
      <c r="A1046" t="s">
        <v>106</v>
      </c>
      <c r="B1046" t="s">
        <v>115</v>
      </c>
      <c r="C1046" t="b">
        <v>0</v>
      </c>
      <c r="D1046" s="1">
        <v>37742</v>
      </c>
      <c r="E1046">
        <v>3</v>
      </c>
      <c r="F1046"/>
      <c r="G1046"/>
      <c r="H1046"/>
      <c r="I1046"/>
      <c r="J1046"/>
      <c r="K1046"/>
      <c r="L1046"/>
      <c r="M1046"/>
      <c r="N1046"/>
      <c r="O1046"/>
    </row>
    <row r="1047" spans="1:15" hidden="1" x14ac:dyDescent="0.25">
      <c r="A1047" t="s">
        <v>106</v>
      </c>
      <c r="B1047" t="s">
        <v>115</v>
      </c>
      <c r="C1047" t="b">
        <v>0</v>
      </c>
      <c r="D1047" s="1">
        <v>37742</v>
      </c>
      <c r="E1047">
        <v>3</v>
      </c>
      <c r="F1047"/>
      <c r="G1047"/>
      <c r="H1047"/>
      <c r="I1047"/>
      <c r="J1047"/>
      <c r="K1047"/>
      <c r="L1047"/>
      <c r="M1047"/>
      <c r="N1047"/>
      <c r="O1047"/>
    </row>
    <row r="1048" spans="1:15" hidden="1" x14ac:dyDescent="0.25">
      <c r="A1048" t="s">
        <v>106</v>
      </c>
      <c r="B1048" t="s">
        <v>115</v>
      </c>
      <c r="C1048" t="b">
        <v>0</v>
      </c>
      <c r="D1048" s="1">
        <v>37742</v>
      </c>
      <c r="E1048">
        <v>3</v>
      </c>
      <c r="F1048"/>
      <c r="G1048"/>
      <c r="H1048"/>
      <c r="I1048"/>
      <c r="J1048"/>
      <c r="K1048"/>
      <c r="L1048"/>
      <c r="M1048"/>
      <c r="N1048"/>
      <c r="O1048"/>
    </row>
    <row r="1049" spans="1:15" hidden="1" x14ac:dyDescent="0.25">
      <c r="A1049" t="s">
        <v>106</v>
      </c>
      <c r="B1049" t="s">
        <v>115</v>
      </c>
      <c r="C1049" t="b">
        <v>0</v>
      </c>
      <c r="D1049" s="1">
        <v>37742</v>
      </c>
      <c r="E1049">
        <v>3</v>
      </c>
      <c r="F1049"/>
      <c r="G1049"/>
      <c r="H1049"/>
      <c r="I1049"/>
      <c r="J1049"/>
      <c r="K1049"/>
      <c r="L1049"/>
      <c r="M1049"/>
      <c r="N1049"/>
      <c r="O1049"/>
    </row>
    <row r="1050" spans="1:15" hidden="1" x14ac:dyDescent="0.25">
      <c r="A1050" t="s">
        <v>106</v>
      </c>
      <c r="B1050" t="s">
        <v>115</v>
      </c>
      <c r="C1050" t="b">
        <v>0</v>
      </c>
      <c r="D1050" s="1">
        <v>37742</v>
      </c>
      <c r="E1050">
        <v>3</v>
      </c>
      <c r="F1050"/>
      <c r="G1050"/>
      <c r="H1050"/>
      <c r="I1050"/>
      <c r="J1050"/>
      <c r="K1050"/>
      <c r="L1050"/>
      <c r="M1050"/>
      <c r="N1050"/>
      <c r="O1050"/>
    </row>
    <row r="1051" spans="1:15" hidden="1" x14ac:dyDescent="0.25">
      <c r="A1051" t="s">
        <v>106</v>
      </c>
      <c r="B1051" t="s">
        <v>115</v>
      </c>
      <c r="C1051" t="b">
        <v>0</v>
      </c>
      <c r="D1051" s="1">
        <v>37742</v>
      </c>
      <c r="E1051">
        <v>3</v>
      </c>
      <c r="F1051"/>
      <c r="G1051"/>
      <c r="H1051"/>
      <c r="I1051"/>
      <c r="J1051"/>
      <c r="K1051"/>
      <c r="L1051"/>
      <c r="M1051"/>
      <c r="N1051"/>
      <c r="O1051"/>
    </row>
    <row r="1052" spans="1:15" hidden="1" x14ac:dyDescent="0.25">
      <c r="A1052" t="s">
        <v>106</v>
      </c>
      <c r="B1052" t="s">
        <v>115</v>
      </c>
      <c r="C1052" t="b">
        <v>0</v>
      </c>
      <c r="D1052" s="1">
        <v>37742</v>
      </c>
      <c r="E1052">
        <v>3</v>
      </c>
      <c r="F1052"/>
      <c r="G1052"/>
      <c r="H1052"/>
      <c r="I1052"/>
      <c r="J1052"/>
      <c r="K1052"/>
      <c r="L1052"/>
      <c r="M1052"/>
      <c r="N1052"/>
      <c r="O1052"/>
    </row>
    <row r="1053" spans="1:15" hidden="1" x14ac:dyDescent="0.25">
      <c r="A1053" t="s">
        <v>106</v>
      </c>
      <c r="B1053" t="s">
        <v>115</v>
      </c>
      <c r="C1053" t="b">
        <v>0</v>
      </c>
      <c r="D1053" s="1">
        <v>37742</v>
      </c>
      <c r="E1053">
        <v>3</v>
      </c>
      <c r="F1053"/>
      <c r="G1053"/>
      <c r="H1053"/>
      <c r="I1053"/>
      <c r="J1053"/>
      <c r="K1053"/>
      <c r="L1053"/>
      <c r="M1053"/>
      <c r="N1053"/>
      <c r="O1053"/>
    </row>
    <row r="1054" spans="1:15" hidden="1" x14ac:dyDescent="0.25">
      <c r="A1054" t="s">
        <v>106</v>
      </c>
      <c r="B1054" t="s">
        <v>115</v>
      </c>
      <c r="C1054" t="b">
        <v>0</v>
      </c>
      <c r="D1054" s="1">
        <v>37742</v>
      </c>
      <c r="E1054">
        <v>3</v>
      </c>
      <c r="F1054"/>
      <c r="G1054"/>
      <c r="H1054"/>
      <c r="I1054"/>
      <c r="J1054"/>
      <c r="K1054"/>
      <c r="L1054"/>
      <c r="M1054"/>
      <c r="N1054"/>
      <c r="O1054"/>
    </row>
    <row r="1055" spans="1:15" hidden="1" x14ac:dyDescent="0.25">
      <c r="A1055" t="s">
        <v>106</v>
      </c>
      <c r="B1055" t="s">
        <v>115</v>
      </c>
      <c r="C1055" t="b">
        <v>0</v>
      </c>
      <c r="D1055" s="1">
        <v>37742</v>
      </c>
      <c r="E1055">
        <v>3</v>
      </c>
      <c r="F1055"/>
      <c r="G1055"/>
      <c r="H1055"/>
      <c r="I1055"/>
      <c r="J1055"/>
      <c r="K1055"/>
      <c r="L1055"/>
      <c r="M1055"/>
      <c r="N1055"/>
      <c r="O1055"/>
    </row>
    <row r="1056" spans="1:15" hidden="1" x14ac:dyDescent="0.25">
      <c r="A1056" t="s">
        <v>106</v>
      </c>
      <c r="B1056" t="s">
        <v>115</v>
      </c>
      <c r="C1056" t="b">
        <v>0</v>
      </c>
      <c r="D1056" s="1">
        <v>37742</v>
      </c>
      <c r="E1056">
        <v>3</v>
      </c>
      <c r="F1056"/>
      <c r="G1056"/>
      <c r="H1056"/>
      <c r="I1056"/>
      <c r="J1056"/>
      <c r="K1056"/>
      <c r="L1056"/>
      <c r="M1056"/>
      <c r="N1056"/>
      <c r="O1056"/>
    </row>
    <row r="1057" spans="1:15" hidden="1" x14ac:dyDescent="0.25">
      <c r="A1057" t="s">
        <v>106</v>
      </c>
      <c r="B1057" t="s">
        <v>115</v>
      </c>
      <c r="C1057" t="b">
        <v>0</v>
      </c>
      <c r="D1057" s="1">
        <v>37742</v>
      </c>
      <c r="E1057">
        <v>3</v>
      </c>
      <c r="F1057"/>
      <c r="G1057"/>
      <c r="H1057"/>
      <c r="I1057"/>
      <c r="J1057"/>
      <c r="K1057"/>
      <c r="L1057"/>
      <c r="M1057"/>
      <c r="N1057"/>
      <c r="O1057"/>
    </row>
    <row r="1058" spans="1:15" hidden="1" x14ac:dyDescent="0.25">
      <c r="A1058" t="s">
        <v>106</v>
      </c>
      <c r="B1058" t="s">
        <v>115</v>
      </c>
      <c r="C1058" t="b">
        <v>0</v>
      </c>
      <c r="D1058" s="1">
        <v>37742</v>
      </c>
      <c r="E1058">
        <v>3</v>
      </c>
      <c r="F1058"/>
      <c r="G1058"/>
      <c r="H1058"/>
      <c r="I1058"/>
      <c r="J1058"/>
      <c r="K1058"/>
      <c r="L1058"/>
      <c r="M1058"/>
      <c r="N1058"/>
      <c r="O1058"/>
    </row>
    <row r="1059" spans="1:15" hidden="1" x14ac:dyDescent="0.25">
      <c r="A1059" t="s">
        <v>106</v>
      </c>
      <c r="B1059" t="s">
        <v>115</v>
      </c>
      <c r="C1059" t="b">
        <v>0</v>
      </c>
      <c r="D1059" s="1">
        <v>37742</v>
      </c>
      <c r="E1059">
        <v>3</v>
      </c>
      <c r="F1059"/>
      <c r="G1059"/>
      <c r="H1059"/>
      <c r="I1059"/>
      <c r="J1059"/>
      <c r="K1059"/>
      <c r="L1059"/>
      <c r="M1059"/>
      <c r="N1059"/>
      <c r="O1059"/>
    </row>
    <row r="1060" spans="1:15" hidden="1" x14ac:dyDescent="0.25">
      <c r="A1060" t="s">
        <v>106</v>
      </c>
      <c r="B1060" t="s">
        <v>115</v>
      </c>
      <c r="C1060" t="b">
        <v>0</v>
      </c>
      <c r="D1060" s="1">
        <v>37742</v>
      </c>
      <c r="E1060">
        <v>3</v>
      </c>
      <c r="F1060"/>
      <c r="G1060"/>
      <c r="H1060"/>
      <c r="I1060"/>
      <c r="J1060"/>
      <c r="K1060"/>
      <c r="L1060"/>
      <c r="M1060"/>
      <c r="N1060"/>
      <c r="O1060"/>
    </row>
    <row r="1061" spans="1:15" hidden="1" x14ac:dyDescent="0.25">
      <c r="A1061" t="s">
        <v>106</v>
      </c>
      <c r="B1061" t="s">
        <v>115</v>
      </c>
      <c r="C1061" t="b">
        <v>0</v>
      </c>
      <c r="D1061" s="1">
        <v>37742</v>
      </c>
      <c r="E1061">
        <v>3</v>
      </c>
      <c r="F1061"/>
      <c r="G1061"/>
      <c r="H1061"/>
      <c r="I1061"/>
      <c r="J1061"/>
      <c r="K1061"/>
      <c r="L1061"/>
      <c r="M1061"/>
      <c r="N1061"/>
      <c r="O1061"/>
    </row>
    <row r="1062" spans="1:15" hidden="1" x14ac:dyDescent="0.25">
      <c r="A1062" t="s">
        <v>19</v>
      </c>
      <c r="B1062" t="s">
        <v>115</v>
      </c>
      <c r="C1062" t="b">
        <v>0</v>
      </c>
      <c r="D1062" s="1">
        <v>37742</v>
      </c>
      <c r="E1062">
        <v>3</v>
      </c>
      <c r="F1062"/>
      <c r="G1062"/>
      <c r="H1062"/>
      <c r="I1062"/>
      <c r="J1062"/>
      <c r="K1062"/>
      <c r="L1062"/>
      <c r="M1062"/>
      <c r="N1062"/>
      <c r="O1062"/>
    </row>
    <row r="1063" spans="1:15" hidden="1" x14ac:dyDescent="0.25">
      <c r="A1063" t="s">
        <v>30</v>
      </c>
      <c r="B1063" t="s">
        <v>115</v>
      </c>
      <c r="C1063" t="b">
        <v>0</v>
      </c>
      <c r="D1063" s="1">
        <v>37742</v>
      </c>
      <c r="E1063">
        <v>3</v>
      </c>
      <c r="F1063"/>
      <c r="G1063"/>
      <c r="H1063"/>
      <c r="I1063"/>
      <c r="J1063"/>
      <c r="K1063"/>
      <c r="L1063"/>
      <c r="M1063"/>
      <c r="N1063"/>
      <c r="O1063"/>
    </row>
    <row r="1064" spans="1:15" hidden="1" x14ac:dyDescent="0.25">
      <c r="A1064" t="s">
        <v>39</v>
      </c>
      <c r="B1064" t="s">
        <v>115</v>
      </c>
      <c r="C1064" t="b">
        <v>0</v>
      </c>
      <c r="D1064" s="1">
        <v>37742</v>
      </c>
      <c r="E1064">
        <v>3</v>
      </c>
      <c r="F1064"/>
      <c r="G1064"/>
      <c r="H1064"/>
      <c r="I1064"/>
      <c r="J1064"/>
      <c r="K1064"/>
      <c r="L1064"/>
      <c r="M1064"/>
      <c r="N1064"/>
      <c r="O1064"/>
    </row>
    <row r="1065" spans="1:15" hidden="1" x14ac:dyDescent="0.25">
      <c r="A1065" t="s">
        <v>57</v>
      </c>
      <c r="B1065" t="s">
        <v>115</v>
      </c>
      <c r="C1065" t="b">
        <v>0</v>
      </c>
      <c r="D1065" s="1">
        <v>37742</v>
      </c>
      <c r="E1065">
        <v>3</v>
      </c>
      <c r="F1065"/>
      <c r="G1065"/>
      <c r="H1065"/>
      <c r="I1065"/>
      <c r="J1065"/>
      <c r="K1065"/>
      <c r="L1065"/>
      <c r="M1065"/>
      <c r="N1065"/>
      <c r="O1065"/>
    </row>
    <row r="1066" spans="1:15" hidden="1" x14ac:dyDescent="0.25">
      <c r="A1066" t="s">
        <v>69</v>
      </c>
      <c r="B1066" t="s">
        <v>115</v>
      </c>
      <c r="C1066" t="b">
        <v>0</v>
      </c>
      <c r="D1066" s="1">
        <v>37742</v>
      </c>
      <c r="E1066">
        <v>3</v>
      </c>
      <c r="F1066"/>
      <c r="G1066"/>
      <c r="H1066"/>
      <c r="I1066"/>
      <c r="J1066"/>
      <c r="K1066"/>
      <c r="L1066"/>
      <c r="M1066"/>
      <c r="N1066"/>
      <c r="O1066"/>
    </row>
    <row r="1067" spans="1:15" hidden="1" x14ac:dyDescent="0.25">
      <c r="A1067" t="s">
        <v>86</v>
      </c>
      <c r="B1067" t="s">
        <v>115</v>
      </c>
      <c r="C1067" t="b">
        <v>0</v>
      </c>
      <c r="D1067" s="1">
        <v>37742</v>
      </c>
      <c r="E1067">
        <v>3</v>
      </c>
      <c r="F1067"/>
      <c r="G1067"/>
      <c r="H1067"/>
      <c r="I1067"/>
      <c r="J1067"/>
      <c r="K1067"/>
      <c r="L1067"/>
      <c r="M1067"/>
      <c r="N1067"/>
      <c r="O1067"/>
    </row>
    <row r="1068" spans="1:15" hidden="1" x14ac:dyDescent="0.25">
      <c r="A1068" t="s">
        <v>99</v>
      </c>
      <c r="B1068" t="s">
        <v>114</v>
      </c>
      <c r="C1068" t="b">
        <v>0</v>
      </c>
      <c r="D1068" s="1">
        <v>37742</v>
      </c>
      <c r="E1068">
        <v>9.7700000000000014</v>
      </c>
      <c r="F1068"/>
      <c r="G1068"/>
      <c r="H1068"/>
      <c r="I1068"/>
      <c r="J1068"/>
      <c r="K1068"/>
      <c r="L1068"/>
      <c r="M1068"/>
      <c r="N1068"/>
      <c r="O1068"/>
    </row>
    <row r="1069" spans="1:15" hidden="1" x14ac:dyDescent="0.25">
      <c r="A1069" t="s">
        <v>100</v>
      </c>
      <c r="B1069" t="s">
        <v>117</v>
      </c>
      <c r="C1069" t="b">
        <v>0</v>
      </c>
      <c r="D1069" s="1">
        <v>37773</v>
      </c>
      <c r="E1069" s="2">
        <v>-91.39</v>
      </c>
      <c r="F1069"/>
      <c r="G1069"/>
      <c r="H1069"/>
      <c r="I1069"/>
      <c r="J1069"/>
      <c r="K1069"/>
      <c r="L1069"/>
      <c r="M1069"/>
      <c r="N1069"/>
      <c r="O1069"/>
    </row>
    <row r="1070" spans="1:15" hidden="1" x14ac:dyDescent="0.25">
      <c r="A1070" t="s">
        <v>102</v>
      </c>
      <c r="B1070" t="s">
        <v>117</v>
      </c>
      <c r="C1070" t="b">
        <v>0</v>
      </c>
      <c r="D1070" s="1">
        <v>37773</v>
      </c>
      <c r="E1070" s="2">
        <v>-22.98</v>
      </c>
      <c r="F1070"/>
      <c r="G1070"/>
      <c r="H1070"/>
      <c r="I1070"/>
      <c r="J1070"/>
      <c r="K1070"/>
      <c r="L1070"/>
      <c r="M1070"/>
      <c r="N1070"/>
      <c r="O1070"/>
    </row>
    <row r="1071" spans="1:15" hidden="1" x14ac:dyDescent="0.25">
      <c r="A1071" t="s">
        <v>10</v>
      </c>
      <c r="B1071" t="s">
        <v>115</v>
      </c>
      <c r="C1071" t="b">
        <v>0</v>
      </c>
      <c r="D1071" s="1">
        <v>37773</v>
      </c>
      <c r="E1071">
        <v>1.5</v>
      </c>
      <c r="F1071"/>
      <c r="G1071"/>
      <c r="H1071"/>
      <c r="I1071"/>
      <c r="J1071"/>
      <c r="K1071"/>
      <c r="L1071"/>
      <c r="M1071"/>
      <c r="N1071"/>
      <c r="O1071"/>
    </row>
    <row r="1072" spans="1:15" hidden="1" x14ac:dyDescent="0.25">
      <c r="A1072" t="s">
        <v>108</v>
      </c>
      <c r="B1072" t="s">
        <v>115</v>
      </c>
      <c r="C1072" t="b">
        <v>0</v>
      </c>
      <c r="D1072" s="1">
        <v>37773</v>
      </c>
      <c r="E1072">
        <v>3</v>
      </c>
      <c r="F1072"/>
      <c r="G1072"/>
      <c r="H1072"/>
      <c r="I1072"/>
      <c r="J1072"/>
      <c r="K1072"/>
      <c r="L1072"/>
      <c r="M1072"/>
      <c r="N1072"/>
      <c r="O1072"/>
    </row>
    <row r="1073" spans="1:15" hidden="1" x14ac:dyDescent="0.25">
      <c r="A1073" t="s">
        <v>12</v>
      </c>
      <c r="B1073" t="s">
        <v>115</v>
      </c>
      <c r="C1073" t="b">
        <v>0</v>
      </c>
      <c r="D1073" s="1">
        <v>37773</v>
      </c>
      <c r="E1073">
        <v>3</v>
      </c>
      <c r="F1073"/>
      <c r="G1073"/>
      <c r="H1073"/>
      <c r="I1073"/>
      <c r="J1073"/>
      <c r="K1073"/>
      <c r="L1073"/>
      <c r="M1073"/>
      <c r="N1073"/>
      <c r="O1073"/>
    </row>
    <row r="1074" spans="1:15" hidden="1" x14ac:dyDescent="0.25">
      <c r="A1074" t="s">
        <v>18</v>
      </c>
      <c r="B1074" t="s">
        <v>115</v>
      </c>
      <c r="C1074" t="b">
        <v>0</v>
      </c>
      <c r="D1074" s="1">
        <v>37773</v>
      </c>
      <c r="E1074">
        <v>3</v>
      </c>
      <c r="F1074"/>
      <c r="G1074"/>
      <c r="H1074"/>
      <c r="I1074"/>
      <c r="J1074"/>
      <c r="K1074"/>
      <c r="L1074"/>
      <c r="M1074"/>
      <c r="N1074"/>
      <c r="O1074"/>
    </row>
    <row r="1075" spans="1:15" hidden="1" x14ac:dyDescent="0.25">
      <c r="A1075" t="s">
        <v>106</v>
      </c>
      <c r="B1075" t="s">
        <v>115</v>
      </c>
      <c r="C1075" t="b">
        <v>0</v>
      </c>
      <c r="D1075" s="1">
        <v>37773</v>
      </c>
      <c r="E1075">
        <v>1.5</v>
      </c>
      <c r="F1075"/>
      <c r="G1075"/>
      <c r="H1075"/>
      <c r="I1075"/>
      <c r="J1075"/>
      <c r="K1075"/>
      <c r="L1075"/>
      <c r="M1075"/>
      <c r="N1075"/>
      <c r="O1075"/>
    </row>
    <row r="1076" spans="1:15" hidden="1" x14ac:dyDescent="0.25">
      <c r="A1076" t="s">
        <v>106</v>
      </c>
      <c r="B1076" t="s">
        <v>115</v>
      </c>
      <c r="C1076" t="b">
        <v>0</v>
      </c>
      <c r="D1076" s="1">
        <v>37773</v>
      </c>
      <c r="E1076">
        <v>3</v>
      </c>
      <c r="F1076"/>
      <c r="G1076"/>
      <c r="H1076"/>
      <c r="I1076"/>
      <c r="J1076"/>
      <c r="K1076"/>
      <c r="L1076"/>
      <c r="M1076"/>
      <c r="N1076"/>
      <c r="O1076"/>
    </row>
    <row r="1077" spans="1:15" hidden="1" x14ac:dyDescent="0.25">
      <c r="A1077" t="s">
        <v>106</v>
      </c>
      <c r="B1077" t="s">
        <v>115</v>
      </c>
      <c r="C1077" t="b">
        <v>0</v>
      </c>
      <c r="D1077" s="1">
        <v>37773</v>
      </c>
      <c r="E1077">
        <v>3</v>
      </c>
      <c r="F1077"/>
      <c r="G1077"/>
      <c r="H1077"/>
      <c r="I1077"/>
      <c r="J1077"/>
      <c r="K1077"/>
      <c r="L1077"/>
      <c r="M1077"/>
      <c r="N1077"/>
      <c r="O1077"/>
    </row>
    <row r="1078" spans="1:15" hidden="1" x14ac:dyDescent="0.25">
      <c r="A1078" t="s">
        <v>106</v>
      </c>
      <c r="B1078" t="s">
        <v>115</v>
      </c>
      <c r="C1078" t="b">
        <v>0</v>
      </c>
      <c r="D1078" s="1">
        <v>37773</v>
      </c>
      <c r="E1078">
        <v>3</v>
      </c>
      <c r="F1078"/>
      <c r="G1078"/>
      <c r="H1078"/>
      <c r="I1078"/>
      <c r="J1078"/>
      <c r="K1078"/>
      <c r="L1078"/>
      <c r="M1078"/>
      <c r="N1078"/>
      <c r="O1078"/>
    </row>
    <row r="1079" spans="1:15" hidden="1" x14ac:dyDescent="0.25">
      <c r="A1079" t="s">
        <v>106</v>
      </c>
      <c r="B1079" t="s">
        <v>115</v>
      </c>
      <c r="C1079" t="b">
        <v>0</v>
      </c>
      <c r="D1079" s="1">
        <v>37773</v>
      </c>
      <c r="E1079">
        <v>3</v>
      </c>
      <c r="F1079"/>
      <c r="G1079"/>
      <c r="H1079"/>
      <c r="I1079"/>
      <c r="J1079"/>
      <c r="K1079"/>
      <c r="L1079"/>
      <c r="M1079"/>
      <c r="N1079"/>
      <c r="O1079"/>
    </row>
    <row r="1080" spans="1:15" hidden="1" x14ac:dyDescent="0.25">
      <c r="A1080" t="s">
        <v>106</v>
      </c>
      <c r="B1080" t="s">
        <v>115</v>
      </c>
      <c r="C1080" t="b">
        <v>0</v>
      </c>
      <c r="D1080" s="1">
        <v>37773</v>
      </c>
      <c r="E1080">
        <v>3</v>
      </c>
      <c r="F1080"/>
      <c r="G1080"/>
      <c r="H1080"/>
      <c r="I1080"/>
      <c r="J1080"/>
      <c r="K1080"/>
      <c r="L1080"/>
      <c r="M1080"/>
      <c r="N1080"/>
      <c r="O1080"/>
    </row>
    <row r="1081" spans="1:15" hidden="1" x14ac:dyDescent="0.25">
      <c r="A1081" t="s">
        <v>106</v>
      </c>
      <c r="B1081" t="s">
        <v>115</v>
      </c>
      <c r="C1081" t="b">
        <v>0</v>
      </c>
      <c r="D1081" s="1">
        <v>37773</v>
      </c>
      <c r="E1081">
        <v>3</v>
      </c>
      <c r="F1081"/>
      <c r="G1081"/>
      <c r="H1081"/>
      <c r="I1081"/>
      <c r="J1081"/>
      <c r="K1081"/>
      <c r="L1081"/>
      <c r="M1081"/>
      <c r="N1081"/>
      <c r="O1081"/>
    </row>
    <row r="1082" spans="1:15" hidden="1" x14ac:dyDescent="0.25">
      <c r="A1082" t="s">
        <v>106</v>
      </c>
      <c r="B1082" t="s">
        <v>115</v>
      </c>
      <c r="C1082" t="b">
        <v>0</v>
      </c>
      <c r="D1082" s="1">
        <v>37773</v>
      </c>
      <c r="E1082">
        <v>3</v>
      </c>
      <c r="F1082"/>
      <c r="G1082"/>
      <c r="H1082"/>
      <c r="I1082"/>
      <c r="J1082"/>
      <c r="K1082"/>
      <c r="L1082"/>
      <c r="M1082"/>
      <c r="N1082"/>
      <c r="O1082"/>
    </row>
    <row r="1083" spans="1:15" hidden="1" x14ac:dyDescent="0.25">
      <c r="A1083" t="s">
        <v>106</v>
      </c>
      <c r="B1083" t="s">
        <v>115</v>
      </c>
      <c r="C1083" t="b">
        <v>0</v>
      </c>
      <c r="D1083" s="1">
        <v>37773</v>
      </c>
      <c r="E1083">
        <v>3</v>
      </c>
      <c r="F1083"/>
      <c r="G1083"/>
      <c r="H1083"/>
      <c r="I1083"/>
      <c r="J1083"/>
      <c r="K1083"/>
      <c r="L1083"/>
      <c r="M1083"/>
      <c r="N1083"/>
      <c r="O1083"/>
    </row>
    <row r="1084" spans="1:15" hidden="1" x14ac:dyDescent="0.25">
      <c r="A1084" t="s">
        <v>106</v>
      </c>
      <c r="B1084" t="s">
        <v>115</v>
      </c>
      <c r="C1084" t="b">
        <v>0</v>
      </c>
      <c r="D1084" s="1">
        <v>37773</v>
      </c>
      <c r="E1084">
        <v>3</v>
      </c>
      <c r="F1084"/>
      <c r="G1084"/>
      <c r="H1084"/>
      <c r="I1084"/>
      <c r="J1084"/>
      <c r="K1084"/>
      <c r="L1084"/>
      <c r="M1084"/>
      <c r="N1084"/>
      <c r="O1084"/>
    </row>
    <row r="1085" spans="1:15" hidden="1" x14ac:dyDescent="0.25">
      <c r="A1085" t="s">
        <v>106</v>
      </c>
      <c r="B1085" t="s">
        <v>115</v>
      </c>
      <c r="C1085" t="b">
        <v>0</v>
      </c>
      <c r="D1085" s="1">
        <v>37773</v>
      </c>
      <c r="E1085">
        <v>3</v>
      </c>
      <c r="F1085"/>
      <c r="G1085"/>
      <c r="H1085"/>
      <c r="I1085"/>
      <c r="J1085"/>
      <c r="K1085"/>
      <c r="L1085"/>
      <c r="M1085"/>
      <c r="N1085"/>
      <c r="O1085"/>
    </row>
    <row r="1086" spans="1:15" hidden="1" x14ac:dyDescent="0.25">
      <c r="A1086" t="s">
        <v>106</v>
      </c>
      <c r="B1086" t="s">
        <v>115</v>
      </c>
      <c r="C1086" t="b">
        <v>0</v>
      </c>
      <c r="D1086" s="1">
        <v>37773</v>
      </c>
      <c r="E1086">
        <v>3</v>
      </c>
      <c r="F1086"/>
      <c r="G1086"/>
      <c r="H1086"/>
      <c r="I1086"/>
      <c r="J1086"/>
      <c r="K1086"/>
      <c r="L1086"/>
      <c r="M1086"/>
      <c r="N1086"/>
      <c r="O1086"/>
    </row>
    <row r="1087" spans="1:15" hidden="1" x14ac:dyDescent="0.25">
      <c r="A1087" t="s">
        <v>106</v>
      </c>
      <c r="B1087" t="s">
        <v>115</v>
      </c>
      <c r="C1087" t="b">
        <v>0</v>
      </c>
      <c r="D1087" s="1">
        <v>37773</v>
      </c>
      <c r="E1087">
        <v>3</v>
      </c>
      <c r="F1087"/>
      <c r="G1087"/>
      <c r="H1087"/>
      <c r="I1087"/>
      <c r="J1087"/>
      <c r="K1087"/>
      <c r="L1087"/>
      <c r="M1087"/>
      <c r="N1087"/>
      <c r="O1087"/>
    </row>
    <row r="1088" spans="1:15" hidden="1" x14ac:dyDescent="0.25">
      <c r="A1088" t="s">
        <v>106</v>
      </c>
      <c r="B1088" t="s">
        <v>115</v>
      </c>
      <c r="C1088" t="b">
        <v>0</v>
      </c>
      <c r="D1088" s="1">
        <v>37773</v>
      </c>
      <c r="E1088">
        <v>3</v>
      </c>
      <c r="F1088"/>
      <c r="G1088"/>
      <c r="H1088"/>
      <c r="I1088"/>
      <c r="J1088"/>
      <c r="K1088"/>
      <c r="L1088"/>
      <c r="M1088"/>
      <c r="N1088"/>
      <c r="O1088"/>
    </row>
    <row r="1089" spans="1:15" hidden="1" x14ac:dyDescent="0.25">
      <c r="A1089" t="s">
        <v>106</v>
      </c>
      <c r="B1089" t="s">
        <v>115</v>
      </c>
      <c r="C1089" t="b">
        <v>0</v>
      </c>
      <c r="D1089" s="1">
        <v>37773</v>
      </c>
      <c r="E1089">
        <v>3</v>
      </c>
      <c r="F1089"/>
      <c r="G1089"/>
      <c r="H1089"/>
      <c r="I1089"/>
      <c r="J1089"/>
      <c r="K1089"/>
      <c r="L1089"/>
      <c r="M1089"/>
      <c r="N1089"/>
      <c r="O1089"/>
    </row>
    <row r="1090" spans="1:15" hidden="1" x14ac:dyDescent="0.25">
      <c r="A1090" t="s">
        <v>106</v>
      </c>
      <c r="B1090" t="s">
        <v>115</v>
      </c>
      <c r="C1090" t="b">
        <v>0</v>
      </c>
      <c r="D1090" s="1">
        <v>37773</v>
      </c>
      <c r="E1090">
        <v>3</v>
      </c>
      <c r="F1090"/>
      <c r="G1090"/>
      <c r="H1090"/>
      <c r="I1090"/>
      <c r="J1090"/>
      <c r="K1090"/>
      <c r="L1090"/>
      <c r="M1090"/>
      <c r="N1090"/>
      <c r="O1090"/>
    </row>
    <row r="1091" spans="1:15" hidden="1" x14ac:dyDescent="0.25">
      <c r="A1091" t="s">
        <v>106</v>
      </c>
      <c r="B1091" t="s">
        <v>115</v>
      </c>
      <c r="C1091" t="b">
        <v>0</v>
      </c>
      <c r="D1091" s="1">
        <v>37773</v>
      </c>
      <c r="E1091">
        <v>3</v>
      </c>
      <c r="F1091"/>
      <c r="G1091"/>
      <c r="H1091"/>
      <c r="I1091"/>
      <c r="J1091"/>
      <c r="K1091"/>
      <c r="L1091"/>
      <c r="M1091"/>
      <c r="N1091"/>
      <c r="O1091"/>
    </row>
    <row r="1092" spans="1:15" hidden="1" x14ac:dyDescent="0.25">
      <c r="A1092" t="s">
        <v>106</v>
      </c>
      <c r="B1092" t="s">
        <v>115</v>
      </c>
      <c r="C1092" t="b">
        <v>0</v>
      </c>
      <c r="D1092" s="1">
        <v>37773</v>
      </c>
      <c r="E1092">
        <v>3</v>
      </c>
      <c r="F1092"/>
      <c r="G1092"/>
      <c r="H1092"/>
      <c r="I1092"/>
      <c r="J1092"/>
      <c r="K1092"/>
      <c r="L1092"/>
      <c r="M1092"/>
      <c r="N1092"/>
      <c r="O1092"/>
    </row>
    <row r="1093" spans="1:15" hidden="1" x14ac:dyDescent="0.25">
      <c r="A1093" t="s">
        <v>106</v>
      </c>
      <c r="B1093" t="s">
        <v>115</v>
      </c>
      <c r="C1093" t="b">
        <v>0</v>
      </c>
      <c r="D1093" s="1">
        <v>37773</v>
      </c>
      <c r="E1093">
        <v>3</v>
      </c>
      <c r="F1093"/>
      <c r="G1093"/>
      <c r="H1093"/>
      <c r="I1093"/>
      <c r="J1093"/>
      <c r="K1093"/>
      <c r="L1093"/>
      <c r="M1093"/>
      <c r="N1093"/>
      <c r="O1093"/>
    </row>
    <row r="1094" spans="1:15" hidden="1" x14ac:dyDescent="0.25">
      <c r="A1094" t="s">
        <v>106</v>
      </c>
      <c r="B1094" t="s">
        <v>115</v>
      </c>
      <c r="C1094" t="b">
        <v>0</v>
      </c>
      <c r="D1094" s="1">
        <v>37773</v>
      </c>
      <c r="E1094">
        <v>3</v>
      </c>
      <c r="F1094"/>
      <c r="G1094"/>
      <c r="H1094"/>
      <c r="I1094"/>
      <c r="J1094"/>
      <c r="K1094"/>
      <c r="L1094"/>
      <c r="M1094"/>
      <c r="N1094"/>
      <c r="O1094"/>
    </row>
    <row r="1095" spans="1:15" hidden="1" x14ac:dyDescent="0.25">
      <c r="A1095" t="s">
        <v>106</v>
      </c>
      <c r="B1095" t="s">
        <v>115</v>
      </c>
      <c r="C1095" t="b">
        <v>0</v>
      </c>
      <c r="D1095" s="1">
        <v>37773</v>
      </c>
      <c r="E1095">
        <v>3</v>
      </c>
      <c r="F1095"/>
      <c r="G1095"/>
      <c r="H1095"/>
      <c r="I1095"/>
      <c r="J1095"/>
      <c r="K1095"/>
      <c r="L1095"/>
      <c r="M1095"/>
      <c r="N1095"/>
      <c r="O1095"/>
    </row>
    <row r="1096" spans="1:15" hidden="1" x14ac:dyDescent="0.25">
      <c r="A1096" t="s">
        <v>106</v>
      </c>
      <c r="B1096" t="s">
        <v>115</v>
      </c>
      <c r="C1096" t="b">
        <v>0</v>
      </c>
      <c r="D1096" s="1">
        <v>37773</v>
      </c>
      <c r="E1096">
        <v>3</v>
      </c>
      <c r="F1096"/>
      <c r="G1096"/>
      <c r="H1096"/>
      <c r="I1096"/>
      <c r="J1096"/>
      <c r="K1096"/>
      <c r="L1096"/>
      <c r="M1096"/>
      <c r="N1096"/>
      <c r="O1096"/>
    </row>
    <row r="1097" spans="1:15" hidden="1" x14ac:dyDescent="0.25">
      <c r="A1097" t="s">
        <v>106</v>
      </c>
      <c r="B1097" t="s">
        <v>115</v>
      </c>
      <c r="C1097" t="b">
        <v>0</v>
      </c>
      <c r="D1097" s="1">
        <v>37773</v>
      </c>
      <c r="E1097">
        <v>3</v>
      </c>
      <c r="F1097"/>
      <c r="G1097"/>
      <c r="H1097"/>
      <c r="I1097"/>
      <c r="J1097"/>
      <c r="K1097"/>
      <c r="L1097"/>
      <c r="M1097"/>
      <c r="N1097"/>
      <c r="O1097"/>
    </row>
    <row r="1098" spans="1:15" hidden="1" x14ac:dyDescent="0.25">
      <c r="A1098" t="s">
        <v>106</v>
      </c>
      <c r="B1098" t="s">
        <v>115</v>
      </c>
      <c r="C1098" t="b">
        <v>0</v>
      </c>
      <c r="D1098" s="1">
        <v>37773</v>
      </c>
      <c r="E1098">
        <v>3</v>
      </c>
      <c r="F1098"/>
      <c r="G1098"/>
      <c r="H1098"/>
      <c r="I1098"/>
      <c r="J1098"/>
      <c r="K1098"/>
      <c r="L1098"/>
      <c r="M1098"/>
      <c r="N1098"/>
      <c r="O1098"/>
    </row>
    <row r="1099" spans="1:15" hidden="1" x14ac:dyDescent="0.25">
      <c r="A1099" t="s">
        <v>106</v>
      </c>
      <c r="B1099" t="s">
        <v>115</v>
      </c>
      <c r="C1099" t="b">
        <v>0</v>
      </c>
      <c r="D1099" s="1">
        <v>37773</v>
      </c>
      <c r="E1099">
        <v>3</v>
      </c>
      <c r="F1099"/>
      <c r="G1099"/>
      <c r="H1099"/>
      <c r="I1099"/>
      <c r="J1099"/>
      <c r="K1099"/>
      <c r="L1099"/>
      <c r="M1099"/>
      <c r="N1099"/>
      <c r="O1099"/>
    </row>
    <row r="1100" spans="1:15" hidden="1" x14ac:dyDescent="0.25">
      <c r="A1100" t="s">
        <v>19</v>
      </c>
      <c r="B1100" t="s">
        <v>115</v>
      </c>
      <c r="C1100" t="b">
        <v>0</v>
      </c>
      <c r="D1100" s="1">
        <v>37773</v>
      </c>
      <c r="E1100">
        <v>3</v>
      </c>
      <c r="F1100"/>
      <c r="G1100"/>
      <c r="H1100"/>
      <c r="I1100"/>
      <c r="J1100"/>
      <c r="K1100"/>
      <c r="L1100"/>
      <c r="M1100"/>
      <c r="N1100"/>
      <c r="O1100"/>
    </row>
    <row r="1101" spans="1:15" hidden="1" x14ac:dyDescent="0.25">
      <c r="A1101" t="s">
        <v>30</v>
      </c>
      <c r="B1101" t="s">
        <v>115</v>
      </c>
      <c r="C1101" t="b">
        <v>0</v>
      </c>
      <c r="D1101" s="1">
        <v>37773</v>
      </c>
      <c r="E1101">
        <v>3</v>
      </c>
      <c r="F1101"/>
      <c r="G1101"/>
      <c r="H1101"/>
      <c r="I1101"/>
      <c r="J1101"/>
      <c r="K1101"/>
      <c r="L1101"/>
      <c r="M1101"/>
      <c r="N1101"/>
      <c r="O1101"/>
    </row>
    <row r="1102" spans="1:15" hidden="1" x14ac:dyDescent="0.25">
      <c r="A1102" t="s">
        <v>39</v>
      </c>
      <c r="B1102" t="s">
        <v>115</v>
      </c>
      <c r="C1102" t="b">
        <v>0</v>
      </c>
      <c r="D1102" s="1">
        <v>37773</v>
      </c>
      <c r="E1102">
        <v>3</v>
      </c>
      <c r="F1102"/>
      <c r="G1102"/>
      <c r="H1102"/>
      <c r="I1102"/>
      <c r="J1102"/>
      <c r="K1102"/>
      <c r="L1102"/>
      <c r="M1102"/>
      <c r="N1102"/>
      <c r="O1102"/>
    </row>
    <row r="1103" spans="1:15" hidden="1" x14ac:dyDescent="0.25">
      <c r="A1103" t="s">
        <v>57</v>
      </c>
      <c r="B1103" t="s">
        <v>115</v>
      </c>
      <c r="C1103" t="b">
        <v>0</v>
      </c>
      <c r="D1103" s="1">
        <v>37773</v>
      </c>
      <c r="E1103">
        <v>3</v>
      </c>
      <c r="F1103"/>
      <c r="G1103"/>
      <c r="H1103"/>
      <c r="I1103"/>
      <c r="J1103"/>
      <c r="K1103"/>
      <c r="L1103"/>
      <c r="M1103"/>
      <c r="N1103"/>
      <c r="O1103"/>
    </row>
    <row r="1104" spans="1:15" hidden="1" x14ac:dyDescent="0.25">
      <c r="A1104" t="s">
        <v>69</v>
      </c>
      <c r="B1104" t="s">
        <v>115</v>
      </c>
      <c r="C1104" t="b">
        <v>0</v>
      </c>
      <c r="D1104" s="1">
        <v>37773</v>
      </c>
      <c r="E1104">
        <v>3</v>
      </c>
      <c r="F1104"/>
      <c r="G1104"/>
      <c r="H1104"/>
      <c r="I1104"/>
      <c r="J1104"/>
      <c r="K1104"/>
      <c r="L1104"/>
      <c r="M1104"/>
      <c r="N1104"/>
      <c r="O1104"/>
    </row>
    <row r="1105" spans="1:15" hidden="1" x14ac:dyDescent="0.25">
      <c r="A1105" t="s">
        <v>86</v>
      </c>
      <c r="B1105" t="s">
        <v>115</v>
      </c>
      <c r="C1105" t="b">
        <v>0</v>
      </c>
      <c r="D1105" s="1">
        <v>37773</v>
      </c>
      <c r="E1105">
        <v>3</v>
      </c>
      <c r="F1105"/>
      <c r="G1105"/>
      <c r="H1105"/>
      <c r="I1105"/>
      <c r="J1105"/>
      <c r="K1105"/>
      <c r="L1105"/>
      <c r="M1105"/>
      <c r="N1105"/>
      <c r="O1105"/>
    </row>
    <row r="1106" spans="1:15" hidden="1" x14ac:dyDescent="0.25">
      <c r="A1106" t="s">
        <v>99</v>
      </c>
      <c r="B1106" t="s">
        <v>114</v>
      </c>
      <c r="C1106" t="b">
        <v>0</v>
      </c>
      <c r="D1106" s="1">
        <v>37773</v>
      </c>
      <c r="E1106">
        <v>8.4799999999999986</v>
      </c>
      <c r="F1106"/>
      <c r="G1106"/>
      <c r="H1106"/>
      <c r="I1106"/>
      <c r="J1106"/>
      <c r="K1106"/>
      <c r="L1106"/>
      <c r="M1106"/>
      <c r="N1106"/>
      <c r="O1106"/>
    </row>
    <row r="1107" spans="1:15" hidden="1" x14ac:dyDescent="0.25">
      <c r="A1107" t="s">
        <v>100</v>
      </c>
      <c r="B1107" t="s">
        <v>117</v>
      </c>
      <c r="C1107" t="b">
        <v>0</v>
      </c>
      <c r="D1107" s="1">
        <v>37803</v>
      </c>
      <c r="E1107" s="2">
        <v>-143</v>
      </c>
      <c r="F1107"/>
      <c r="G1107"/>
      <c r="H1107"/>
      <c r="I1107"/>
      <c r="J1107"/>
      <c r="K1107"/>
      <c r="L1107"/>
      <c r="M1107"/>
      <c r="N1107"/>
      <c r="O1107"/>
    </row>
    <row r="1108" spans="1:15" hidden="1" x14ac:dyDescent="0.25">
      <c r="A1108" t="s">
        <v>102</v>
      </c>
      <c r="B1108" t="s">
        <v>117</v>
      </c>
      <c r="C1108" t="b">
        <v>0</v>
      </c>
      <c r="D1108" s="1">
        <v>37803</v>
      </c>
      <c r="E1108" s="2">
        <v>-18.5</v>
      </c>
      <c r="F1108"/>
      <c r="G1108"/>
      <c r="H1108"/>
      <c r="I1108"/>
      <c r="J1108"/>
      <c r="K1108"/>
      <c r="L1108"/>
      <c r="M1108"/>
      <c r="N1108"/>
      <c r="O1108"/>
    </row>
    <row r="1109" spans="1:15" hidden="1" x14ac:dyDescent="0.25">
      <c r="A1109" t="s">
        <v>10</v>
      </c>
      <c r="B1109" t="s">
        <v>115</v>
      </c>
      <c r="C1109" t="b">
        <v>0</v>
      </c>
      <c r="D1109" s="1">
        <v>37803</v>
      </c>
      <c r="E1109">
        <v>1.5</v>
      </c>
      <c r="F1109"/>
      <c r="G1109"/>
      <c r="H1109"/>
      <c r="I1109"/>
      <c r="J1109"/>
      <c r="K1109"/>
      <c r="L1109"/>
      <c r="M1109"/>
      <c r="N1109"/>
      <c r="O1109"/>
    </row>
    <row r="1110" spans="1:15" hidden="1" x14ac:dyDescent="0.25">
      <c r="A1110" t="s">
        <v>108</v>
      </c>
      <c r="B1110" t="s">
        <v>115</v>
      </c>
      <c r="C1110" t="b">
        <v>0</v>
      </c>
      <c r="D1110" s="1">
        <v>37803</v>
      </c>
      <c r="E1110">
        <v>3</v>
      </c>
      <c r="F1110"/>
      <c r="G1110"/>
      <c r="H1110"/>
      <c r="I1110"/>
      <c r="J1110"/>
      <c r="K1110"/>
      <c r="L1110"/>
      <c r="M1110"/>
      <c r="N1110"/>
      <c r="O1110"/>
    </row>
    <row r="1111" spans="1:15" hidden="1" x14ac:dyDescent="0.25">
      <c r="A1111" t="s">
        <v>11</v>
      </c>
      <c r="B1111" t="s">
        <v>115</v>
      </c>
      <c r="C1111" t="b">
        <v>0</v>
      </c>
      <c r="D1111" s="1">
        <v>37803</v>
      </c>
      <c r="E1111">
        <v>3</v>
      </c>
      <c r="F1111"/>
      <c r="G1111"/>
      <c r="H1111"/>
      <c r="I1111"/>
      <c r="J1111"/>
      <c r="K1111"/>
      <c r="L1111"/>
      <c r="M1111"/>
      <c r="N1111"/>
      <c r="O1111"/>
    </row>
    <row r="1112" spans="1:15" hidden="1" x14ac:dyDescent="0.25">
      <c r="A1112" t="s">
        <v>12</v>
      </c>
      <c r="B1112" t="s">
        <v>115</v>
      </c>
      <c r="C1112" t="b">
        <v>0</v>
      </c>
      <c r="D1112" s="1">
        <v>37803</v>
      </c>
      <c r="E1112">
        <v>3</v>
      </c>
      <c r="F1112"/>
      <c r="G1112"/>
      <c r="H1112"/>
      <c r="I1112"/>
      <c r="J1112"/>
      <c r="K1112"/>
      <c r="L1112"/>
      <c r="M1112"/>
      <c r="N1112"/>
      <c r="O1112"/>
    </row>
    <row r="1113" spans="1:15" hidden="1" x14ac:dyDescent="0.25">
      <c r="A1113" t="s">
        <v>14</v>
      </c>
      <c r="B1113" t="s">
        <v>115</v>
      </c>
      <c r="C1113" t="b">
        <v>0</v>
      </c>
      <c r="D1113" s="1">
        <v>37803</v>
      </c>
      <c r="E1113">
        <v>3</v>
      </c>
      <c r="F1113"/>
      <c r="G1113"/>
      <c r="H1113"/>
      <c r="I1113"/>
      <c r="J1113"/>
      <c r="K1113"/>
      <c r="L1113"/>
      <c r="M1113"/>
      <c r="N1113"/>
      <c r="O1113"/>
    </row>
    <row r="1114" spans="1:15" hidden="1" x14ac:dyDescent="0.25">
      <c r="A1114" t="s">
        <v>18</v>
      </c>
      <c r="B1114" t="s">
        <v>115</v>
      </c>
      <c r="C1114" t="b">
        <v>0</v>
      </c>
      <c r="D1114" s="1">
        <v>37803</v>
      </c>
      <c r="E1114">
        <v>3</v>
      </c>
      <c r="F1114"/>
      <c r="G1114"/>
      <c r="H1114"/>
      <c r="I1114"/>
      <c r="J1114"/>
      <c r="K1114"/>
      <c r="L1114"/>
      <c r="M1114"/>
      <c r="N1114"/>
      <c r="O1114"/>
    </row>
    <row r="1115" spans="1:15" hidden="1" x14ac:dyDescent="0.25">
      <c r="A1115" t="s">
        <v>106</v>
      </c>
      <c r="B1115" t="s">
        <v>115</v>
      </c>
      <c r="C1115" t="b">
        <v>0</v>
      </c>
      <c r="D1115" s="1">
        <v>37803</v>
      </c>
      <c r="E1115">
        <v>1.5</v>
      </c>
      <c r="F1115"/>
      <c r="G1115"/>
      <c r="H1115"/>
      <c r="I1115"/>
      <c r="J1115"/>
      <c r="K1115"/>
      <c r="L1115"/>
      <c r="M1115"/>
      <c r="N1115"/>
      <c r="O1115"/>
    </row>
    <row r="1116" spans="1:15" hidden="1" x14ac:dyDescent="0.25">
      <c r="A1116" t="s">
        <v>106</v>
      </c>
      <c r="B1116" t="s">
        <v>115</v>
      </c>
      <c r="C1116" t="b">
        <v>0</v>
      </c>
      <c r="D1116" s="1">
        <v>37803</v>
      </c>
      <c r="E1116">
        <v>3</v>
      </c>
      <c r="F1116"/>
      <c r="G1116"/>
      <c r="H1116"/>
      <c r="I1116"/>
      <c r="J1116"/>
      <c r="K1116"/>
      <c r="L1116"/>
      <c r="M1116"/>
      <c r="N1116"/>
      <c r="O1116"/>
    </row>
    <row r="1117" spans="1:15" hidden="1" x14ac:dyDescent="0.25">
      <c r="A1117" t="s">
        <v>106</v>
      </c>
      <c r="B1117" t="s">
        <v>115</v>
      </c>
      <c r="C1117" t="b">
        <v>0</v>
      </c>
      <c r="D1117" s="1">
        <v>37803</v>
      </c>
      <c r="E1117">
        <v>3</v>
      </c>
      <c r="F1117"/>
      <c r="G1117"/>
      <c r="H1117"/>
      <c r="I1117"/>
      <c r="J1117"/>
      <c r="K1117"/>
      <c r="L1117"/>
      <c r="M1117"/>
      <c r="N1117"/>
      <c r="O1117"/>
    </row>
    <row r="1118" spans="1:15" hidden="1" x14ac:dyDescent="0.25">
      <c r="A1118" t="s">
        <v>106</v>
      </c>
      <c r="B1118" t="s">
        <v>115</v>
      </c>
      <c r="C1118" t="b">
        <v>0</v>
      </c>
      <c r="D1118" s="1">
        <v>37803</v>
      </c>
      <c r="E1118">
        <v>3</v>
      </c>
      <c r="F1118"/>
      <c r="G1118"/>
      <c r="H1118"/>
      <c r="I1118"/>
      <c r="J1118"/>
      <c r="K1118"/>
      <c r="L1118"/>
      <c r="M1118"/>
      <c r="N1118"/>
      <c r="O1118"/>
    </row>
    <row r="1119" spans="1:15" hidden="1" x14ac:dyDescent="0.25">
      <c r="A1119" t="s">
        <v>106</v>
      </c>
      <c r="B1119" t="s">
        <v>115</v>
      </c>
      <c r="C1119" t="b">
        <v>0</v>
      </c>
      <c r="D1119" s="1">
        <v>37803</v>
      </c>
      <c r="E1119">
        <v>3</v>
      </c>
      <c r="F1119"/>
      <c r="G1119"/>
      <c r="H1119"/>
      <c r="I1119"/>
      <c r="J1119"/>
      <c r="K1119"/>
      <c r="L1119"/>
      <c r="M1119"/>
      <c r="N1119"/>
      <c r="O1119"/>
    </row>
    <row r="1120" spans="1:15" hidden="1" x14ac:dyDescent="0.25">
      <c r="A1120" t="s">
        <v>106</v>
      </c>
      <c r="B1120" t="s">
        <v>115</v>
      </c>
      <c r="C1120" t="b">
        <v>0</v>
      </c>
      <c r="D1120" s="1">
        <v>37803</v>
      </c>
      <c r="E1120">
        <v>3</v>
      </c>
      <c r="F1120"/>
      <c r="G1120"/>
      <c r="H1120"/>
      <c r="I1120"/>
      <c r="J1120"/>
      <c r="K1120"/>
      <c r="L1120"/>
      <c r="M1120"/>
      <c r="N1120"/>
      <c r="O1120"/>
    </row>
    <row r="1121" spans="1:15" hidden="1" x14ac:dyDescent="0.25">
      <c r="A1121" t="s">
        <v>106</v>
      </c>
      <c r="B1121" t="s">
        <v>115</v>
      </c>
      <c r="C1121" t="b">
        <v>0</v>
      </c>
      <c r="D1121" s="1">
        <v>37803</v>
      </c>
      <c r="E1121">
        <v>3</v>
      </c>
      <c r="F1121"/>
      <c r="G1121"/>
      <c r="H1121"/>
      <c r="I1121"/>
      <c r="J1121"/>
      <c r="K1121"/>
      <c r="L1121"/>
      <c r="M1121"/>
      <c r="N1121"/>
      <c r="O1121"/>
    </row>
    <row r="1122" spans="1:15" hidden="1" x14ac:dyDescent="0.25">
      <c r="A1122" t="s">
        <v>106</v>
      </c>
      <c r="B1122" t="s">
        <v>115</v>
      </c>
      <c r="C1122" t="b">
        <v>0</v>
      </c>
      <c r="D1122" s="1">
        <v>37803</v>
      </c>
      <c r="E1122">
        <v>3</v>
      </c>
      <c r="F1122"/>
      <c r="G1122"/>
      <c r="H1122"/>
      <c r="I1122"/>
      <c r="J1122"/>
      <c r="K1122"/>
      <c r="L1122"/>
      <c r="M1122"/>
      <c r="N1122"/>
      <c r="O1122"/>
    </row>
    <row r="1123" spans="1:15" hidden="1" x14ac:dyDescent="0.25">
      <c r="A1123" t="s">
        <v>106</v>
      </c>
      <c r="B1123" t="s">
        <v>115</v>
      </c>
      <c r="C1123" t="b">
        <v>0</v>
      </c>
      <c r="D1123" s="1">
        <v>37803</v>
      </c>
      <c r="E1123">
        <v>3</v>
      </c>
      <c r="F1123"/>
      <c r="G1123"/>
      <c r="H1123"/>
      <c r="I1123"/>
      <c r="J1123"/>
      <c r="K1123"/>
      <c r="L1123"/>
      <c r="M1123"/>
      <c r="N1123"/>
      <c r="O1123"/>
    </row>
    <row r="1124" spans="1:15" hidden="1" x14ac:dyDescent="0.25">
      <c r="A1124" t="s">
        <v>106</v>
      </c>
      <c r="B1124" t="s">
        <v>115</v>
      </c>
      <c r="C1124" t="b">
        <v>0</v>
      </c>
      <c r="D1124" s="1">
        <v>37803</v>
      </c>
      <c r="E1124">
        <v>3</v>
      </c>
      <c r="F1124"/>
      <c r="G1124"/>
      <c r="H1124"/>
      <c r="I1124"/>
      <c r="J1124"/>
      <c r="K1124"/>
      <c r="L1124"/>
      <c r="M1124"/>
      <c r="N1124"/>
      <c r="O1124"/>
    </row>
    <row r="1125" spans="1:15" hidden="1" x14ac:dyDescent="0.25">
      <c r="A1125" t="s">
        <v>106</v>
      </c>
      <c r="B1125" t="s">
        <v>115</v>
      </c>
      <c r="C1125" t="b">
        <v>0</v>
      </c>
      <c r="D1125" s="1">
        <v>37803</v>
      </c>
      <c r="E1125">
        <v>3</v>
      </c>
      <c r="F1125"/>
      <c r="G1125"/>
      <c r="H1125"/>
      <c r="I1125"/>
      <c r="J1125"/>
      <c r="K1125"/>
      <c r="L1125"/>
      <c r="M1125"/>
      <c r="N1125"/>
      <c r="O1125"/>
    </row>
    <row r="1126" spans="1:15" hidden="1" x14ac:dyDescent="0.25">
      <c r="A1126" t="s">
        <v>106</v>
      </c>
      <c r="B1126" t="s">
        <v>115</v>
      </c>
      <c r="C1126" t="b">
        <v>0</v>
      </c>
      <c r="D1126" s="1">
        <v>37803</v>
      </c>
      <c r="E1126">
        <v>3</v>
      </c>
      <c r="F1126"/>
      <c r="G1126"/>
      <c r="H1126"/>
      <c r="I1126"/>
      <c r="J1126"/>
      <c r="K1126"/>
      <c r="L1126"/>
      <c r="M1126"/>
      <c r="N1126"/>
      <c r="O1126"/>
    </row>
    <row r="1127" spans="1:15" hidden="1" x14ac:dyDescent="0.25">
      <c r="A1127" t="s">
        <v>106</v>
      </c>
      <c r="B1127" t="s">
        <v>115</v>
      </c>
      <c r="C1127" t="b">
        <v>0</v>
      </c>
      <c r="D1127" s="1">
        <v>37803</v>
      </c>
      <c r="E1127">
        <v>3</v>
      </c>
      <c r="F1127"/>
      <c r="G1127"/>
      <c r="H1127"/>
      <c r="I1127"/>
      <c r="J1127"/>
      <c r="K1127"/>
      <c r="L1127"/>
      <c r="M1127"/>
      <c r="N1127"/>
      <c r="O1127"/>
    </row>
    <row r="1128" spans="1:15" hidden="1" x14ac:dyDescent="0.25">
      <c r="A1128" t="s">
        <v>106</v>
      </c>
      <c r="B1128" t="s">
        <v>115</v>
      </c>
      <c r="C1128" t="b">
        <v>0</v>
      </c>
      <c r="D1128" s="1">
        <v>37803</v>
      </c>
      <c r="E1128">
        <v>3</v>
      </c>
      <c r="F1128"/>
      <c r="G1128"/>
      <c r="H1128"/>
      <c r="I1128"/>
      <c r="J1128"/>
      <c r="K1128"/>
      <c r="L1128"/>
      <c r="M1128"/>
      <c r="N1128"/>
      <c r="O1128"/>
    </row>
    <row r="1129" spans="1:15" hidden="1" x14ac:dyDescent="0.25">
      <c r="A1129" t="s">
        <v>106</v>
      </c>
      <c r="B1129" t="s">
        <v>115</v>
      </c>
      <c r="C1129" t="b">
        <v>0</v>
      </c>
      <c r="D1129" s="1">
        <v>37803</v>
      </c>
      <c r="E1129">
        <v>3</v>
      </c>
      <c r="F1129"/>
      <c r="G1129"/>
      <c r="H1129"/>
      <c r="I1129"/>
      <c r="J1129"/>
      <c r="K1129"/>
      <c r="L1129"/>
      <c r="M1129"/>
      <c r="N1129"/>
      <c r="O1129"/>
    </row>
    <row r="1130" spans="1:15" hidden="1" x14ac:dyDescent="0.25">
      <c r="A1130" t="s">
        <v>106</v>
      </c>
      <c r="B1130" t="s">
        <v>115</v>
      </c>
      <c r="C1130" t="b">
        <v>0</v>
      </c>
      <c r="D1130" s="1">
        <v>37803</v>
      </c>
      <c r="E1130">
        <v>3</v>
      </c>
      <c r="F1130"/>
      <c r="G1130"/>
      <c r="H1130"/>
      <c r="I1130"/>
      <c r="J1130"/>
      <c r="K1130"/>
      <c r="L1130"/>
      <c r="M1130"/>
      <c r="N1130"/>
      <c r="O1130"/>
    </row>
    <row r="1131" spans="1:15" hidden="1" x14ac:dyDescent="0.25">
      <c r="A1131" t="s">
        <v>106</v>
      </c>
      <c r="B1131" t="s">
        <v>115</v>
      </c>
      <c r="C1131" t="b">
        <v>0</v>
      </c>
      <c r="D1131" s="1">
        <v>37803</v>
      </c>
      <c r="E1131">
        <v>3</v>
      </c>
      <c r="F1131"/>
      <c r="G1131"/>
      <c r="H1131"/>
      <c r="I1131"/>
      <c r="J1131"/>
      <c r="K1131"/>
      <c r="L1131"/>
      <c r="M1131"/>
      <c r="N1131"/>
      <c r="O1131"/>
    </row>
    <row r="1132" spans="1:15" hidden="1" x14ac:dyDescent="0.25">
      <c r="A1132" t="s">
        <v>106</v>
      </c>
      <c r="B1132" t="s">
        <v>115</v>
      </c>
      <c r="C1132" t="b">
        <v>0</v>
      </c>
      <c r="D1132" s="1">
        <v>37803</v>
      </c>
      <c r="E1132">
        <v>3</v>
      </c>
      <c r="F1132"/>
      <c r="G1132"/>
      <c r="H1132"/>
      <c r="I1132"/>
      <c r="J1132"/>
      <c r="K1132"/>
      <c r="L1132"/>
      <c r="M1132"/>
      <c r="N1132"/>
      <c r="O1132"/>
    </row>
    <row r="1133" spans="1:15" hidden="1" x14ac:dyDescent="0.25">
      <c r="A1133" t="s">
        <v>106</v>
      </c>
      <c r="B1133" t="s">
        <v>115</v>
      </c>
      <c r="C1133" t="b">
        <v>0</v>
      </c>
      <c r="D1133" s="1">
        <v>37803</v>
      </c>
      <c r="E1133">
        <v>3</v>
      </c>
      <c r="F1133"/>
      <c r="G1133"/>
      <c r="H1133"/>
      <c r="I1133"/>
      <c r="J1133"/>
      <c r="K1133"/>
      <c r="L1133"/>
      <c r="M1133"/>
      <c r="N1133"/>
      <c r="O1133"/>
    </row>
    <row r="1134" spans="1:15" hidden="1" x14ac:dyDescent="0.25">
      <c r="A1134" t="s">
        <v>106</v>
      </c>
      <c r="B1134" t="s">
        <v>115</v>
      </c>
      <c r="C1134" t="b">
        <v>0</v>
      </c>
      <c r="D1134" s="1">
        <v>37803</v>
      </c>
      <c r="E1134">
        <v>3</v>
      </c>
      <c r="F1134"/>
      <c r="G1134"/>
      <c r="H1134"/>
      <c r="I1134"/>
      <c r="J1134"/>
      <c r="K1134"/>
      <c r="L1134"/>
      <c r="M1134"/>
      <c r="N1134"/>
      <c r="O1134"/>
    </row>
    <row r="1135" spans="1:15" hidden="1" x14ac:dyDescent="0.25">
      <c r="A1135" t="s">
        <v>106</v>
      </c>
      <c r="B1135" t="s">
        <v>115</v>
      </c>
      <c r="C1135" t="b">
        <v>0</v>
      </c>
      <c r="D1135" s="1">
        <v>37803</v>
      </c>
      <c r="E1135">
        <v>3</v>
      </c>
      <c r="F1135"/>
      <c r="G1135"/>
      <c r="H1135"/>
      <c r="I1135"/>
      <c r="J1135"/>
      <c r="K1135"/>
      <c r="L1135"/>
      <c r="M1135"/>
      <c r="N1135"/>
      <c r="O1135"/>
    </row>
    <row r="1136" spans="1:15" hidden="1" x14ac:dyDescent="0.25">
      <c r="A1136" t="s">
        <v>106</v>
      </c>
      <c r="B1136" t="s">
        <v>115</v>
      </c>
      <c r="C1136" t="b">
        <v>0</v>
      </c>
      <c r="D1136" s="1">
        <v>37803</v>
      </c>
      <c r="E1136">
        <v>3</v>
      </c>
      <c r="F1136"/>
      <c r="G1136"/>
      <c r="H1136"/>
      <c r="I1136"/>
      <c r="J1136"/>
      <c r="K1136"/>
      <c r="L1136"/>
      <c r="M1136"/>
      <c r="N1136"/>
      <c r="O1136"/>
    </row>
    <row r="1137" spans="1:15" hidden="1" x14ac:dyDescent="0.25">
      <c r="A1137" t="s">
        <v>106</v>
      </c>
      <c r="B1137" t="s">
        <v>115</v>
      </c>
      <c r="C1137" t="b">
        <v>0</v>
      </c>
      <c r="D1137" s="1">
        <v>37803</v>
      </c>
      <c r="E1137">
        <v>3</v>
      </c>
      <c r="F1137"/>
      <c r="G1137"/>
      <c r="H1137"/>
      <c r="I1137"/>
      <c r="J1137"/>
      <c r="K1137"/>
      <c r="L1137"/>
      <c r="M1137"/>
      <c r="N1137"/>
      <c r="O1137"/>
    </row>
    <row r="1138" spans="1:15" hidden="1" x14ac:dyDescent="0.25">
      <c r="A1138" t="s">
        <v>106</v>
      </c>
      <c r="B1138" t="s">
        <v>115</v>
      </c>
      <c r="C1138" t="b">
        <v>0</v>
      </c>
      <c r="D1138" s="1">
        <v>37803</v>
      </c>
      <c r="E1138">
        <v>3</v>
      </c>
      <c r="F1138"/>
      <c r="G1138"/>
      <c r="H1138"/>
      <c r="I1138"/>
      <c r="J1138"/>
      <c r="K1138"/>
      <c r="L1138"/>
      <c r="M1138"/>
      <c r="N1138"/>
      <c r="O1138"/>
    </row>
    <row r="1139" spans="1:15" hidden="1" x14ac:dyDescent="0.25">
      <c r="A1139" t="s">
        <v>106</v>
      </c>
      <c r="B1139" t="s">
        <v>115</v>
      </c>
      <c r="C1139" t="b">
        <v>0</v>
      </c>
      <c r="D1139" s="1">
        <v>37803</v>
      </c>
      <c r="E1139">
        <v>3</v>
      </c>
      <c r="F1139"/>
      <c r="G1139"/>
      <c r="H1139"/>
      <c r="I1139"/>
      <c r="J1139"/>
      <c r="K1139"/>
      <c r="L1139"/>
      <c r="M1139"/>
      <c r="N1139"/>
      <c r="O1139"/>
    </row>
    <row r="1140" spans="1:15" hidden="1" x14ac:dyDescent="0.25">
      <c r="A1140" t="s">
        <v>106</v>
      </c>
      <c r="B1140" t="s">
        <v>115</v>
      </c>
      <c r="C1140" t="b">
        <v>0</v>
      </c>
      <c r="D1140" s="1">
        <v>37803</v>
      </c>
      <c r="E1140">
        <v>3</v>
      </c>
      <c r="F1140"/>
      <c r="G1140"/>
      <c r="H1140"/>
      <c r="I1140"/>
      <c r="J1140"/>
      <c r="K1140"/>
      <c r="L1140"/>
      <c r="M1140"/>
      <c r="N1140"/>
      <c r="O1140"/>
    </row>
    <row r="1141" spans="1:15" hidden="1" x14ac:dyDescent="0.25">
      <c r="A1141" t="s">
        <v>106</v>
      </c>
      <c r="B1141" t="s">
        <v>115</v>
      </c>
      <c r="C1141" t="b">
        <v>0</v>
      </c>
      <c r="D1141" s="1">
        <v>37803</v>
      </c>
      <c r="E1141">
        <v>3</v>
      </c>
      <c r="F1141"/>
      <c r="G1141"/>
      <c r="H1141"/>
      <c r="I1141"/>
      <c r="J1141"/>
      <c r="K1141"/>
      <c r="L1141"/>
      <c r="M1141"/>
      <c r="N1141"/>
      <c r="O1141"/>
    </row>
    <row r="1142" spans="1:15" hidden="1" x14ac:dyDescent="0.25">
      <c r="A1142" t="s">
        <v>106</v>
      </c>
      <c r="B1142" t="s">
        <v>115</v>
      </c>
      <c r="C1142" t="b">
        <v>0</v>
      </c>
      <c r="D1142" s="1">
        <v>37803</v>
      </c>
      <c r="E1142">
        <v>3</v>
      </c>
      <c r="F1142"/>
      <c r="G1142"/>
      <c r="H1142"/>
      <c r="I1142"/>
      <c r="J1142"/>
      <c r="K1142"/>
      <c r="L1142"/>
      <c r="M1142"/>
      <c r="N1142"/>
      <c r="O1142"/>
    </row>
    <row r="1143" spans="1:15" hidden="1" x14ac:dyDescent="0.25">
      <c r="A1143" t="s">
        <v>106</v>
      </c>
      <c r="B1143" t="s">
        <v>115</v>
      </c>
      <c r="C1143" t="b">
        <v>0</v>
      </c>
      <c r="D1143" s="1">
        <v>37803</v>
      </c>
      <c r="E1143">
        <v>3</v>
      </c>
      <c r="F1143"/>
      <c r="G1143"/>
      <c r="H1143"/>
      <c r="I1143"/>
      <c r="J1143"/>
      <c r="K1143"/>
      <c r="L1143"/>
      <c r="M1143"/>
      <c r="N1143"/>
      <c r="O1143"/>
    </row>
    <row r="1144" spans="1:15" hidden="1" x14ac:dyDescent="0.25">
      <c r="A1144" t="s">
        <v>106</v>
      </c>
      <c r="B1144" t="s">
        <v>115</v>
      </c>
      <c r="C1144" t="b">
        <v>0</v>
      </c>
      <c r="D1144" s="1">
        <v>37803</v>
      </c>
      <c r="E1144">
        <v>2</v>
      </c>
      <c r="F1144"/>
      <c r="G1144"/>
      <c r="H1144"/>
      <c r="I1144"/>
      <c r="J1144"/>
      <c r="K1144"/>
      <c r="L1144"/>
      <c r="M1144"/>
      <c r="N1144"/>
      <c r="O1144"/>
    </row>
    <row r="1145" spans="1:15" hidden="1" x14ac:dyDescent="0.25">
      <c r="A1145" t="s">
        <v>19</v>
      </c>
      <c r="B1145" t="s">
        <v>115</v>
      </c>
      <c r="C1145" t="b">
        <v>0</v>
      </c>
      <c r="D1145" s="1">
        <v>37803</v>
      </c>
      <c r="E1145">
        <v>3</v>
      </c>
      <c r="F1145"/>
      <c r="G1145"/>
      <c r="H1145"/>
      <c r="I1145"/>
      <c r="J1145"/>
      <c r="K1145"/>
      <c r="L1145"/>
      <c r="M1145"/>
      <c r="N1145"/>
      <c r="O1145"/>
    </row>
    <row r="1146" spans="1:15" hidden="1" x14ac:dyDescent="0.25">
      <c r="A1146" t="s">
        <v>30</v>
      </c>
      <c r="B1146" t="s">
        <v>115</v>
      </c>
      <c r="C1146" t="b">
        <v>0</v>
      </c>
      <c r="D1146" s="1">
        <v>37803</v>
      </c>
      <c r="E1146">
        <v>3</v>
      </c>
      <c r="F1146"/>
      <c r="G1146"/>
      <c r="H1146"/>
      <c r="I1146"/>
      <c r="J1146"/>
      <c r="K1146"/>
      <c r="L1146"/>
      <c r="M1146"/>
      <c r="N1146"/>
      <c r="O1146"/>
    </row>
    <row r="1147" spans="1:15" hidden="1" x14ac:dyDescent="0.25">
      <c r="A1147" t="s">
        <v>39</v>
      </c>
      <c r="B1147" t="s">
        <v>115</v>
      </c>
      <c r="C1147" t="b">
        <v>0</v>
      </c>
      <c r="D1147" s="1">
        <v>37803</v>
      </c>
      <c r="E1147">
        <v>3</v>
      </c>
      <c r="F1147"/>
      <c r="G1147"/>
      <c r="H1147"/>
      <c r="I1147"/>
      <c r="J1147"/>
      <c r="K1147"/>
      <c r="L1147"/>
      <c r="M1147"/>
      <c r="N1147"/>
      <c r="O1147"/>
    </row>
    <row r="1148" spans="1:15" hidden="1" x14ac:dyDescent="0.25">
      <c r="A1148" t="s">
        <v>57</v>
      </c>
      <c r="B1148" t="s">
        <v>115</v>
      </c>
      <c r="C1148" t="b">
        <v>0</v>
      </c>
      <c r="D1148" s="1">
        <v>37803</v>
      </c>
      <c r="E1148">
        <v>3</v>
      </c>
      <c r="F1148"/>
      <c r="G1148"/>
      <c r="H1148"/>
      <c r="I1148"/>
      <c r="J1148"/>
      <c r="K1148"/>
      <c r="L1148"/>
      <c r="M1148"/>
      <c r="N1148"/>
      <c r="O1148"/>
    </row>
    <row r="1149" spans="1:15" hidden="1" x14ac:dyDescent="0.25">
      <c r="A1149" t="s">
        <v>69</v>
      </c>
      <c r="B1149" t="s">
        <v>115</v>
      </c>
      <c r="C1149" t="b">
        <v>0</v>
      </c>
      <c r="D1149" s="1">
        <v>37803</v>
      </c>
      <c r="E1149">
        <v>3</v>
      </c>
      <c r="F1149"/>
      <c r="G1149"/>
      <c r="H1149"/>
      <c r="I1149"/>
      <c r="J1149"/>
      <c r="K1149"/>
      <c r="L1149"/>
      <c r="M1149"/>
      <c r="N1149"/>
      <c r="O1149"/>
    </row>
    <row r="1150" spans="1:15" hidden="1" x14ac:dyDescent="0.25">
      <c r="A1150" t="s">
        <v>86</v>
      </c>
      <c r="B1150" t="s">
        <v>115</v>
      </c>
      <c r="C1150" t="b">
        <v>0</v>
      </c>
      <c r="D1150" s="1">
        <v>37803</v>
      </c>
      <c r="E1150">
        <v>3</v>
      </c>
      <c r="F1150"/>
      <c r="G1150"/>
      <c r="H1150"/>
      <c r="I1150"/>
      <c r="J1150"/>
      <c r="K1150"/>
      <c r="L1150"/>
      <c r="M1150"/>
      <c r="N1150"/>
      <c r="O1150"/>
    </row>
    <row r="1151" spans="1:15" hidden="1" x14ac:dyDescent="0.25">
      <c r="A1151" t="s">
        <v>99</v>
      </c>
      <c r="B1151" t="s">
        <v>114</v>
      </c>
      <c r="C1151" t="b">
        <v>0</v>
      </c>
      <c r="D1151" s="1">
        <v>37803</v>
      </c>
      <c r="E1151">
        <v>10.299999999999999</v>
      </c>
      <c r="F1151"/>
      <c r="G1151"/>
      <c r="H1151"/>
      <c r="I1151"/>
      <c r="J1151"/>
      <c r="K1151"/>
      <c r="L1151"/>
      <c r="M1151"/>
      <c r="N1151"/>
      <c r="O1151"/>
    </row>
    <row r="1152" spans="1:15" hidden="1" x14ac:dyDescent="0.25">
      <c r="A1152" t="s">
        <v>102</v>
      </c>
      <c r="B1152" t="s">
        <v>117</v>
      </c>
      <c r="C1152" t="b">
        <v>0</v>
      </c>
      <c r="D1152" s="1">
        <v>37834</v>
      </c>
      <c r="E1152" s="2">
        <v>-24.769999999999996</v>
      </c>
      <c r="F1152"/>
      <c r="G1152"/>
      <c r="H1152"/>
      <c r="I1152"/>
      <c r="J1152"/>
      <c r="K1152"/>
      <c r="L1152"/>
      <c r="M1152"/>
      <c r="N1152"/>
      <c r="O1152"/>
    </row>
    <row r="1153" spans="1:15" hidden="1" x14ac:dyDescent="0.25">
      <c r="A1153" t="s">
        <v>103</v>
      </c>
      <c r="B1153" t="s">
        <v>117</v>
      </c>
      <c r="C1153" t="b">
        <v>0</v>
      </c>
      <c r="D1153" s="1">
        <v>37834</v>
      </c>
      <c r="E1153" s="2">
        <v>-2.2000000000000002</v>
      </c>
      <c r="F1153"/>
      <c r="G1153"/>
      <c r="H1153"/>
      <c r="I1153"/>
      <c r="J1153"/>
      <c r="K1153"/>
      <c r="L1153"/>
      <c r="M1153"/>
      <c r="N1153"/>
      <c r="O1153"/>
    </row>
    <row r="1154" spans="1:15" hidden="1" x14ac:dyDescent="0.25">
      <c r="A1154" t="s">
        <v>101</v>
      </c>
      <c r="B1154" t="s">
        <v>117</v>
      </c>
      <c r="C1154" t="b">
        <v>0</v>
      </c>
      <c r="D1154" s="1">
        <v>37834</v>
      </c>
      <c r="E1154" s="2">
        <v>-11.260000000000002</v>
      </c>
      <c r="F1154"/>
      <c r="G1154"/>
      <c r="H1154"/>
      <c r="I1154"/>
      <c r="J1154"/>
      <c r="K1154"/>
      <c r="L1154"/>
      <c r="M1154"/>
      <c r="N1154"/>
      <c r="O1154"/>
    </row>
    <row r="1155" spans="1:15" hidden="1" x14ac:dyDescent="0.25">
      <c r="A1155" t="s">
        <v>11</v>
      </c>
      <c r="B1155" t="s">
        <v>115</v>
      </c>
      <c r="C1155" t="b">
        <v>0</v>
      </c>
      <c r="D1155" s="1">
        <v>37834</v>
      </c>
      <c r="E1155">
        <v>3</v>
      </c>
      <c r="F1155"/>
      <c r="G1155"/>
      <c r="H1155"/>
      <c r="I1155"/>
      <c r="J1155"/>
      <c r="K1155"/>
      <c r="L1155"/>
      <c r="M1155"/>
      <c r="N1155"/>
      <c r="O1155"/>
    </row>
    <row r="1156" spans="1:15" hidden="1" x14ac:dyDescent="0.25">
      <c r="A1156" t="s">
        <v>12</v>
      </c>
      <c r="B1156" t="s">
        <v>115</v>
      </c>
      <c r="C1156" t="b">
        <v>0</v>
      </c>
      <c r="D1156" s="1">
        <v>37834</v>
      </c>
      <c r="E1156">
        <v>3</v>
      </c>
      <c r="F1156"/>
      <c r="G1156"/>
      <c r="H1156"/>
      <c r="I1156"/>
      <c r="J1156"/>
      <c r="K1156"/>
      <c r="L1156"/>
      <c r="M1156"/>
      <c r="N1156"/>
      <c r="O1156"/>
    </row>
    <row r="1157" spans="1:15" hidden="1" x14ac:dyDescent="0.25">
      <c r="A1157" t="s">
        <v>14</v>
      </c>
      <c r="B1157" t="s">
        <v>115</v>
      </c>
      <c r="C1157" t="b">
        <v>0</v>
      </c>
      <c r="D1157" s="1">
        <v>37834</v>
      </c>
      <c r="E1157">
        <v>3</v>
      </c>
      <c r="F1157"/>
      <c r="G1157"/>
      <c r="H1157"/>
      <c r="I1157"/>
      <c r="J1157"/>
      <c r="K1157"/>
      <c r="L1157"/>
      <c r="M1157"/>
      <c r="N1157"/>
      <c r="O1157"/>
    </row>
    <row r="1158" spans="1:15" hidden="1" x14ac:dyDescent="0.25">
      <c r="A1158" t="s">
        <v>18</v>
      </c>
      <c r="B1158" t="s">
        <v>115</v>
      </c>
      <c r="C1158" t="b">
        <v>0</v>
      </c>
      <c r="D1158" s="1">
        <v>37834</v>
      </c>
      <c r="E1158">
        <v>3</v>
      </c>
      <c r="F1158"/>
      <c r="G1158"/>
      <c r="H1158"/>
      <c r="I1158"/>
      <c r="J1158"/>
      <c r="K1158"/>
      <c r="L1158"/>
      <c r="M1158"/>
      <c r="N1158"/>
      <c r="O1158"/>
    </row>
    <row r="1159" spans="1:15" hidden="1" x14ac:dyDescent="0.25">
      <c r="A1159" t="s">
        <v>106</v>
      </c>
      <c r="B1159" t="s">
        <v>115</v>
      </c>
      <c r="C1159" t="b">
        <v>0</v>
      </c>
      <c r="D1159" s="1">
        <v>37834</v>
      </c>
      <c r="E1159">
        <v>3</v>
      </c>
      <c r="F1159"/>
      <c r="G1159"/>
      <c r="H1159"/>
      <c r="I1159"/>
      <c r="J1159"/>
      <c r="K1159"/>
      <c r="L1159"/>
      <c r="M1159"/>
      <c r="N1159"/>
      <c r="O1159"/>
    </row>
    <row r="1160" spans="1:15" hidden="1" x14ac:dyDescent="0.25">
      <c r="A1160" t="s">
        <v>106</v>
      </c>
      <c r="B1160" t="s">
        <v>115</v>
      </c>
      <c r="C1160" t="b">
        <v>0</v>
      </c>
      <c r="D1160" s="1">
        <v>37834</v>
      </c>
      <c r="E1160">
        <v>3</v>
      </c>
      <c r="F1160"/>
      <c r="G1160"/>
      <c r="H1160"/>
      <c r="I1160"/>
      <c r="J1160"/>
      <c r="K1160"/>
      <c r="L1160"/>
      <c r="M1160"/>
      <c r="N1160"/>
      <c r="O1160"/>
    </row>
    <row r="1161" spans="1:15" hidden="1" x14ac:dyDescent="0.25">
      <c r="A1161" t="s">
        <v>106</v>
      </c>
      <c r="B1161" t="s">
        <v>115</v>
      </c>
      <c r="C1161" t="b">
        <v>0</v>
      </c>
      <c r="D1161" s="1">
        <v>37834</v>
      </c>
      <c r="E1161">
        <v>3</v>
      </c>
      <c r="F1161"/>
      <c r="G1161"/>
      <c r="H1161"/>
      <c r="I1161"/>
      <c r="J1161"/>
      <c r="K1161"/>
      <c r="L1161"/>
      <c r="M1161"/>
      <c r="N1161"/>
      <c r="O1161"/>
    </row>
    <row r="1162" spans="1:15" hidden="1" x14ac:dyDescent="0.25">
      <c r="A1162" t="s">
        <v>106</v>
      </c>
      <c r="B1162" t="s">
        <v>115</v>
      </c>
      <c r="C1162" t="b">
        <v>0</v>
      </c>
      <c r="D1162" s="1">
        <v>37834</v>
      </c>
      <c r="E1162">
        <v>3</v>
      </c>
      <c r="F1162"/>
      <c r="G1162"/>
      <c r="H1162"/>
      <c r="I1162"/>
      <c r="J1162"/>
      <c r="K1162"/>
      <c r="L1162"/>
      <c r="M1162"/>
      <c r="N1162"/>
      <c r="O1162"/>
    </row>
    <row r="1163" spans="1:15" hidden="1" x14ac:dyDescent="0.25">
      <c r="A1163" t="s">
        <v>106</v>
      </c>
      <c r="B1163" t="s">
        <v>115</v>
      </c>
      <c r="C1163" t="b">
        <v>0</v>
      </c>
      <c r="D1163" s="1">
        <v>37834</v>
      </c>
      <c r="E1163">
        <v>3</v>
      </c>
      <c r="F1163"/>
      <c r="G1163"/>
      <c r="H1163"/>
      <c r="I1163"/>
      <c r="J1163"/>
      <c r="K1163"/>
      <c r="L1163"/>
      <c r="M1163"/>
      <c r="N1163"/>
      <c r="O1163"/>
    </row>
    <row r="1164" spans="1:15" hidden="1" x14ac:dyDescent="0.25">
      <c r="A1164" t="s">
        <v>106</v>
      </c>
      <c r="B1164" t="s">
        <v>115</v>
      </c>
      <c r="C1164" t="b">
        <v>0</v>
      </c>
      <c r="D1164" s="1">
        <v>37834</v>
      </c>
      <c r="E1164">
        <v>3</v>
      </c>
      <c r="F1164"/>
      <c r="G1164"/>
      <c r="H1164"/>
      <c r="I1164"/>
      <c r="J1164"/>
      <c r="K1164"/>
      <c r="L1164"/>
      <c r="M1164"/>
      <c r="N1164"/>
      <c r="O1164"/>
    </row>
    <row r="1165" spans="1:15" hidden="1" x14ac:dyDescent="0.25">
      <c r="A1165" t="s">
        <v>106</v>
      </c>
      <c r="B1165" t="s">
        <v>115</v>
      </c>
      <c r="C1165" t="b">
        <v>0</v>
      </c>
      <c r="D1165" s="1">
        <v>37834</v>
      </c>
      <c r="E1165">
        <v>3</v>
      </c>
      <c r="F1165"/>
      <c r="G1165"/>
      <c r="H1165"/>
      <c r="I1165"/>
      <c r="J1165"/>
      <c r="K1165"/>
      <c r="L1165"/>
      <c r="M1165"/>
      <c r="N1165"/>
      <c r="O1165"/>
    </row>
    <row r="1166" spans="1:15" hidden="1" x14ac:dyDescent="0.25">
      <c r="A1166" t="s">
        <v>106</v>
      </c>
      <c r="B1166" t="s">
        <v>115</v>
      </c>
      <c r="C1166" t="b">
        <v>0</v>
      </c>
      <c r="D1166" s="1">
        <v>37834</v>
      </c>
      <c r="E1166">
        <v>3</v>
      </c>
      <c r="F1166"/>
      <c r="G1166"/>
      <c r="H1166"/>
      <c r="I1166"/>
      <c r="J1166"/>
      <c r="K1166"/>
      <c r="L1166"/>
      <c r="M1166"/>
      <c r="N1166"/>
      <c r="O1166"/>
    </row>
    <row r="1167" spans="1:15" hidden="1" x14ac:dyDescent="0.25">
      <c r="A1167" t="s">
        <v>106</v>
      </c>
      <c r="B1167" t="s">
        <v>115</v>
      </c>
      <c r="C1167" t="b">
        <v>0</v>
      </c>
      <c r="D1167" s="1">
        <v>37834</v>
      </c>
      <c r="E1167">
        <v>3</v>
      </c>
      <c r="F1167"/>
      <c r="G1167"/>
      <c r="H1167"/>
      <c r="I1167"/>
      <c r="J1167"/>
      <c r="K1167"/>
      <c r="L1167"/>
      <c r="M1167"/>
      <c r="N1167"/>
      <c r="O1167"/>
    </row>
    <row r="1168" spans="1:15" hidden="1" x14ac:dyDescent="0.25">
      <c r="A1168" t="s">
        <v>106</v>
      </c>
      <c r="B1168" t="s">
        <v>115</v>
      </c>
      <c r="C1168" t="b">
        <v>0</v>
      </c>
      <c r="D1168" s="1">
        <v>37834</v>
      </c>
      <c r="E1168">
        <v>3</v>
      </c>
      <c r="F1168"/>
      <c r="G1168"/>
      <c r="H1168"/>
      <c r="I1168"/>
      <c r="J1168"/>
      <c r="K1168"/>
      <c r="L1168"/>
      <c r="M1168"/>
      <c r="N1168"/>
      <c r="O1168"/>
    </row>
    <row r="1169" spans="1:15" hidden="1" x14ac:dyDescent="0.25">
      <c r="A1169" t="s">
        <v>106</v>
      </c>
      <c r="B1169" t="s">
        <v>115</v>
      </c>
      <c r="C1169" t="b">
        <v>0</v>
      </c>
      <c r="D1169" s="1">
        <v>37834</v>
      </c>
      <c r="E1169">
        <v>3</v>
      </c>
      <c r="F1169"/>
      <c r="G1169"/>
      <c r="H1169"/>
      <c r="I1169"/>
      <c r="J1169"/>
      <c r="K1169"/>
      <c r="L1169"/>
      <c r="M1169"/>
      <c r="N1169"/>
      <c r="O1169"/>
    </row>
    <row r="1170" spans="1:15" hidden="1" x14ac:dyDescent="0.25">
      <c r="A1170" t="s">
        <v>106</v>
      </c>
      <c r="B1170" t="s">
        <v>115</v>
      </c>
      <c r="C1170" t="b">
        <v>0</v>
      </c>
      <c r="D1170" s="1">
        <v>37834</v>
      </c>
      <c r="E1170">
        <v>3</v>
      </c>
      <c r="F1170"/>
      <c r="G1170"/>
      <c r="H1170"/>
      <c r="I1170"/>
      <c r="J1170"/>
      <c r="K1170"/>
      <c r="L1170"/>
      <c r="M1170"/>
      <c r="N1170"/>
      <c r="O1170"/>
    </row>
    <row r="1171" spans="1:15" hidden="1" x14ac:dyDescent="0.25">
      <c r="A1171" t="s">
        <v>106</v>
      </c>
      <c r="B1171" t="s">
        <v>115</v>
      </c>
      <c r="C1171" t="b">
        <v>0</v>
      </c>
      <c r="D1171" s="1">
        <v>37834</v>
      </c>
      <c r="E1171">
        <v>3</v>
      </c>
      <c r="F1171"/>
      <c r="G1171"/>
      <c r="H1171"/>
      <c r="I1171"/>
      <c r="J1171"/>
      <c r="K1171"/>
      <c r="L1171"/>
      <c r="M1171"/>
      <c r="N1171"/>
      <c r="O1171"/>
    </row>
    <row r="1172" spans="1:15" hidden="1" x14ac:dyDescent="0.25">
      <c r="A1172" t="s">
        <v>106</v>
      </c>
      <c r="B1172" t="s">
        <v>115</v>
      </c>
      <c r="C1172" t="b">
        <v>0</v>
      </c>
      <c r="D1172" s="1">
        <v>37834</v>
      </c>
      <c r="E1172">
        <v>3</v>
      </c>
      <c r="F1172"/>
      <c r="G1172"/>
      <c r="H1172"/>
      <c r="I1172"/>
      <c r="J1172"/>
      <c r="K1172"/>
      <c r="L1172"/>
      <c r="M1172"/>
      <c r="N1172"/>
      <c r="O1172"/>
    </row>
    <row r="1173" spans="1:15" hidden="1" x14ac:dyDescent="0.25">
      <c r="A1173" t="s">
        <v>106</v>
      </c>
      <c r="B1173" t="s">
        <v>115</v>
      </c>
      <c r="C1173" t="b">
        <v>0</v>
      </c>
      <c r="D1173" s="1">
        <v>37834</v>
      </c>
      <c r="E1173">
        <v>3</v>
      </c>
      <c r="F1173"/>
      <c r="G1173"/>
      <c r="H1173"/>
      <c r="I1173"/>
      <c r="J1173"/>
      <c r="K1173"/>
      <c r="L1173"/>
      <c r="M1173"/>
      <c r="N1173"/>
      <c r="O1173"/>
    </row>
    <row r="1174" spans="1:15" hidden="1" x14ac:dyDescent="0.25">
      <c r="A1174" t="s">
        <v>106</v>
      </c>
      <c r="B1174" t="s">
        <v>115</v>
      </c>
      <c r="C1174" t="b">
        <v>0</v>
      </c>
      <c r="D1174" s="1">
        <v>37834</v>
      </c>
      <c r="E1174">
        <v>3</v>
      </c>
      <c r="F1174"/>
      <c r="G1174"/>
      <c r="H1174"/>
      <c r="I1174"/>
      <c r="J1174"/>
      <c r="K1174"/>
      <c r="L1174"/>
      <c r="M1174"/>
      <c r="N1174"/>
      <c r="O1174"/>
    </row>
    <row r="1175" spans="1:15" hidden="1" x14ac:dyDescent="0.25">
      <c r="A1175" t="s">
        <v>106</v>
      </c>
      <c r="B1175" t="s">
        <v>115</v>
      </c>
      <c r="C1175" t="b">
        <v>0</v>
      </c>
      <c r="D1175" s="1">
        <v>37834</v>
      </c>
      <c r="E1175">
        <v>3</v>
      </c>
      <c r="F1175"/>
      <c r="G1175"/>
      <c r="H1175"/>
      <c r="I1175"/>
      <c r="J1175"/>
      <c r="K1175"/>
      <c r="L1175"/>
      <c r="M1175"/>
      <c r="N1175"/>
      <c r="O1175"/>
    </row>
    <row r="1176" spans="1:15" hidden="1" x14ac:dyDescent="0.25">
      <c r="A1176" t="s">
        <v>106</v>
      </c>
      <c r="B1176" t="s">
        <v>115</v>
      </c>
      <c r="C1176" t="b">
        <v>0</v>
      </c>
      <c r="D1176" s="1">
        <v>37834</v>
      </c>
      <c r="E1176">
        <v>3</v>
      </c>
      <c r="F1176"/>
      <c r="G1176"/>
      <c r="H1176"/>
      <c r="I1176"/>
      <c r="J1176"/>
      <c r="K1176"/>
      <c r="L1176"/>
      <c r="M1176"/>
      <c r="N1176"/>
      <c r="O1176"/>
    </row>
    <row r="1177" spans="1:15" hidden="1" x14ac:dyDescent="0.25">
      <c r="A1177" t="s">
        <v>106</v>
      </c>
      <c r="B1177" t="s">
        <v>115</v>
      </c>
      <c r="C1177" t="b">
        <v>0</v>
      </c>
      <c r="D1177" s="1">
        <v>37834</v>
      </c>
      <c r="E1177">
        <v>3</v>
      </c>
      <c r="F1177"/>
      <c r="G1177"/>
      <c r="H1177"/>
      <c r="I1177"/>
      <c r="J1177"/>
      <c r="K1177"/>
      <c r="L1177"/>
      <c r="M1177"/>
      <c r="N1177"/>
      <c r="O1177"/>
    </row>
    <row r="1178" spans="1:15" hidden="1" x14ac:dyDescent="0.25">
      <c r="A1178" t="s">
        <v>106</v>
      </c>
      <c r="B1178" t="s">
        <v>115</v>
      </c>
      <c r="C1178" t="b">
        <v>0</v>
      </c>
      <c r="D1178" s="1">
        <v>37834</v>
      </c>
      <c r="E1178">
        <v>3</v>
      </c>
      <c r="F1178"/>
      <c r="G1178"/>
      <c r="H1178"/>
      <c r="I1178"/>
      <c r="J1178"/>
      <c r="K1178"/>
      <c r="L1178"/>
      <c r="M1178"/>
      <c r="N1178"/>
      <c r="O1178"/>
    </row>
    <row r="1179" spans="1:15" hidden="1" x14ac:dyDescent="0.25">
      <c r="A1179" t="s">
        <v>106</v>
      </c>
      <c r="B1179" t="s">
        <v>115</v>
      </c>
      <c r="C1179" t="b">
        <v>0</v>
      </c>
      <c r="D1179" s="1">
        <v>37834</v>
      </c>
      <c r="E1179">
        <v>3</v>
      </c>
      <c r="F1179"/>
      <c r="G1179"/>
      <c r="H1179"/>
      <c r="I1179"/>
      <c r="J1179"/>
      <c r="K1179"/>
      <c r="L1179"/>
      <c r="M1179"/>
      <c r="N1179"/>
      <c r="O1179"/>
    </row>
    <row r="1180" spans="1:15" hidden="1" x14ac:dyDescent="0.25">
      <c r="A1180" t="s">
        <v>106</v>
      </c>
      <c r="B1180" t="s">
        <v>115</v>
      </c>
      <c r="C1180" t="b">
        <v>0</v>
      </c>
      <c r="D1180" s="1">
        <v>37834</v>
      </c>
      <c r="E1180">
        <v>3</v>
      </c>
      <c r="F1180"/>
      <c r="G1180"/>
      <c r="H1180"/>
      <c r="I1180"/>
      <c r="J1180"/>
      <c r="K1180"/>
      <c r="L1180"/>
      <c r="M1180"/>
      <c r="N1180"/>
      <c r="O1180"/>
    </row>
    <row r="1181" spans="1:15" hidden="1" x14ac:dyDescent="0.25">
      <c r="A1181" t="s">
        <v>106</v>
      </c>
      <c r="B1181" t="s">
        <v>115</v>
      </c>
      <c r="C1181" t="b">
        <v>0</v>
      </c>
      <c r="D1181" s="1">
        <v>37834</v>
      </c>
      <c r="E1181">
        <v>3</v>
      </c>
      <c r="F1181"/>
      <c r="G1181"/>
      <c r="H1181"/>
      <c r="I1181"/>
      <c r="J1181"/>
      <c r="K1181"/>
      <c r="L1181"/>
      <c r="M1181"/>
      <c r="N1181"/>
      <c r="O1181"/>
    </row>
    <row r="1182" spans="1:15" hidden="1" x14ac:dyDescent="0.25">
      <c r="A1182" t="s">
        <v>106</v>
      </c>
      <c r="B1182" t="s">
        <v>115</v>
      </c>
      <c r="C1182" t="b">
        <v>0</v>
      </c>
      <c r="D1182" s="1">
        <v>37834</v>
      </c>
      <c r="E1182">
        <v>3</v>
      </c>
      <c r="F1182"/>
      <c r="G1182"/>
      <c r="H1182"/>
      <c r="I1182"/>
      <c r="J1182"/>
      <c r="K1182"/>
      <c r="L1182"/>
      <c r="M1182"/>
      <c r="N1182"/>
      <c r="O1182"/>
    </row>
    <row r="1183" spans="1:15" hidden="1" x14ac:dyDescent="0.25">
      <c r="A1183" t="s">
        <v>106</v>
      </c>
      <c r="B1183" t="s">
        <v>115</v>
      </c>
      <c r="C1183" t="b">
        <v>0</v>
      </c>
      <c r="D1183" s="1">
        <v>37834</v>
      </c>
      <c r="E1183">
        <v>3</v>
      </c>
      <c r="F1183"/>
      <c r="G1183"/>
      <c r="H1183"/>
      <c r="I1183"/>
      <c r="J1183"/>
      <c r="K1183"/>
      <c r="L1183"/>
      <c r="M1183"/>
      <c r="N1183"/>
      <c r="O1183"/>
    </row>
    <row r="1184" spans="1:15" hidden="1" x14ac:dyDescent="0.25">
      <c r="A1184" t="s">
        <v>106</v>
      </c>
      <c r="B1184" t="s">
        <v>115</v>
      </c>
      <c r="C1184" t="b">
        <v>0</v>
      </c>
      <c r="D1184" s="1">
        <v>37834</v>
      </c>
      <c r="E1184">
        <v>3</v>
      </c>
      <c r="F1184"/>
      <c r="G1184"/>
      <c r="H1184"/>
      <c r="I1184"/>
      <c r="J1184"/>
      <c r="K1184"/>
      <c r="L1184"/>
      <c r="M1184"/>
      <c r="N1184"/>
      <c r="O1184"/>
    </row>
    <row r="1185" spans="1:15" hidden="1" x14ac:dyDescent="0.25">
      <c r="A1185" t="s">
        <v>106</v>
      </c>
      <c r="B1185" t="s">
        <v>115</v>
      </c>
      <c r="C1185" t="b">
        <v>0</v>
      </c>
      <c r="D1185" s="1">
        <v>37834</v>
      </c>
      <c r="E1185">
        <v>3</v>
      </c>
      <c r="F1185"/>
      <c r="G1185"/>
      <c r="H1185"/>
      <c r="I1185"/>
      <c r="J1185"/>
      <c r="K1185"/>
      <c r="L1185"/>
      <c r="M1185"/>
      <c r="N1185"/>
      <c r="O1185"/>
    </row>
    <row r="1186" spans="1:15" hidden="1" x14ac:dyDescent="0.25">
      <c r="A1186" t="s">
        <v>19</v>
      </c>
      <c r="B1186" t="s">
        <v>115</v>
      </c>
      <c r="C1186" t="b">
        <v>0</v>
      </c>
      <c r="D1186" s="1">
        <v>37834</v>
      </c>
      <c r="E1186">
        <v>3</v>
      </c>
      <c r="F1186"/>
      <c r="G1186"/>
      <c r="H1186"/>
      <c r="I1186"/>
      <c r="J1186"/>
      <c r="K1186"/>
      <c r="L1186"/>
      <c r="M1186"/>
      <c r="N1186"/>
      <c r="O1186"/>
    </row>
    <row r="1187" spans="1:15" hidden="1" x14ac:dyDescent="0.25">
      <c r="A1187" t="s">
        <v>30</v>
      </c>
      <c r="B1187" t="s">
        <v>115</v>
      </c>
      <c r="C1187" t="b">
        <v>0</v>
      </c>
      <c r="D1187" s="1">
        <v>37834</v>
      </c>
      <c r="E1187">
        <v>3</v>
      </c>
      <c r="F1187"/>
      <c r="G1187"/>
      <c r="H1187"/>
      <c r="I1187"/>
      <c r="J1187"/>
      <c r="K1187"/>
      <c r="L1187"/>
      <c r="M1187"/>
      <c r="N1187"/>
      <c r="O1187"/>
    </row>
    <row r="1188" spans="1:15" hidden="1" x14ac:dyDescent="0.25">
      <c r="A1188" t="s">
        <v>39</v>
      </c>
      <c r="B1188" t="s">
        <v>115</v>
      </c>
      <c r="C1188" t="b">
        <v>0</v>
      </c>
      <c r="D1188" s="1">
        <v>37834</v>
      </c>
      <c r="E1188">
        <v>3</v>
      </c>
      <c r="F1188"/>
      <c r="G1188"/>
      <c r="H1188"/>
      <c r="I1188"/>
      <c r="J1188"/>
      <c r="K1188"/>
      <c r="L1188"/>
      <c r="M1188"/>
      <c r="N1188"/>
      <c r="O1188"/>
    </row>
    <row r="1189" spans="1:15" hidden="1" x14ac:dyDescent="0.25">
      <c r="A1189" t="s">
        <v>57</v>
      </c>
      <c r="B1189" t="s">
        <v>115</v>
      </c>
      <c r="C1189" t="b">
        <v>0</v>
      </c>
      <c r="D1189" s="1">
        <v>37834</v>
      </c>
      <c r="E1189">
        <v>3</v>
      </c>
      <c r="F1189"/>
      <c r="G1189"/>
      <c r="H1189"/>
      <c r="I1189"/>
      <c r="J1189"/>
      <c r="K1189"/>
      <c r="L1189"/>
      <c r="M1189"/>
      <c r="N1189"/>
      <c r="O1189"/>
    </row>
    <row r="1190" spans="1:15" hidden="1" x14ac:dyDescent="0.25">
      <c r="A1190" t="s">
        <v>69</v>
      </c>
      <c r="B1190" t="s">
        <v>115</v>
      </c>
      <c r="C1190" t="b">
        <v>0</v>
      </c>
      <c r="D1190" s="1">
        <v>37834</v>
      </c>
      <c r="E1190">
        <v>3</v>
      </c>
      <c r="F1190"/>
      <c r="G1190"/>
      <c r="H1190"/>
      <c r="I1190"/>
      <c r="J1190"/>
      <c r="K1190"/>
      <c r="L1190"/>
      <c r="M1190"/>
      <c r="N1190"/>
      <c r="O1190"/>
    </row>
    <row r="1191" spans="1:15" hidden="1" x14ac:dyDescent="0.25">
      <c r="A1191" t="s">
        <v>86</v>
      </c>
      <c r="B1191" t="s">
        <v>115</v>
      </c>
      <c r="C1191" t="b">
        <v>0</v>
      </c>
      <c r="D1191" s="1">
        <v>37834</v>
      </c>
      <c r="E1191">
        <v>3</v>
      </c>
      <c r="F1191"/>
      <c r="G1191"/>
      <c r="H1191"/>
      <c r="I1191"/>
      <c r="J1191"/>
      <c r="K1191"/>
      <c r="L1191"/>
      <c r="M1191"/>
      <c r="N1191"/>
      <c r="O1191"/>
    </row>
    <row r="1192" spans="1:15" hidden="1" x14ac:dyDescent="0.25">
      <c r="A1192" t="s">
        <v>99</v>
      </c>
      <c r="B1192" t="s">
        <v>114</v>
      </c>
      <c r="C1192" t="b">
        <v>0</v>
      </c>
      <c r="D1192" s="1">
        <v>37834</v>
      </c>
      <c r="E1192">
        <v>5.3</v>
      </c>
      <c r="F1192"/>
      <c r="G1192"/>
      <c r="H1192"/>
      <c r="I1192"/>
      <c r="J1192"/>
      <c r="K1192"/>
      <c r="L1192"/>
      <c r="M1192"/>
      <c r="N1192"/>
      <c r="O1192"/>
    </row>
    <row r="1193" spans="1:15" hidden="1" x14ac:dyDescent="0.25">
      <c r="A1193" t="s">
        <v>100</v>
      </c>
      <c r="B1193" t="s">
        <v>117</v>
      </c>
      <c r="C1193" t="b">
        <v>0</v>
      </c>
      <c r="D1193" s="1">
        <v>37865</v>
      </c>
      <c r="E1193" s="2">
        <v>-46.32</v>
      </c>
      <c r="F1193"/>
      <c r="G1193"/>
      <c r="H1193"/>
      <c r="I1193"/>
      <c r="J1193"/>
      <c r="K1193"/>
      <c r="L1193"/>
      <c r="M1193"/>
      <c r="N1193"/>
      <c r="O1193"/>
    </row>
    <row r="1194" spans="1:15" hidden="1" x14ac:dyDescent="0.25">
      <c r="A1194" t="s">
        <v>104</v>
      </c>
      <c r="B1194" t="s">
        <v>117</v>
      </c>
      <c r="C1194" t="b">
        <v>0</v>
      </c>
      <c r="D1194" s="1">
        <v>37865</v>
      </c>
      <c r="E1194" s="2">
        <v>-20.080000000000002</v>
      </c>
      <c r="F1194"/>
      <c r="G1194"/>
      <c r="H1194"/>
      <c r="I1194"/>
      <c r="J1194"/>
      <c r="K1194"/>
      <c r="L1194"/>
      <c r="M1194"/>
      <c r="N1194"/>
      <c r="O1194"/>
    </row>
    <row r="1195" spans="1:15" hidden="1" x14ac:dyDescent="0.25">
      <c r="A1195" t="s">
        <v>102</v>
      </c>
      <c r="B1195" t="s">
        <v>117</v>
      </c>
      <c r="C1195" t="b">
        <v>0</v>
      </c>
      <c r="D1195" s="1">
        <v>37865</v>
      </c>
      <c r="E1195" s="2">
        <v>-40.799999999999997</v>
      </c>
      <c r="F1195"/>
      <c r="G1195"/>
      <c r="H1195"/>
      <c r="I1195"/>
      <c r="J1195"/>
      <c r="K1195"/>
      <c r="L1195"/>
      <c r="M1195"/>
      <c r="N1195"/>
      <c r="O1195"/>
    </row>
    <row r="1196" spans="1:15" hidden="1" x14ac:dyDescent="0.25">
      <c r="A1196" t="s">
        <v>103</v>
      </c>
      <c r="B1196" t="s">
        <v>117</v>
      </c>
      <c r="C1196" t="b">
        <v>0</v>
      </c>
      <c r="D1196" s="1">
        <v>37865</v>
      </c>
      <c r="E1196" s="2">
        <v>-2</v>
      </c>
      <c r="F1196"/>
      <c r="G1196"/>
      <c r="H1196"/>
      <c r="I1196"/>
      <c r="J1196"/>
      <c r="K1196"/>
      <c r="L1196"/>
      <c r="M1196"/>
      <c r="N1196"/>
      <c r="O1196"/>
    </row>
    <row r="1197" spans="1:15" hidden="1" x14ac:dyDescent="0.25">
      <c r="A1197" t="s">
        <v>11</v>
      </c>
      <c r="B1197" t="s">
        <v>115</v>
      </c>
      <c r="C1197" t="b">
        <v>0</v>
      </c>
      <c r="D1197" s="1">
        <v>37865</v>
      </c>
      <c r="E1197">
        <v>3</v>
      </c>
      <c r="F1197"/>
      <c r="G1197"/>
      <c r="H1197"/>
      <c r="I1197"/>
      <c r="J1197"/>
      <c r="K1197"/>
      <c r="L1197"/>
      <c r="M1197"/>
      <c r="N1197"/>
      <c r="O1197"/>
    </row>
    <row r="1198" spans="1:15" hidden="1" x14ac:dyDescent="0.25">
      <c r="A1198" t="s">
        <v>12</v>
      </c>
      <c r="B1198" t="s">
        <v>115</v>
      </c>
      <c r="C1198" t="b">
        <v>0</v>
      </c>
      <c r="D1198" s="1">
        <v>37865</v>
      </c>
      <c r="E1198">
        <v>3</v>
      </c>
      <c r="F1198"/>
      <c r="G1198"/>
      <c r="H1198"/>
      <c r="I1198"/>
      <c r="J1198"/>
      <c r="K1198"/>
      <c r="L1198"/>
      <c r="M1198"/>
      <c r="N1198"/>
      <c r="O1198"/>
    </row>
    <row r="1199" spans="1:15" hidden="1" x14ac:dyDescent="0.25">
      <c r="A1199" t="s">
        <v>14</v>
      </c>
      <c r="B1199" t="s">
        <v>115</v>
      </c>
      <c r="C1199" t="b">
        <v>0</v>
      </c>
      <c r="D1199" s="1">
        <v>37865</v>
      </c>
      <c r="E1199">
        <v>3</v>
      </c>
      <c r="F1199"/>
      <c r="G1199"/>
      <c r="H1199"/>
      <c r="I1199"/>
      <c r="J1199"/>
      <c r="K1199"/>
      <c r="L1199"/>
      <c r="M1199"/>
      <c r="N1199"/>
      <c r="O1199"/>
    </row>
    <row r="1200" spans="1:15" hidden="1" x14ac:dyDescent="0.25">
      <c r="A1200" t="s">
        <v>18</v>
      </c>
      <c r="B1200" t="s">
        <v>115</v>
      </c>
      <c r="C1200" t="b">
        <v>0</v>
      </c>
      <c r="D1200" s="1">
        <v>37865</v>
      </c>
      <c r="E1200">
        <v>3</v>
      </c>
      <c r="F1200"/>
      <c r="G1200"/>
      <c r="H1200"/>
      <c r="I1200"/>
      <c r="J1200"/>
      <c r="K1200"/>
      <c r="L1200"/>
      <c r="M1200"/>
      <c r="N1200"/>
      <c r="O1200"/>
    </row>
    <row r="1201" spans="1:15" hidden="1" x14ac:dyDescent="0.25">
      <c r="A1201" t="s">
        <v>106</v>
      </c>
      <c r="B1201" t="s">
        <v>115</v>
      </c>
      <c r="C1201" t="b">
        <v>0</v>
      </c>
      <c r="D1201" s="1">
        <v>37865</v>
      </c>
      <c r="E1201">
        <v>3</v>
      </c>
      <c r="F1201"/>
      <c r="G1201"/>
      <c r="H1201"/>
      <c r="I1201"/>
      <c r="J1201"/>
      <c r="K1201"/>
      <c r="L1201"/>
      <c r="M1201"/>
      <c r="N1201"/>
      <c r="O1201"/>
    </row>
    <row r="1202" spans="1:15" hidden="1" x14ac:dyDescent="0.25">
      <c r="A1202" t="s">
        <v>106</v>
      </c>
      <c r="B1202" t="s">
        <v>115</v>
      </c>
      <c r="C1202" t="b">
        <v>0</v>
      </c>
      <c r="D1202" s="1">
        <v>37865</v>
      </c>
      <c r="E1202">
        <v>3</v>
      </c>
      <c r="F1202"/>
      <c r="G1202"/>
      <c r="H1202"/>
      <c r="I1202"/>
      <c r="J1202"/>
      <c r="K1202"/>
      <c r="L1202"/>
      <c r="M1202"/>
      <c r="N1202"/>
      <c r="O1202"/>
    </row>
    <row r="1203" spans="1:15" hidden="1" x14ac:dyDescent="0.25">
      <c r="A1203" t="s">
        <v>106</v>
      </c>
      <c r="B1203" t="s">
        <v>115</v>
      </c>
      <c r="C1203" t="b">
        <v>0</v>
      </c>
      <c r="D1203" s="1">
        <v>37865</v>
      </c>
      <c r="E1203">
        <v>3</v>
      </c>
      <c r="F1203"/>
      <c r="G1203"/>
      <c r="H1203"/>
      <c r="I1203"/>
      <c r="J1203"/>
      <c r="K1203"/>
      <c r="L1203"/>
      <c r="M1203"/>
      <c r="N1203"/>
      <c r="O1203"/>
    </row>
    <row r="1204" spans="1:15" hidden="1" x14ac:dyDescent="0.25">
      <c r="A1204" t="s">
        <v>106</v>
      </c>
      <c r="B1204" t="s">
        <v>115</v>
      </c>
      <c r="C1204" t="b">
        <v>0</v>
      </c>
      <c r="D1204" s="1">
        <v>37865</v>
      </c>
      <c r="E1204">
        <v>3</v>
      </c>
      <c r="F1204"/>
      <c r="G1204"/>
      <c r="H1204"/>
      <c r="I1204"/>
      <c r="J1204"/>
      <c r="K1204"/>
      <c r="L1204"/>
      <c r="M1204"/>
      <c r="N1204"/>
      <c r="O1204"/>
    </row>
    <row r="1205" spans="1:15" hidden="1" x14ac:dyDescent="0.25">
      <c r="A1205" t="s">
        <v>106</v>
      </c>
      <c r="B1205" t="s">
        <v>115</v>
      </c>
      <c r="C1205" t="b">
        <v>0</v>
      </c>
      <c r="D1205" s="1">
        <v>37865</v>
      </c>
      <c r="E1205">
        <v>3</v>
      </c>
      <c r="F1205"/>
      <c r="G1205"/>
      <c r="H1205"/>
      <c r="I1205"/>
      <c r="J1205"/>
      <c r="K1205"/>
      <c r="L1205"/>
      <c r="M1205"/>
      <c r="N1205"/>
      <c r="O1205"/>
    </row>
    <row r="1206" spans="1:15" hidden="1" x14ac:dyDescent="0.25">
      <c r="A1206" t="s">
        <v>106</v>
      </c>
      <c r="B1206" t="s">
        <v>115</v>
      </c>
      <c r="C1206" t="b">
        <v>0</v>
      </c>
      <c r="D1206" s="1">
        <v>37865</v>
      </c>
      <c r="E1206">
        <v>1.5</v>
      </c>
      <c r="F1206"/>
      <c r="G1206"/>
      <c r="H1206"/>
      <c r="I1206"/>
      <c r="J1206"/>
      <c r="K1206"/>
      <c r="L1206"/>
      <c r="M1206"/>
      <c r="N1206"/>
      <c r="O1206"/>
    </row>
    <row r="1207" spans="1:15" hidden="1" x14ac:dyDescent="0.25">
      <c r="A1207" t="s">
        <v>106</v>
      </c>
      <c r="B1207" t="s">
        <v>115</v>
      </c>
      <c r="C1207" t="b">
        <v>0</v>
      </c>
      <c r="D1207" s="1">
        <v>37865</v>
      </c>
      <c r="E1207">
        <v>3</v>
      </c>
      <c r="F1207"/>
      <c r="G1207"/>
      <c r="H1207"/>
      <c r="I1207"/>
      <c r="J1207"/>
      <c r="K1207"/>
      <c r="L1207"/>
      <c r="M1207"/>
      <c r="N1207"/>
      <c r="O1207"/>
    </row>
    <row r="1208" spans="1:15" hidden="1" x14ac:dyDescent="0.25">
      <c r="A1208" t="s">
        <v>106</v>
      </c>
      <c r="B1208" t="s">
        <v>115</v>
      </c>
      <c r="C1208" t="b">
        <v>0</v>
      </c>
      <c r="D1208" s="1">
        <v>37865</v>
      </c>
      <c r="E1208">
        <v>3</v>
      </c>
      <c r="F1208"/>
      <c r="G1208"/>
      <c r="H1208"/>
      <c r="I1208"/>
      <c r="J1208"/>
      <c r="K1208"/>
      <c r="L1208"/>
      <c r="M1208"/>
      <c r="N1208"/>
      <c r="O1208"/>
    </row>
    <row r="1209" spans="1:15" hidden="1" x14ac:dyDescent="0.25">
      <c r="A1209" t="s">
        <v>106</v>
      </c>
      <c r="B1209" t="s">
        <v>115</v>
      </c>
      <c r="C1209" t="b">
        <v>0</v>
      </c>
      <c r="D1209" s="1">
        <v>37865</v>
      </c>
      <c r="E1209">
        <v>3</v>
      </c>
      <c r="F1209"/>
      <c r="G1209"/>
      <c r="H1209"/>
      <c r="I1209"/>
      <c r="J1209"/>
      <c r="K1209"/>
      <c r="L1209"/>
      <c r="M1209"/>
      <c r="N1209"/>
      <c r="O1209"/>
    </row>
    <row r="1210" spans="1:15" hidden="1" x14ac:dyDescent="0.25">
      <c r="A1210" t="s">
        <v>106</v>
      </c>
      <c r="B1210" t="s">
        <v>115</v>
      </c>
      <c r="C1210" t="b">
        <v>0</v>
      </c>
      <c r="D1210" s="1">
        <v>37865</v>
      </c>
      <c r="E1210">
        <v>3</v>
      </c>
      <c r="F1210"/>
      <c r="G1210"/>
      <c r="H1210"/>
      <c r="I1210"/>
      <c r="J1210"/>
      <c r="K1210"/>
      <c r="L1210"/>
      <c r="M1210"/>
      <c r="N1210"/>
      <c r="O1210"/>
    </row>
    <row r="1211" spans="1:15" hidden="1" x14ac:dyDescent="0.25">
      <c r="A1211" t="s">
        <v>106</v>
      </c>
      <c r="B1211" t="s">
        <v>115</v>
      </c>
      <c r="C1211" t="b">
        <v>0</v>
      </c>
      <c r="D1211" s="1">
        <v>37865</v>
      </c>
      <c r="E1211">
        <v>3</v>
      </c>
      <c r="F1211"/>
      <c r="G1211"/>
      <c r="H1211"/>
      <c r="I1211"/>
      <c r="J1211"/>
      <c r="K1211"/>
      <c r="L1211"/>
      <c r="M1211"/>
      <c r="N1211"/>
      <c r="O1211"/>
    </row>
    <row r="1212" spans="1:15" hidden="1" x14ac:dyDescent="0.25">
      <c r="A1212" t="s">
        <v>106</v>
      </c>
      <c r="B1212" t="s">
        <v>115</v>
      </c>
      <c r="C1212" t="b">
        <v>0</v>
      </c>
      <c r="D1212" s="1">
        <v>37865</v>
      </c>
      <c r="E1212">
        <v>3</v>
      </c>
      <c r="F1212"/>
      <c r="G1212"/>
      <c r="H1212"/>
      <c r="I1212"/>
      <c r="J1212"/>
      <c r="K1212"/>
      <c r="L1212"/>
      <c r="M1212"/>
      <c r="N1212"/>
      <c r="O1212"/>
    </row>
    <row r="1213" spans="1:15" hidden="1" x14ac:dyDescent="0.25">
      <c r="A1213" t="s">
        <v>106</v>
      </c>
      <c r="B1213" t="s">
        <v>115</v>
      </c>
      <c r="C1213" t="b">
        <v>0</v>
      </c>
      <c r="D1213" s="1">
        <v>37865</v>
      </c>
      <c r="E1213">
        <v>3</v>
      </c>
      <c r="F1213"/>
      <c r="G1213"/>
      <c r="H1213"/>
      <c r="I1213"/>
      <c r="J1213"/>
      <c r="K1213"/>
      <c r="L1213"/>
      <c r="M1213"/>
      <c r="N1213"/>
      <c r="O1213"/>
    </row>
    <row r="1214" spans="1:15" hidden="1" x14ac:dyDescent="0.25">
      <c r="A1214" t="s">
        <v>106</v>
      </c>
      <c r="B1214" t="s">
        <v>115</v>
      </c>
      <c r="C1214" t="b">
        <v>0</v>
      </c>
      <c r="D1214" s="1">
        <v>37865</v>
      </c>
      <c r="E1214">
        <v>3</v>
      </c>
      <c r="F1214"/>
      <c r="G1214"/>
      <c r="H1214"/>
      <c r="I1214"/>
      <c r="J1214"/>
      <c r="K1214"/>
      <c r="L1214"/>
      <c r="M1214"/>
      <c r="N1214"/>
      <c r="O1214"/>
    </row>
    <row r="1215" spans="1:15" hidden="1" x14ac:dyDescent="0.25">
      <c r="A1215" t="s">
        <v>106</v>
      </c>
      <c r="B1215" t="s">
        <v>115</v>
      </c>
      <c r="C1215" t="b">
        <v>0</v>
      </c>
      <c r="D1215" s="1">
        <v>37865</v>
      </c>
      <c r="E1215">
        <v>3</v>
      </c>
      <c r="F1215"/>
      <c r="G1215"/>
      <c r="H1215"/>
      <c r="I1215"/>
      <c r="J1215"/>
      <c r="K1215"/>
      <c r="L1215"/>
      <c r="M1215"/>
      <c r="N1215"/>
      <c r="O1215"/>
    </row>
    <row r="1216" spans="1:15" hidden="1" x14ac:dyDescent="0.25">
      <c r="A1216" t="s">
        <v>106</v>
      </c>
      <c r="B1216" t="s">
        <v>115</v>
      </c>
      <c r="C1216" t="b">
        <v>0</v>
      </c>
      <c r="D1216" s="1">
        <v>37865</v>
      </c>
      <c r="E1216">
        <v>3</v>
      </c>
      <c r="F1216"/>
      <c r="G1216"/>
      <c r="H1216"/>
      <c r="I1216"/>
      <c r="J1216"/>
      <c r="K1216"/>
      <c r="L1216"/>
      <c r="M1216"/>
      <c r="N1216"/>
      <c r="O1216"/>
    </row>
    <row r="1217" spans="1:15" hidden="1" x14ac:dyDescent="0.25">
      <c r="A1217" t="s">
        <v>106</v>
      </c>
      <c r="B1217" t="s">
        <v>115</v>
      </c>
      <c r="C1217" t="b">
        <v>0</v>
      </c>
      <c r="D1217" s="1">
        <v>37865</v>
      </c>
      <c r="E1217">
        <v>3</v>
      </c>
      <c r="F1217"/>
      <c r="G1217"/>
      <c r="H1217"/>
      <c r="I1217"/>
      <c r="J1217"/>
      <c r="K1217"/>
      <c r="L1217"/>
      <c r="M1217"/>
      <c r="N1217"/>
      <c r="O1217"/>
    </row>
    <row r="1218" spans="1:15" hidden="1" x14ac:dyDescent="0.25">
      <c r="A1218" t="s">
        <v>106</v>
      </c>
      <c r="B1218" t="s">
        <v>115</v>
      </c>
      <c r="C1218" t="b">
        <v>0</v>
      </c>
      <c r="D1218" s="1">
        <v>37865</v>
      </c>
      <c r="E1218">
        <v>3</v>
      </c>
      <c r="F1218"/>
      <c r="G1218"/>
      <c r="H1218"/>
      <c r="I1218"/>
      <c r="J1218"/>
      <c r="K1218"/>
      <c r="L1218"/>
      <c r="M1218"/>
      <c r="N1218"/>
      <c r="O1218"/>
    </row>
    <row r="1219" spans="1:15" hidden="1" x14ac:dyDescent="0.25">
      <c r="A1219" t="s">
        <v>106</v>
      </c>
      <c r="B1219" t="s">
        <v>115</v>
      </c>
      <c r="C1219" t="b">
        <v>0</v>
      </c>
      <c r="D1219" s="1">
        <v>37865</v>
      </c>
      <c r="E1219">
        <v>3</v>
      </c>
      <c r="F1219"/>
      <c r="G1219"/>
      <c r="H1219"/>
      <c r="I1219"/>
      <c r="J1219"/>
      <c r="K1219"/>
      <c r="L1219"/>
      <c r="M1219"/>
      <c r="N1219"/>
      <c r="O1219"/>
    </row>
    <row r="1220" spans="1:15" hidden="1" x14ac:dyDescent="0.25">
      <c r="A1220" t="s">
        <v>106</v>
      </c>
      <c r="B1220" t="s">
        <v>115</v>
      </c>
      <c r="C1220" t="b">
        <v>0</v>
      </c>
      <c r="D1220" s="1">
        <v>37865</v>
      </c>
      <c r="E1220">
        <v>3</v>
      </c>
      <c r="F1220"/>
      <c r="G1220"/>
      <c r="H1220"/>
      <c r="I1220"/>
      <c r="J1220"/>
      <c r="K1220"/>
      <c r="L1220"/>
      <c r="M1220"/>
      <c r="N1220"/>
      <c r="O1220"/>
    </row>
    <row r="1221" spans="1:15" hidden="1" x14ac:dyDescent="0.25">
      <c r="A1221" t="s">
        <v>106</v>
      </c>
      <c r="B1221" t="s">
        <v>115</v>
      </c>
      <c r="C1221" t="b">
        <v>0</v>
      </c>
      <c r="D1221" s="1">
        <v>37865</v>
      </c>
      <c r="E1221">
        <v>3</v>
      </c>
      <c r="F1221"/>
      <c r="G1221"/>
      <c r="H1221"/>
      <c r="I1221"/>
      <c r="J1221"/>
      <c r="K1221"/>
      <c r="L1221"/>
      <c r="M1221"/>
      <c r="N1221"/>
      <c r="O1221"/>
    </row>
    <row r="1222" spans="1:15" hidden="1" x14ac:dyDescent="0.25">
      <c r="A1222" t="s">
        <v>106</v>
      </c>
      <c r="B1222" t="s">
        <v>115</v>
      </c>
      <c r="C1222" t="b">
        <v>0</v>
      </c>
      <c r="D1222" s="1">
        <v>37865</v>
      </c>
      <c r="E1222">
        <v>3</v>
      </c>
      <c r="F1222"/>
      <c r="G1222"/>
      <c r="H1222"/>
      <c r="I1222"/>
      <c r="J1222"/>
      <c r="K1222"/>
      <c r="L1222"/>
      <c r="M1222"/>
      <c r="N1222"/>
      <c r="O1222"/>
    </row>
    <row r="1223" spans="1:15" hidden="1" x14ac:dyDescent="0.25">
      <c r="A1223" t="s">
        <v>106</v>
      </c>
      <c r="B1223" t="s">
        <v>115</v>
      </c>
      <c r="C1223" t="b">
        <v>0</v>
      </c>
      <c r="D1223" s="1">
        <v>37865</v>
      </c>
      <c r="E1223">
        <v>3</v>
      </c>
      <c r="F1223"/>
      <c r="G1223"/>
      <c r="H1223"/>
      <c r="I1223"/>
      <c r="J1223"/>
      <c r="K1223"/>
      <c r="L1223"/>
      <c r="M1223"/>
      <c r="N1223"/>
      <c r="O1223"/>
    </row>
    <row r="1224" spans="1:15" hidden="1" x14ac:dyDescent="0.25">
      <c r="A1224" t="s">
        <v>106</v>
      </c>
      <c r="B1224" t="s">
        <v>115</v>
      </c>
      <c r="C1224" t="b">
        <v>0</v>
      </c>
      <c r="D1224" s="1">
        <v>37865</v>
      </c>
      <c r="E1224">
        <v>3</v>
      </c>
      <c r="F1224"/>
      <c r="G1224"/>
      <c r="H1224"/>
      <c r="I1224"/>
      <c r="J1224"/>
      <c r="K1224"/>
      <c r="L1224"/>
      <c r="M1224"/>
      <c r="N1224"/>
      <c r="O1224"/>
    </row>
    <row r="1225" spans="1:15" hidden="1" x14ac:dyDescent="0.25">
      <c r="A1225" t="s">
        <v>106</v>
      </c>
      <c r="B1225" t="s">
        <v>115</v>
      </c>
      <c r="C1225" t="b">
        <v>0</v>
      </c>
      <c r="D1225" s="1">
        <v>37865</v>
      </c>
      <c r="E1225">
        <v>3</v>
      </c>
      <c r="F1225"/>
      <c r="G1225"/>
      <c r="H1225"/>
      <c r="I1225"/>
      <c r="J1225"/>
      <c r="K1225"/>
      <c r="L1225"/>
      <c r="M1225"/>
      <c r="N1225"/>
      <c r="O1225"/>
    </row>
    <row r="1226" spans="1:15" hidden="1" x14ac:dyDescent="0.25">
      <c r="A1226" t="s">
        <v>106</v>
      </c>
      <c r="B1226" t="s">
        <v>115</v>
      </c>
      <c r="C1226" t="b">
        <v>0</v>
      </c>
      <c r="D1226" s="1">
        <v>37865</v>
      </c>
      <c r="E1226">
        <v>3</v>
      </c>
      <c r="F1226"/>
      <c r="G1226"/>
      <c r="H1226"/>
      <c r="I1226"/>
      <c r="J1226"/>
      <c r="K1226"/>
      <c r="L1226"/>
      <c r="M1226"/>
      <c r="N1226"/>
      <c r="O1226"/>
    </row>
    <row r="1227" spans="1:15" hidden="1" x14ac:dyDescent="0.25">
      <c r="A1227" t="s">
        <v>19</v>
      </c>
      <c r="B1227" t="s">
        <v>115</v>
      </c>
      <c r="C1227" t="b">
        <v>0</v>
      </c>
      <c r="D1227" s="1">
        <v>37865</v>
      </c>
      <c r="E1227">
        <v>3</v>
      </c>
      <c r="F1227"/>
      <c r="G1227"/>
      <c r="H1227"/>
      <c r="I1227"/>
      <c r="J1227"/>
      <c r="K1227"/>
      <c r="L1227"/>
      <c r="M1227"/>
      <c r="N1227"/>
      <c r="O1227"/>
    </row>
    <row r="1228" spans="1:15" hidden="1" x14ac:dyDescent="0.25">
      <c r="A1228" t="s">
        <v>30</v>
      </c>
      <c r="B1228" t="s">
        <v>115</v>
      </c>
      <c r="C1228" t="b">
        <v>0</v>
      </c>
      <c r="D1228" s="1">
        <v>37865</v>
      </c>
      <c r="E1228">
        <v>3</v>
      </c>
      <c r="F1228"/>
      <c r="G1228"/>
      <c r="H1228"/>
      <c r="I1228"/>
      <c r="J1228"/>
      <c r="K1228"/>
      <c r="L1228"/>
      <c r="M1228"/>
      <c r="N1228"/>
      <c r="O1228"/>
    </row>
    <row r="1229" spans="1:15" hidden="1" x14ac:dyDescent="0.25">
      <c r="A1229" t="s">
        <v>39</v>
      </c>
      <c r="B1229" t="s">
        <v>115</v>
      </c>
      <c r="C1229" t="b">
        <v>0</v>
      </c>
      <c r="D1229" s="1">
        <v>37865</v>
      </c>
      <c r="E1229">
        <v>3</v>
      </c>
      <c r="F1229"/>
      <c r="G1229"/>
      <c r="H1229"/>
      <c r="I1229"/>
      <c r="J1229"/>
      <c r="K1229"/>
      <c r="L1229"/>
      <c r="M1229"/>
      <c r="N1229"/>
      <c r="O1229"/>
    </row>
    <row r="1230" spans="1:15" hidden="1" x14ac:dyDescent="0.25">
      <c r="A1230" t="s">
        <v>57</v>
      </c>
      <c r="B1230" t="s">
        <v>115</v>
      </c>
      <c r="C1230" t="b">
        <v>0</v>
      </c>
      <c r="D1230" s="1">
        <v>37865</v>
      </c>
      <c r="E1230">
        <v>3</v>
      </c>
      <c r="F1230"/>
      <c r="G1230"/>
      <c r="H1230"/>
      <c r="I1230"/>
      <c r="J1230"/>
      <c r="K1230"/>
      <c r="L1230"/>
      <c r="M1230"/>
      <c r="N1230"/>
      <c r="O1230"/>
    </row>
    <row r="1231" spans="1:15" hidden="1" x14ac:dyDescent="0.25">
      <c r="A1231" t="s">
        <v>86</v>
      </c>
      <c r="B1231" t="s">
        <v>115</v>
      </c>
      <c r="C1231" t="b">
        <v>0</v>
      </c>
      <c r="D1231" s="1">
        <v>37865</v>
      </c>
      <c r="E1231">
        <v>3</v>
      </c>
      <c r="F1231"/>
      <c r="G1231"/>
      <c r="H1231"/>
      <c r="I1231"/>
      <c r="J1231"/>
      <c r="K1231"/>
      <c r="L1231"/>
      <c r="M1231"/>
      <c r="N1231"/>
      <c r="O1231"/>
    </row>
    <row r="1232" spans="1:15" hidden="1" x14ac:dyDescent="0.25">
      <c r="A1232" t="s">
        <v>99</v>
      </c>
      <c r="B1232" t="s">
        <v>114</v>
      </c>
      <c r="C1232" t="b">
        <v>0</v>
      </c>
      <c r="D1232" s="1">
        <v>37865</v>
      </c>
      <c r="E1232">
        <v>7.76</v>
      </c>
      <c r="F1232"/>
      <c r="G1232"/>
      <c r="H1232"/>
      <c r="I1232"/>
      <c r="J1232"/>
      <c r="K1232"/>
      <c r="L1232"/>
      <c r="M1232"/>
      <c r="N1232"/>
      <c r="O1232"/>
    </row>
    <row r="1233" spans="1:15" hidden="1" x14ac:dyDescent="0.25">
      <c r="A1233" t="s">
        <v>100</v>
      </c>
      <c r="B1233" t="s">
        <v>117</v>
      </c>
      <c r="C1233" t="b">
        <v>0</v>
      </c>
      <c r="D1233" s="1">
        <v>37895</v>
      </c>
      <c r="E1233" s="2">
        <v>-7</v>
      </c>
      <c r="F1233"/>
      <c r="G1233"/>
      <c r="H1233"/>
      <c r="I1233"/>
      <c r="J1233"/>
      <c r="K1233"/>
      <c r="L1233"/>
      <c r="M1233"/>
      <c r="N1233"/>
      <c r="O1233"/>
    </row>
    <row r="1234" spans="1:15" hidden="1" x14ac:dyDescent="0.25">
      <c r="A1234" t="s">
        <v>104</v>
      </c>
      <c r="B1234" t="s">
        <v>117</v>
      </c>
      <c r="C1234" t="b">
        <v>0</v>
      </c>
      <c r="D1234" s="1">
        <v>37895</v>
      </c>
      <c r="E1234" s="2">
        <v>-2.54</v>
      </c>
      <c r="F1234"/>
      <c r="G1234"/>
      <c r="H1234"/>
      <c r="I1234"/>
      <c r="J1234"/>
      <c r="K1234"/>
      <c r="L1234"/>
      <c r="M1234"/>
      <c r="N1234"/>
      <c r="O1234"/>
    </row>
    <row r="1235" spans="1:15" hidden="1" x14ac:dyDescent="0.25">
      <c r="A1235" t="s">
        <v>102</v>
      </c>
      <c r="B1235" t="s">
        <v>117</v>
      </c>
      <c r="C1235" t="b">
        <v>0</v>
      </c>
      <c r="D1235" s="1">
        <v>37895</v>
      </c>
      <c r="E1235" s="2">
        <v>-42.809999999999995</v>
      </c>
      <c r="F1235"/>
      <c r="G1235"/>
      <c r="H1235"/>
      <c r="I1235"/>
      <c r="J1235"/>
      <c r="K1235"/>
      <c r="L1235"/>
      <c r="M1235"/>
      <c r="N1235"/>
      <c r="O1235"/>
    </row>
    <row r="1236" spans="1:15" hidden="1" x14ac:dyDescent="0.25">
      <c r="A1236" t="s">
        <v>103</v>
      </c>
      <c r="B1236" t="s">
        <v>117</v>
      </c>
      <c r="C1236" t="b">
        <v>0</v>
      </c>
      <c r="D1236" s="1">
        <v>37895</v>
      </c>
      <c r="E1236" s="2">
        <v>-16.97</v>
      </c>
      <c r="F1236"/>
      <c r="G1236"/>
      <c r="H1236"/>
      <c r="I1236"/>
      <c r="J1236"/>
      <c r="K1236"/>
      <c r="L1236"/>
      <c r="M1236"/>
      <c r="N1236"/>
      <c r="O1236"/>
    </row>
    <row r="1237" spans="1:15" hidden="1" x14ac:dyDescent="0.25">
      <c r="A1237" t="s">
        <v>101</v>
      </c>
      <c r="B1237" t="s">
        <v>117</v>
      </c>
      <c r="C1237" t="b">
        <v>0</v>
      </c>
      <c r="D1237" s="1">
        <v>37895</v>
      </c>
      <c r="E1237" s="2">
        <v>-35.94</v>
      </c>
      <c r="F1237"/>
      <c r="G1237"/>
      <c r="H1237"/>
      <c r="I1237"/>
      <c r="J1237"/>
      <c r="K1237"/>
      <c r="L1237"/>
      <c r="M1237"/>
      <c r="N1237"/>
      <c r="O1237"/>
    </row>
    <row r="1238" spans="1:15" hidden="1" x14ac:dyDescent="0.25">
      <c r="A1238" t="s">
        <v>12</v>
      </c>
      <c r="B1238" t="s">
        <v>115</v>
      </c>
      <c r="C1238" t="b">
        <v>0</v>
      </c>
      <c r="D1238" s="1">
        <v>37895</v>
      </c>
      <c r="E1238">
        <v>3</v>
      </c>
      <c r="F1238"/>
      <c r="G1238"/>
      <c r="H1238"/>
      <c r="I1238"/>
      <c r="J1238"/>
      <c r="K1238"/>
      <c r="L1238"/>
      <c r="M1238"/>
      <c r="N1238"/>
      <c r="O1238"/>
    </row>
    <row r="1239" spans="1:15" hidden="1" x14ac:dyDescent="0.25">
      <c r="A1239" t="s">
        <v>14</v>
      </c>
      <c r="B1239" t="s">
        <v>115</v>
      </c>
      <c r="C1239" t="b">
        <v>0</v>
      </c>
      <c r="D1239" s="1">
        <v>37895</v>
      </c>
      <c r="E1239">
        <v>3</v>
      </c>
      <c r="F1239"/>
      <c r="G1239"/>
      <c r="H1239"/>
      <c r="I1239"/>
      <c r="J1239"/>
      <c r="K1239"/>
      <c r="L1239"/>
      <c r="M1239"/>
      <c r="N1239"/>
      <c r="O1239"/>
    </row>
    <row r="1240" spans="1:15" hidden="1" x14ac:dyDescent="0.25">
      <c r="A1240" t="s">
        <v>18</v>
      </c>
      <c r="B1240" t="s">
        <v>115</v>
      </c>
      <c r="C1240" t="b">
        <v>0</v>
      </c>
      <c r="D1240" s="1">
        <v>37895</v>
      </c>
      <c r="E1240">
        <v>1</v>
      </c>
      <c r="F1240"/>
      <c r="G1240"/>
      <c r="H1240"/>
      <c r="I1240"/>
      <c r="J1240"/>
      <c r="K1240"/>
      <c r="L1240"/>
      <c r="M1240"/>
      <c r="N1240"/>
      <c r="O1240"/>
    </row>
    <row r="1241" spans="1:15" hidden="1" x14ac:dyDescent="0.25">
      <c r="A1241" t="s">
        <v>106</v>
      </c>
      <c r="B1241" t="s">
        <v>115</v>
      </c>
      <c r="C1241" t="b">
        <v>0</v>
      </c>
      <c r="D1241" s="1">
        <v>37895</v>
      </c>
      <c r="E1241">
        <v>3</v>
      </c>
      <c r="F1241"/>
      <c r="G1241"/>
      <c r="H1241"/>
      <c r="I1241"/>
      <c r="J1241"/>
      <c r="K1241"/>
      <c r="L1241"/>
      <c r="M1241"/>
      <c r="N1241"/>
      <c r="O1241"/>
    </row>
    <row r="1242" spans="1:15" hidden="1" x14ac:dyDescent="0.25">
      <c r="A1242" t="s">
        <v>106</v>
      </c>
      <c r="B1242" t="s">
        <v>115</v>
      </c>
      <c r="C1242" t="b">
        <v>0</v>
      </c>
      <c r="D1242" s="1">
        <v>37895</v>
      </c>
      <c r="E1242">
        <v>3</v>
      </c>
      <c r="F1242"/>
      <c r="G1242"/>
      <c r="H1242"/>
      <c r="I1242"/>
      <c r="J1242"/>
      <c r="K1242"/>
      <c r="L1242"/>
      <c r="M1242"/>
      <c r="N1242"/>
      <c r="O1242"/>
    </row>
    <row r="1243" spans="1:15" hidden="1" x14ac:dyDescent="0.25">
      <c r="A1243" t="s">
        <v>106</v>
      </c>
      <c r="B1243" t="s">
        <v>115</v>
      </c>
      <c r="C1243" t="b">
        <v>0</v>
      </c>
      <c r="D1243" s="1">
        <v>37895</v>
      </c>
      <c r="E1243">
        <v>3</v>
      </c>
      <c r="F1243"/>
      <c r="G1243"/>
      <c r="H1243"/>
      <c r="I1243"/>
      <c r="J1243"/>
      <c r="K1243"/>
      <c r="L1243"/>
      <c r="M1243"/>
      <c r="N1243"/>
      <c r="O1243"/>
    </row>
    <row r="1244" spans="1:15" hidden="1" x14ac:dyDescent="0.25">
      <c r="A1244" t="s">
        <v>106</v>
      </c>
      <c r="B1244" t="s">
        <v>115</v>
      </c>
      <c r="C1244" t="b">
        <v>0</v>
      </c>
      <c r="D1244" s="1">
        <v>37895</v>
      </c>
      <c r="E1244">
        <v>3</v>
      </c>
      <c r="F1244"/>
      <c r="G1244"/>
      <c r="H1244"/>
      <c r="I1244"/>
      <c r="J1244"/>
      <c r="K1244"/>
      <c r="L1244"/>
      <c r="M1244"/>
      <c r="N1244"/>
      <c r="O1244"/>
    </row>
    <row r="1245" spans="1:15" hidden="1" x14ac:dyDescent="0.25">
      <c r="A1245" t="s">
        <v>106</v>
      </c>
      <c r="B1245" t="s">
        <v>115</v>
      </c>
      <c r="C1245" t="b">
        <v>0</v>
      </c>
      <c r="D1245" s="1">
        <v>37895</v>
      </c>
      <c r="E1245">
        <v>3</v>
      </c>
      <c r="F1245"/>
      <c r="G1245"/>
      <c r="H1245"/>
      <c r="I1245"/>
      <c r="J1245"/>
      <c r="K1245"/>
      <c r="L1245"/>
      <c r="M1245"/>
      <c r="N1245"/>
      <c r="O1245"/>
    </row>
    <row r="1246" spans="1:15" hidden="1" x14ac:dyDescent="0.25">
      <c r="A1246" t="s">
        <v>106</v>
      </c>
      <c r="B1246" t="s">
        <v>115</v>
      </c>
      <c r="C1246" t="b">
        <v>0</v>
      </c>
      <c r="D1246" s="1">
        <v>37895</v>
      </c>
      <c r="E1246">
        <v>3</v>
      </c>
      <c r="F1246"/>
      <c r="G1246"/>
      <c r="H1246"/>
      <c r="I1246"/>
      <c r="J1246"/>
      <c r="K1246"/>
      <c r="L1246"/>
      <c r="M1246"/>
      <c r="N1246"/>
      <c r="O1246"/>
    </row>
    <row r="1247" spans="1:15" hidden="1" x14ac:dyDescent="0.25">
      <c r="A1247" t="s">
        <v>106</v>
      </c>
      <c r="B1247" t="s">
        <v>115</v>
      </c>
      <c r="C1247" t="b">
        <v>0</v>
      </c>
      <c r="D1247" s="1">
        <v>37895</v>
      </c>
      <c r="E1247">
        <v>3</v>
      </c>
      <c r="F1247"/>
      <c r="G1247"/>
      <c r="H1247"/>
      <c r="I1247"/>
      <c r="J1247"/>
      <c r="K1247"/>
      <c r="L1247"/>
      <c r="M1247"/>
      <c r="N1247"/>
      <c r="O1247"/>
    </row>
    <row r="1248" spans="1:15" hidden="1" x14ac:dyDescent="0.25">
      <c r="A1248" t="s">
        <v>106</v>
      </c>
      <c r="B1248" t="s">
        <v>115</v>
      </c>
      <c r="C1248" t="b">
        <v>0</v>
      </c>
      <c r="D1248" s="1">
        <v>37895</v>
      </c>
      <c r="E1248">
        <v>3</v>
      </c>
      <c r="F1248"/>
      <c r="G1248"/>
      <c r="H1248"/>
      <c r="I1248"/>
      <c r="J1248"/>
      <c r="K1248"/>
      <c r="L1248"/>
      <c r="M1248"/>
      <c r="N1248"/>
      <c r="O1248"/>
    </row>
    <row r="1249" spans="1:15" hidden="1" x14ac:dyDescent="0.25">
      <c r="A1249" t="s">
        <v>106</v>
      </c>
      <c r="B1249" t="s">
        <v>115</v>
      </c>
      <c r="C1249" t="b">
        <v>0</v>
      </c>
      <c r="D1249" s="1">
        <v>37895</v>
      </c>
      <c r="E1249">
        <v>3</v>
      </c>
      <c r="F1249"/>
      <c r="G1249"/>
      <c r="H1249"/>
      <c r="I1249"/>
      <c r="J1249"/>
      <c r="K1249"/>
      <c r="L1249"/>
      <c r="M1249"/>
      <c r="N1249"/>
      <c r="O1249"/>
    </row>
    <row r="1250" spans="1:15" hidden="1" x14ac:dyDescent="0.25">
      <c r="A1250" t="s">
        <v>106</v>
      </c>
      <c r="B1250" t="s">
        <v>115</v>
      </c>
      <c r="C1250" t="b">
        <v>0</v>
      </c>
      <c r="D1250" s="1">
        <v>37895</v>
      </c>
      <c r="E1250">
        <v>3</v>
      </c>
      <c r="F1250"/>
      <c r="G1250"/>
      <c r="H1250"/>
      <c r="I1250"/>
      <c r="J1250"/>
      <c r="K1250"/>
      <c r="L1250"/>
      <c r="M1250"/>
      <c r="N1250"/>
      <c r="O1250"/>
    </row>
    <row r="1251" spans="1:15" hidden="1" x14ac:dyDescent="0.25">
      <c r="A1251" t="s">
        <v>106</v>
      </c>
      <c r="B1251" t="s">
        <v>115</v>
      </c>
      <c r="C1251" t="b">
        <v>0</v>
      </c>
      <c r="D1251" s="1">
        <v>37895</v>
      </c>
      <c r="E1251">
        <v>3</v>
      </c>
      <c r="F1251"/>
      <c r="G1251"/>
      <c r="H1251"/>
      <c r="I1251"/>
      <c r="J1251"/>
      <c r="K1251"/>
      <c r="L1251"/>
      <c r="M1251"/>
      <c r="N1251"/>
      <c r="O1251"/>
    </row>
    <row r="1252" spans="1:15" hidden="1" x14ac:dyDescent="0.25">
      <c r="A1252" t="s">
        <v>106</v>
      </c>
      <c r="B1252" t="s">
        <v>115</v>
      </c>
      <c r="C1252" t="b">
        <v>0</v>
      </c>
      <c r="D1252" s="1">
        <v>37895</v>
      </c>
      <c r="E1252">
        <v>3</v>
      </c>
      <c r="F1252"/>
      <c r="G1252"/>
      <c r="H1252"/>
      <c r="I1252"/>
      <c r="J1252"/>
      <c r="K1252"/>
      <c r="L1252"/>
      <c r="M1252"/>
      <c r="N1252"/>
      <c r="O1252"/>
    </row>
    <row r="1253" spans="1:15" hidden="1" x14ac:dyDescent="0.25">
      <c r="A1253" t="s">
        <v>106</v>
      </c>
      <c r="B1253" t="s">
        <v>115</v>
      </c>
      <c r="C1253" t="b">
        <v>0</v>
      </c>
      <c r="D1253" s="1">
        <v>37895</v>
      </c>
      <c r="E1253">
        <v>3</v>
      </c>
      <c r="F1253"/>
      <c r="G1253"/>
      <c r="H1253"/>
      <c r="I1253"/>
      <c r="J1253"/>
      <c r="K1253"/>
      <c r="L1253"/>
      <c r="M1253"/>
      <c r="N1253"/>
      <c r="O1253"/>
    </row>
    <row r="1254" spans="1:15" hidden="1" x14ac:dyDescent="0.25">
      <c r="A1254" t="s">
        <v>106</v>
      </c>
      <c r="B1254" t="s">
        <v>115</v>
      </c>
      <c r="C1254" t="b">
        <v>0</v>
      </c>
      <c r="D1254" s="1">
        <v>37895</v>
      </c>
      <c r="E1254">
        <v>3</v>
      </c>
      <c r="F1254"/>
      <c r="G1254"/>
      <c r="H1254"/>
      <c r="I1254"/>
      <c r="J1254"/>
      <c r="K1254"/>
      <c r="L1254"/>
      <c r="M1254"/>
      <c r="N1254"/>
      <c r="O1254"/>
    </row>
    <row r="1255" spans="1:15" hidden="1" x14ac:dyDescent="0.25">
      <c r="A1255" t="s">
        <v>106</v>
      </c>
      <c r="B1255" t="s">
        <v>115</v>
      </c>
      <c r="C1255" t="b">
        <v>0</v>
      </c>
      <c r="D1255" s="1">
        <v>37895</v>
      </c>
      <c r="E1255">
        <v>3</v>
      </c>
      <c r="F1255"/>
      <c r="G1255"/>
      <c r="H1255"/>
      <c r="I1255"/>
      <c r="J1255"/>
      <c r="K1255"/>
      <c r="L1255"/>
      <c r="M1255"/>
      <c r="N1255"/>
      <c r="O1255"/>
    </row>
    <row r="1256" spans="1:15" hidden="1" x14ac:dyDescent="0.25">
      <c r="A1256" t="s">
        <v>106</v>
      </c>
      <c r="B1256" t="s">
        <v>115</v>
      </c>
      <c r="C1256" t="b">
        <v>0</v>
      </c>
      <c r="D1256" s="1">
        <v>37895</v>
      </c>
      <c r="E1256">
        <v>3</v>
      </c>
      <c r="F1256"/>
      <c r="G1256"/>
      <c r="H1256"/>
      <c r="I1256"/>
      <c r="J1256"/>
      <c r="K1256"/>
      <c r="L1256"/>
      <c r="M1256"/>
      <c r="N1256"/>
      <c r="O1256"/>
    </row>
    <row r="1257" spans="1:15" hidden="1" x14ac:dyDescent="0.25">
      <c r="A1257" t="s">
        <v>106</v>
      </c>
      <c r="B1257" t="s">
        <v>115</v>
      </c>
      <c r="C1257" t="b">
        <v>0</v>
      </c>
      <c r="D1257" s="1">
        <v>37895</v>
      </c>
      <c r="E1257">
        <v>3</v>
      </c>
      <c r="F1257"/>
      <c r="G1257"/>
      <c r="H1257"/>
      <c r="I1257"/>
      <c r="J1257"/>
      <c r="K1257"/>
      <c r="L1257"/>
      <c r="M1257"/>
      <c r="N1257"/>
      <c r="O1257"/>
    </row>
    <row r="1258" spans="1:15" hidden="1" x14ac:dyDescent="0.25">
      <c r="A1258" t="s">
        <v>106</v>
      </c>
      <c r="B1258" t="s">
        <v>115</v>
      </c>
      <c r="C1258" t="b">
        <v>0</v>
      </c>
      <c r="D1258" s="1">
        <v>37895</v>
      </c>
      <c r="E1258">
        <v>3</v>
      </c>
      <c r="F1258"/>
      <c r="G1258"/>
      <c r="H1258"/>
      <c r="I1258"/>
      <c r="J1258"/>
      <c r="K1258"/>
      <c r="L1258"/>
      <c r="M1258"/>
      <c r="N1258"/>
      <c r="O1258"/>
    </row>
    <row r="1259" spans="1:15" hidden="1" x14ac:dyDescent="0.25">
      <c r="A1259" t="s">
        <v>106</v>
      </c>
      <c r="B1259" t="s">
        <v>115</v>
      </c>
      <c r="C1259" t="b">
        <v>0</v>
      </c>
      <c r="D1259" s="1">
        <v>37895</v>
      </c>
      <c r="E1259">
        <v>3</v>
      </c>
      <c r="F1259"/>
      <c r="G1259"/>
      <c r="H1259"/>
      <c r="I1259"/>
      <c r="J1259"/>
      <c r="K1259"/>
      <c r="L1259"/>
      <c r="M1259"/>
      <c r="N1259"/>
      <c r="O1259"/>
    </row>
    <row r="1260" spans="1:15" hidden="1" x14ac:dyDescent="0.25">
      <c r="A1260" t="s">
        <v>106</v>
      </c>
      <c r="B1260" t="s">
        <v>115</v>
      </c>
      <c r="C1260" t="b">
        <v>0</v>
      </c>
      <c r="D1260" s="1">
        <v>37895</v>
      </c>
      <c r="E1260">
        <v>3</v>
      </c>
      <c r="F1260"/>
      <c r="G1260"/>
      <c r="H1260"/>
      <c r="I1260"/>
      <c r="J1260"/>
      <c r="K1260"/>
      <c r="L1260"/>
      <c r="M1260"/>
      <c r="N1260"/>
      <c r="O1260"/>
    </row>
    <row r="1261" spans="1:15" hidden="1" x14ac:dyDescent="0.25">
      <c r="A1261" t="s">
        <v>106</v>
      </c>
      <c r="B1261" t="s">
        <v>115</v>
      </c>
      <c r="C1261" t="b">
        <v>0</v>
      </c>
      <c r="D1261" s="1">
        <v>37895</v>
      </c>
      <c r="E1261">
        <v>3</v>
      </c>
      <c r="F1261"/>
      <c r="G1261"/>
      <c r="H1261"/>
      <c r="I1261"/>
      <c r="J1261"/>
      <c r="K1261"/>
      <c r="L1261"/>
      <c r="M1261"/>
      <c r="N1261"/>
      <c r="O1261"/>
    </row>
    <row r="1262" spans="1:15" hidden="1" x14ac:dyDescent="0.25">
      <c r="A1262" t="s">
        <v>106</v>
      </c>
      <c r="B1262" t="s">
        <v>115</v>
      </c>
      <c r="C1262" t="b">
        <v>0</v>
      </c>
      <c r="D1262" s="1">
        <v>37895</v>
      </c>
      <c r="E1262">
        <v>3</v>
      </c>
      <c r="F1262"/>
      <c r="G1262"/>
      <c r="H1262"/>
      <c r="I1262"/>
      <c r="J1262"/>
      <c r="K1262"/>
      <c r="L1262"/>
      <c r="M1262"/>
      <c r="N1262"/>
      <c r="O1262"/>
    </row>
    <row r="1263" spans="1:15" hidden="1" x14ac:dyDescent="0.25">
      <c r="A1263" t="s">
        <v>106</v>
      </c>
      <c r="B1263" t="s">
        <v>115</v>
      </c>
      <c r="C1263" t="b">
        <v>0</v>
      </c>
      <c r="D1263" s="1">
        <v>37895</v>
      </c>
      <c r="E1263">
        <v>3</v>
      </c>
      <c r="F1263"/>
      <c r="G1263"/>
      <c r="H1263"/>
      <c r="I1263"/>
      <c r="J1263"/>
      <c r="K1263"/>
      <c r="L1263"/>
      <c r="M1263"/>
      <c r="N1263"/>
      <c r="O1263"/>
    </row>
    <row r="1264" spans="1:15" hidden="1" x14ac:dyDescent="0.25">
      <c r="A1264" t="s">
        <v>106</v>
      </c>
      <c r="B1264" t="s">
        <v>115</v>
      </c>
      <c r="C1264" t="b">
        <v>0</v>
      </c>
      <c r="D1264" s="1">
        <v>37895</v>
      </c>
      <c r="E1264">
        <v>3</v>
      </c>
      <c r="F1264"/>
      <c r="G1264"/>
      <c r="H1264"/>
      <c r="I1264"/>
      <c r="J1264"/>
      <c r="K1264"/>
      <c r="L1264"/>
      <c r="M1264"/>
      <c r="N1264"/>
      <c r="O1264"/>
    </row>
    <row r="1265" spans="1:15" hidden="1" x14ac:dyDescent="0.25">
      <c r="A1265" t="s">
        <v>19</v>
      </c>
      <c r="B1265" t="s">
        <v>115</v>
      </c>
      <c r="C1265" t="b">
        <v>0</v>
      </c>
      <c r="D1265" s="1">
        <v>37895</v>
      </c>
      <c r="E1265">
        <v>3</v>
      </c>
      <c r="F1265"/>
      <c r="G1265"/>
      <c r="H1265"/>
      <c r="I1265"/>
      <c r="J1265"/>
      <c r="K1265"/>
      <c r="L1265"/>
      <c r="M1265"/>
      <c r="N1265"/>
      <c r="O1265"/>
    </row>
    <row r="1266" spans="1:15" hidden="1" x14ac:dyDescent="0.25">
      <c r="A1266" t="s">
        <v>30</v>
      </c>
      <c r="B1266" t="s">
        <v>115</v>
      </c>
      <c r="C1266" t="b">
        <v>0</v>
      </c>
      <c r="D1266" s="1">
        <v>37895</v>
      </c>
      <c r="E1266">
        <v>3</v>
      </c>
      <c r="F1266"/>
      <c r="G1266"/>
      <c r="H1266"/>
      <c r="I1266"/>
      <c r="J1266"/>
      <c r="K1266"/>
      <c r="L1266"/>
      <c r="M1266"/>
      <c r="N1266"/>
      <c r="O1266"/>
    </row>
    <row r="1267" spans="1:15" hidden="1" x14ac:dyDescent="0.25">
      <c r="A1267" t="s">
        <v>39</v>
      </c>
      <c r="B1267" t="s">
        <v>115</v>
      </c>
      <c r="C1267" t="b">
        <v>0</v>
      </c>
      <c r="D1267" s="1">
        <v>37895</v>
      </c>
      <c r="E1267">
        <v>3</v>
      </c>
      <c r="F1267"/>
      <c r="G1267"/>
      <c r="H1267"/>
      <c r="I1267"/>
      <c r="J1267"/>
      <c r="K1267"/>
      <c r="L1267"/>
      <c r="M1267"/>
      <c r="N1267"/>
      <c r="O1267"/>
    </row>
    <row r="1268" spans="1:15" hidden="1" x14ac:dyDescent="0.25">
      <c r="A1268" t="s">
        <v>57</v>
      </c>
      <c r="B1268" t="s">
        <v>115</v>
      </c>
      <c r="C1268" t="b">
        <v>0</v>
      </c>
      <c r="D1268" s="1">
        <v>37895</v>
      </c>
      <c r="E1268">
        <v>3</v>
      </c>
      <c r="F1268"/>
      <c r="G1268"/>
      <c r="H1268"/>
      <c r="I1268"/>
      <c r="J1268"/>
      <c r="K1268"/>
      <c r="L1268"/>
      <c r="M1268"/>
      <c r="N1268"/>
      <c r="O1268"/>
    </row>
    <row r="1269" spans="1:15" hidden="1" x14ac:dyDescent="0.25">
      <c r="A1269" t="s">
        <v>86</v>
      </c>
      <c r="B1269" t="s">
        <v>115</v>
      </c>
      <c r="C1269" t="b">
        <v>0</v>
      </c>
      <c r="D1269" s="1">
        <v>37895</v>
      </c>
      <c r="E1269">
        <v>3</v>
      </c>
      <c r="F1269"/>
      <c r="G1269"/>
      <c r="H1269"/>
      <c r="I1269"/>
      <c r="J1269"/>
      <c r="K1269"/>
      <c r="L1269"/>
      <c r="M1269"/>
      <c r="N1269"/>
      <c r="O1269"/>
    </row>
    <row r="1270" spans="1:15" hidden="1" x14ac:dyDescent="0.25">
      <c r="A1270" t="s">
        <v>100</v>
      </c>
      <c r="B1270" t="s">
        <v>117</v>
      </c>
      <c r="C1270" t="b">
        <v>0</v>
      </c>
      <c r="D1270" s="1">
        <v>37926</v>
      </c>
      <c r="E1270" s="2">
        <v>-86.99</v>
      </c>
      <c r="F1270"/>
      <c r="G1270"/>
      <c r="H1270"/>
      <c r="I1270"/>
      <c r="J1270"/>
      <c r="K1270"/>
      <c r="L1270"/>
      <c r="M1270"/>
      <c r="N1270"/>
      <c r="O1270"/>
    </row>
    <row r="1271" spans="1:15" hidden="1" x14ac:dyDescent="0.25">
      <c r="A1271" t="s">
        <v>104</v>
      </c>
      <c r="B1271" t="s">
        <v>117</v>
      </c>
      <c r="C1271" t="b">
        <v>0</v>
      </c>
      <c r="D1271" s="1">
        <v>37926</v>
      </c>
      <c r="E1271" s="2">
        <v>-7.91</v>
      </c>
      <c r="F1271"/>
      <c r="G1271"/>
      <c r="H1271"/>
      <c r="I1271"/>
      <c r="J1271"/>
      <c r="K1271"/>
      <c r="L1271"/>
      <c r="M1271"/>
      <c r="N1271"/>
      <c r="O1271"/>
    </row>
    <row r="1272" spans="1:15" hidden="1" x14ac:dyDescent="0.25">
      <c r="A1272" t="s">
        <v>102</v>
      </c>
      <c r="B1272" t="s">
        <v>117</v>
      </c>
      <c r="C1272" t="b">
        <v>0</v>
      </c>
      <c r="D1272" s="1">
        <v>37926</v>
      </c>
      <c r="E1272" s="2">
        <v>-20.68</v>
      </c>
      <c r="F1272"/>
      <c r="G1272"/>
      <c r="H1272"/>
      <c r="I1272"/>
      <c r="J1272"/>
      <c r="K1272"/>
      <c r="L1272"/>
      <c r="M1272"/>
      <c r="N1272"/>
      <c r="O1272"/>
    </row>
    <row r="1273" spans="1:15" hidden="1" x14ac:dyDescent="0.25">
      <c r="A1273" t="s">
        <v>103</v>
      </c>
      <c r="B1273" t="s">
        <v>117</v>
      </c>
      <c r="C1273" t="b">
        <v>0</v>
      </c>
      <c r="D1273" s="1">
        <v>37926</v>
      </c>
      <c r="E1273" s="2">
        <v>-3.42</v>
      </c>
      <c r="F1273"/>
      <c r="G1273"/>
      <c r="H1273"/>
      <c r="I1273"/>
      <c r="J1273"/>
      <c r="K1273"/>
      <c r="L1273"/>
      <c r="M1273"/>
      <c r="N1273"/>
      <c r="O1273"/>
    </row>
    <row r="1274" spans="1:15" hidden="1" x14ac:dyDescent="0.25">
      <c r="A1274" t="s">
        <v>12</v>
      </c>
      <c r="B1274" t="s">
        <v>115</v>
      </c>
      <c r="C1274" t="b">
        <v>0</v>
      </c>
      <c r="D1274" s="1">
        <v>37926</v>
      </c>
      <c r="E1274">
        <v>3</v>
      </c>
      <c r="F1274"/>
      <c r="G1274"/>
      <c r="H1274"/>
      <c r="I1274"/>
      <c r="J1274"/>
      <c r="K1274"/>
      <c r="L1274"/>
      <c r="M1274"/>
      <c r="N1274"/>
      <c r="O1274"/>
    </row>
    <row r="1275" spans="1:15" hidden="1" x14ac:dyDescent="0.25">
      <c r="A1275" t="s">
        <v>14</v>
      </c>
      <c r="B1275" t="s">
        <v>115</v>
      </c>
      <c r="C1275" t="b">
        <v>0</v>
      </c>
      <c r="D1275" s="1">
        <v>37926</v>
      </c>
      <c r="E1275">
        <v>3</v>
      </c>
      <c r="F1275"/>
      <c r="G1275"/>
      <c r="H1275"/>
      <c r="I1275"/>
      <c r="J1275"/>
      <c r="K1275"/>
      <c r="L1275"/>
      <c r="M1275"/>
      <c r="N1275"/>
      <c r="O1275"/>
    </row>
    <row r="1276" spans="1:15" hidden="1" x14ac:dyDescent="0.25">
      <c r="A1276" t="s">
        <v>18</v>
      </c>
      <c r="B1276" t="s">
        <v>115</v>
      </c>
      <c r="C1276" t="b">
        <v>0</v>
      </c>
      <c r="D1276" s="1">
        <v>37926</v>
      </c>
      <c r="E1276">
        <v>3</v>
      </c>
      <c r="F1276"/>
      <c r="G1276"/>
      <c r="H1276"/>
      <c r="I1276"/>
      <c r="J1276"/>
      <c r="K1276"/>
      <c r="L1276"/>
      <c r="M1276"/>
      <c r="N1276"/>
      <c r="O1276"/>
    </row>
    <row r="1277" spans="1:15" hidden="1" x14ac:dyDescent="0.25">
      <c r="A1277" t="s">
        <v>106</v>
      </c>
      <c r="B1277" t="s">
        <v>115</v>
      </c>
      <c r="C1277" t="b">
        <v>0</v>
      </c>
      <c r="D1277" s="1">
        <v>37926</v>
      </c>
      <c r="E1277">
        <v>3</v>
      </c>
      <c r="F1277"/>
      <c r="G1277"/>
      <c r="H1277"/>
      <c r="I1277"/>
      <c r="J1277"/>
      <c r="K1277"/>
      <c r="L1277"/>
      <c r="M1277"/>
      <c r="N1277"/>
      <c r="O1277"/>
    </row>
    <row r="1278" spans="1:15" hidden="1" x14ac:dyDescent="0.25">
      <c r="A1278" t="s">
        <v>106</v>
      </c>
      <c r="B1278" t="s">
        <v>115</v>
      </c>
      <c r="C1278" t="b">
        <v>0</v>
      </c>
      <c r="D1278" s="1">
        <v>37926</v>
      </c>
      <c r="E1278">
        <v>3</v>
      </c>
      <c r="F1278"/>
      <c r="G1278"/>
      <c r="H1278"/>
      <c r="I1278"/>
      <c r="J1278"/>
      <c r="K1278"/>
      <c r="L1278"/>
      <c r="M1278"/>
      <c r="N1278"/>
      <c r="O1278"/>
    </row>
    <row r="1279" spans="1:15" hidden="1" x14ac:dyDescent="0.25">
      <c r="A1279" t="s">
        <v>106</v>
      </c>
      <c r="B1279" t="s">
        <v>115</v>
      </c>
      <c r="C1279" t="b">
        <v>0</v>
      </c>
      <c r="D1279" s="1">
        <v>37926</v>
      </c>
      <c r="E1279">
        <v>3</v>
      </c>
      <c r="F1279"/>
      <c r="G1279"/>
      <c r="H1279"/>
      <c r="I1279"/>
      <c r="J1279"/>
      <c r="K1279"/>
      <c r="L1279"/>
      <c r="M1279"/>
      <c r="N1279"/>
      <c r="O1279"/>
    </row>
    <row r="1280" spans="1:15" hidden="1" x14ac:dyDescent="0.25">
      <c r="A1280" t="s">
        <v>106</v>
      </c>
      <c r="B1280" t="s">
        <v>115</v>
      </c>
      <c r="C1280" t="b">
        <v>0</v>
      </c>
      <c r="D1280" s="1">
        <v>37926</v>
      </c>
      <c r="E1280">
        <v>3</v>
      </c>
      <c r="F1280"/>
      <c r="G1280"/>
      <c r="H1280"/>
      <c r="I1280"/>
      <c r="J1280"/>
      <c r="K1280"/>
      <c r="L1280"/>
      <c r="M1280"/>
      <c r="N1280"/>
      <c r="O1280"/>
    </row>
    <row r="1281" spans="1:15" hidden="1" x14ac:dyDescent="0.25">
      <c r="A1281" t="s">
        <v>106</v>
      </c>
      <c r="B1281" t="s">
        <v>115</v>
      </c>
      <c r="C1281" t="b">
        <v>0</v>
      </c>
      <c r="D1281" s="1">
        <v>37926</v>
      </c>
      <c r="E1281">
        <v>3</v>
      </c>
      <c r="F1281"/>
      <c r="G1281"/>
      <c r="H1281"/>
      <c r="I1281"/>
      <c r="J1281"/>
      <c r="K1281"/>
      <c r="L1281"/>
      <c r="M1281"/>
      <c r="N1281"/>
      <c r="O1281"/>
    </row>
    <row r="1282" spans="1:15" hidden="1" x14ac:dyDescent="0.25">
      <c r="A1282" t="s">
        <v>106</v>
      </c>
      <c r="B1282" t="s">
        <v>115</v>
      </c>
      <c r="C1282" t="b">
        <v>0</v>
      </c>
      <c r="D1282" s="1">
        <v>37926</v>
      </c>
      <c r="E1282">
        <v>3</v>
      </c>
      <c r="F1282"/>
      <c r="G1282"/>
      <c r="H1282"/>
      <c r="I1282"/>
      <c r="J1282"/>
      <c r="K1282"/>
      <c r="L1282"/>
      <c r="M1282"/>
      <c r="N1282"/>
      <c r="O1282"/>
    </row>
    <row r="1283" spans="1:15" hidden="1" x14ac:dyDescent="0.25">
      <c r="A1283" t="s">
        <v>106</v>
      </c>
      <c r="B1283" t="s">
        <v>115</v>
      </c>
      <c r="C1283" t="b">
        <v>0</v>
      </c>
      <c r="D1283" s="1">
        <v>37926</v>
      </c>
      <c r="E1283">
        <v>3</v>
      </c>
      <c r="F1283"/>
      <c r="G1283"/>
      <c r="H1283"/>
      <c r="I1283"/>
      <c r="J1283"/>
      <c r="K1283"/>
      <c r="L1283"/>
      <c r="M1283"/>
      <c r="N1283"/>
      <c r="O1283"/>
    </row>
    <row r="1284" spans="1:15" hidden="1" x14ac:dyDescent="0.25">
      <c r="A1284" t="s">
        <v>106</v>
      </c>
      <c r="B1284" t="s">
        <v>115</v>
      </c>
      <c r="C1284" t="b">
        <v>0</v>
      </c>
      <c r="D1284" s="1">
        <v>37926</v>
      </c>
      <c r="E1284">
        <v>3</v>
      </c>
      <c r="F1284"/>
      <c r="G1284"/>
      <c r="H1284"/>
      <c r="I1284"/>
      <c r="J1284"/>
      <c r="K1284"/>
      <c r="L1284"/>
      <c r="M1284"/>
      <c r="N1284"/>
      <c r="O1284"/>
    </row>
    <row r="1285" spans="1:15" hidden="1" x14ac:dyDescent="0.25">
      <c r="A1285" t="s">
        <v>106</v>
      </c>
      <c r="B1285" t="s">
        <v>115</v>
      </c>
      <c r="C1285" t="b">
        <v>0</v>
      </c>
      <c r="D1285" s="1">
        <v>37926</v>
      </c>
      <c r="E1285">
        <v>3</v>
      </c>
      <c r="F1285"/>
      <c r="G1285"/>
      <c r="H1285"/>
      <c r="I1285"/>
      <c r="J1285"/>
      <c r="K1285"/>
      <c r="L1285"/>
      <c r="M1285"/>
      <c r="N1285"/>
      <c r="O1285"/>
    </row>
    <row r="1286" spans="1:15" hidden="1" x14ac:dyDescent="0.25">
      <c r="A1286" t="s">
        <v>106</v>
      </c>
      <c r="B1286" t="s">
        <v>115</v>
      </c>
      <c r="C1286" t="b">
        <v>0</v>
      </c>
      <c r="D1286" s="1">
        <v>37926</v>
      </c>
      <c r="E1286">
        <v>3</v>
      </c>
      <c r="F1286"/>
      <c r="G1286"/>
      <c r="H1286"/>
      <c r="I1286"/>
      <c r="J1286"/>
      <c r="K1286"/>
      <c r="L1286"/>
      <c r="M1286"/>
      <c r="N1286"/>
      <c r="O1286"/>
    </row>
    <row r="1287" spans="1:15" hidden="1" x14ac:dyDescent="0.25">
      <c r="A1287" t="s">
        <v>106</v>
      </c>
      <c r="B1287" t="s">
        <v>115</v>
      </c>
      <c r="C1287" t="b">
        <v>0</v>
      </c>
      <c r="D1287" s="1">
        <v>37926</v>
      </c>
      <c r="E1287">
        <v>3</v>
      </c>
      <c r="F1287"/>
      <c r="G1287"/>
      <c r="H1287"/>
      <c r="I1287"/>
      <c r="J1287"/>
      <c r="K1287"/>
      <c r="L1287"/>
      <c r="M1287"/>
      <c r="N1287"/>
      <c r="O1287"/>
    </row>
    <row r="1288" spans="1:15" hidden="1" x14ac:dyDescent="0.25">
      <c r="A1288" t="s">
        <v>106</v>
      </c>
      <c r="B1288" t="s">
        <v>115</v>
      </c>
      <c r="C1288" t="b">
        <v>0</v>
      </c>
      <c r="D1288" s="1">
        <v>37926</v>
      </c>
      <c r="E1288">
        <v>3</v>
      </c>
      <c r="F1288"/>
      <c r="G1288"/>
      <c r="H1288"/>
      <c r="I1288"/>
      <c r="J1288"/>
      <c r="K1288"/>
      <c r="L1288"/>
      <c r="M1288"/>
      <c r="N1288"/>
      <c r="O1288"/>
    </row>
    <row r="1289" spans="1:15" hidden="1" x14ac:dyDescent="0.25">
      <c r="A1289" t="s">
        <v>106</v>
      </c>
      <c r="B1289" t="s">
        <v>115</v>
      </c>
      <c r="C1289" t="b">
        <v>0</v>
      </c>
      <c r="D1289" s="1">
        <v>37926</v>
      </c>
      <c r="E1289">
        <v>3</v>
      </c>
      <c r="F1289"/>
      <c r="G1289"/>
      <c r="H1289"/>
      <c r="I1289"/>
      <c r="J1289"/>
      <c r="K1289"/>
      <c r="L1289"/>
      <c r="M1289"/>
      <c r="N1289"/>
      <c r="O1289"/>
    </row>
    <row r="1290" spans="1:15" hidden="1" x14ac:dyDescent="0.25">
      <c r="A1290" t="s">
        <v>106</v>
      </c>
      <c r="B1290" t="s">
        <v>115</v>
      </c>
      <c r="C1290" t="b">
        <v>0</v>
      </c>
      <c r="D1290" s="1">
        <v>37926</v>
      </c>
      <c r="E1290">
        <v>3</v>
      </c>
      <c r="F1290"/>
      <c r="G1290"/>
      <c r="H1290"/>
      <c r="I1290"/>
      <c r="J1290"/>
      <c r="K1290"/>
      <c r="L1290"/>
      <c r="M1290"/>
      <c r="N1290"/>
      <c r="O1290"/>
    </row>
    <row r="1291" spans="1:15" hidden="1" x14ac:dyDescent="0.25">
      <c r="A1291" t="s">
        <v>106</v>
      </c>
      <c r="B1291" t="s">
        <v>115</v>
      </c>
      <c r="C1291" t="b">
        <v>0</v>
      </c>
      <c r="D1291" s="1">
        <v>37926</v>
      </c>
      <c r="E1291">
        <v>3</v>
      </c>
      <c r="F1291"/>
      <c r="G1291"/>
      <c r="H1291"/>
      <c r="I1291"/>
      <c r="J1291"/>
      <c r="K1291"/>
      <c r="L1291"/>
      <c r="M1291"/>
      <c r="N1291"/>
      <c r="O1291"/>
    </row>
    <row r="1292" spans="1:15" hidden="1" x14ac:dyDescent="0.25">
      <c r="A1292" t="s">
        <v>106</v>
      </c>
      <c r="B1292" t="s">
        <v>115</v>
      </c>
      <c r="C1292" t="b">
        <v>0</v>
      </c>
      <c r="D1292" s="1">
        <v>37926</v>
      </c>
      <c r="E1292">
        <v>3</v>
      </c>
      <c r="F1292"/>
      <c r="G1292"/>
      <c r="H1292"/>
      <c r="I1292"/>
      <c r="J1292"/>
      <c r="K1292"/>
      <c r="L1292"/>
      <c r="M1292"/>
      <c r="N1292"/>
      <c r="O1292"/>
    </row>
    <row r="1293" spans="1:15" hidden="1" x14ac:dyDescent="0.25">
      <c r="A1293" t="s">
        <v>106</v>
      </c>
      <c r="B1293" t="s">
        <v>115</v>
      </c>
      <c r="C1293" t="b">
        <v>0</v>
      </c>
      <c r="D1293" s="1">
        <v>37926</v>
      </c>
      <c r="E1293">
        <v>3</v>
      </c>
      <c r="F1293"/>
      <c r="G1293"/>
      <c r="H1293"/>
      <c r="I1293"/>
      <c r="J1293"/>
      <c r="K1293"/>
      <c r="L1293"/>
      <c r="M1293"/>
      <c r="N1293"/>
      <c r="O1293"/>
    </row>
    <row r="1294" spans="1:15" hidden="1" x14ac:dyDescent="0.25">
      <c r="A1294" t="s">
        <v>106</v>
      </c>
      <c r="B1294" t="s">
        <v>115</v>
      </c>
      <c r="C1294" t="b">
        <v>0</v>
      </c>
      <c r="D1294" s="1">
        <v>37926</v>
      </c>
      <c r="E1294">
        <v>3</v>
      </c>
      <c r="F1294"/>
      <c r="G1294"/>
      <c r="H1294"/>
      <c r="I1294"/>
      <c r="J1294"/>
      <c r="K1294"/>
      <c r="L1294"/>
      <c r="M1294"/>
      <c r="N1294"/>
      <c r="O1294"/>
    </row>
    <row r="1295" spans="1:15" hidden="1" x14ac:dyDescent="0.25">
      <c r="A1295" t="s">
        <v>106</v>
      </c>
      <c r="B1295" t="s">
        <v>115</v>
      </c>
      <c r="C1295" t="b">
        <v>0</v>
      </c>
      <c r="D1295" s="1">
        <v>37926</v>
      </c>
      <c r="E1295">
        <v>3</v>
      </c>
      <c r="F1295"/>
      <c r="G1295"/>
      <c r="H1295"/>
      <c r="I1295"/>
      <c r="J1295"/>
      <c r="K1295"/>
      <c r="L1295"/>
      <c r="M1295"/>
      <c r="N1295"/>
      <c r="O1295"/>
    </row>
    <row r="1296" spans="1:15" hidden="1" x14ac:dyDescent="0.25">
      <c r="A1296" t="s">
        <v>106</v>
      </c>
      <c r="B1296" t="s">
        <v>115</v>
      </c>
      <c r="C1296" t="b">
        <v>0</v>
      </c>
      <c r="D1296" s="1">
        <v>37926</v>
      </c>
      <c r="E1296">
        <v>3</v>
      </c>
      <c r="F1296"/>
      <c r="G1296"/>
      <c r="H1296"/>
      <c r="I1296"/>
      <c r="J1296"/>
      <c r="K1296"/>
      <c r="L1296"/>
      <c r="M1296"/>
      <c r="N1296"/>
      <c r="O1296"/>
    </row>
    <row r="1297" spans="1:15" hidden="1" x14ac:dyDescent="0.25">
      <c r="A1297" t="s">
        <v>106</v>
      </c>
      <c r="B1297" t="s">
        <v>115</v>
      </c>
      <c r="C1297" t="b">
        <v>0</v>
      </c>
      <c r="D1297" s="1">
        <v>37926</v>
      </c>
      <c r="E1297">
        <v>3</v>
      </c>
      <c r="F1297"/>
      <c r="G1297"/>
      <c r="H1297"/>
      <c r="I1297"/>
      <c r="J1297"/>
      <c r="K1297"/>
      <c r="L1297"/>
      <c r="M1297"/>
      <c r="N1297"/>
      <c r="O1297"/>
    </row>
    <row r="1298" spans="1:15" hidden="1" x14ac:dyDescent="0.25">
      <c r="A1298" t="s">
        <v>106</v>
      </c>
      <c r="B1298" t="s">
        <v>115</v>
      </c>
      <c r="C1298" t="b">
        <v>0</v>
      </c>
      <c r="D1298" s="1">
        <v>37926</v>
      </c>
      <c r="E1298">
        <v>3</v>
      </c>
      <c r="F1298"/>
      <c r="G1298"/>
      <c r="H1298"/>
      <c r="I1298"/>
      <c r="J1298"/>
      <c r="K1298"/>
      <c r="L1298"/>
      <c r="M1298"/>
      <c r="N1298"/>
      <c r="O1298"/>
    </row>
    <row r="1299" spans="1:15" hidden="1" x14ac:dyDescent="0.25">
      <c r="A1299" t="s">
        <v>106</v>
      </c>
      <c r="B1299" t="s">
        <v>115</v>
      </c>
      <c r="C1299" t="b">
        <v>0</v>
      </c>
      <c r="D1299" s="1">
        <v>37926</v>
      </c>
      <c r="E1299">
        <v>3</v>
      </c>
      <c r="F1299"/>
      <c r="G1299"/>
      <c r="H1299"/>
      <c r="I1299"/>
      <c r="J1299"/>
      <c r="K1299"/>
      <c r="L1299"/>
      <c r="M1299"/>
      <c r="N1299"/>
      <c r="O1299"/>
    </row>
    <row r="1300" spans="1:15" hidden="1" x14ac:dyDescent="0.25">
      <c r="A1300" t="s">
        <v>30</v>
      </c>
      <c r="B1300" t="s">
        <v>115</v>
      </c>
      <c r="C1300" t="b">
        <v>0</v>
      </c>
      <c r="D1300" s="1">
        <v>37926</v>
      </c>
      <c r="E1300">
        <v>3</v>
      </c>
      <c r="F1300"/>
      <c r="G1300"/>
      <c r="H1300"/>
      <c r="I1300"/>
      <c r="J1300"/>
      <c r="K1300"/>
      <c r="L1300"/>
      <c r="M1300"/>
      <c r="N1300"/>
      <c r="O1300"/>
    </row>
    <row r="1301" spans="1:15" hidden="1" x14ac:dyDescent="0.25">
      <c r="A1301" t="s">
        <v>39</v>
      </c>
      <c r="B1301" t="s">
        <v>115</v>
      </c>
      <c r="C1301" t="b">
        <v>0</v>
      </c>
      <c r="D1301" s="1">
        <v>37926</v>
      </c>
      <c r="E1301">
        <v>3</v>
      </c>
      <c r="F1301"/>
      <c r="G1301"/>
      <c r="H1301"/>
      <c r="I1301"/>
      <c r="J1301"/>
      <c r="K1301"/>
      <c r="L1301"/>
      <c r="M1301"/>
      <c r="N1301"/>
      <c r="O1301"/>
    </row>
    <row r="1302" spans="1:15" hidden="1" x14ac:dyDescent="0.25">
      <c r="A1302" t="s">
        <v>86</v>
      </c>
      <c r="B1302" t="s">
        <v>115</v>
      </c>
      <c r="C1302" t="b">
        <v>0</v>
      </c>
      <c r="D1302" s="1">
        <v>37926</v>
      </c>
      <c r="E1302">
        <v>3</v>
      </c>
      <c r="F1302"/>
      <c r="G1302"/>
      <c r="H1302"/>
      <c r="I1302"/>
      <c r="J1302"/>
      <c r="K1302"/>
      <c r="L1302"/>
      <c r="M1302"/>
      <c r="N1302"/>
      <c r="O1302"/>
    </row>
    <row r="1303" spans="1:15" hidden="1" x14ac:dyDescent="0.25">
      <c r="A1303" t="s">
        <v>99</v>
      </c>
      <c r="B1303" t="s">
        <v>114</v>
      </c>
      <c r="C1303" t="b">
        <v>0</v>
      </c>
      <c r="D1303" s="1">
        <v>37926</v>
      </c>
      <c r="E1303">
        <v>3.379999999999999</v>
      </c>
      <c r="F1303"/>
      <c r="G1303"/>
      <c r="H1303"/>
      <c r="I1303"/>
      <c r="J1303"/>
      <c r="K1303"/>
      <c r="L1303"/>
      <c r="M1303"/>
      <c r="N1303"/>
      <c r="O1303"/>
    </row>
    <row r="1304" spans="1:15" hidden="1" x14ac:dyDescent="0.25">
      <c r="A1304" t="s">
        <v>100</v>
      </c>
      <c r="B1304" t="s">
        <v>117</v>
      </c>
      <c r="C1304" t="b">
        <v>0</v>
      </c>
      <c r="D1304" s="1">
        <v>37956</v>
      </c>
      <c r="E1304" s="2">
        <v>-8.9700000000000006</v>
      </c>
      <c r="F1304"/>
      <c r="G1304"/>
      <c r="H1304"/>
      <c r="I1304"/>
      <c r="J1304"/>
      <c r="K1304"/>
      <c r="L1304"/>
      <c r="M1304"/>
      <c r="N1304"/>
      <c r="O1304"/>
    </row>
    <row r="1305" spans="1:15" hidden="1" x14ac:dyDescent="0.25">
      <c r="A1305" t="s">
        <v>11</v>
      </c>
      <c r="B1305" t="s">
        <v>115</v>
      </c>
      <c r="C1305" t="b">
        <v>0</v>
      </c>
      <c r="D1305" s="1">
        <v>37956</v>
      </c>
      <c r="E1305">
        <v>3</v>
      </c>
      <c r="F1305"/>
      <c r="G1305"/>
      <c r="H1305"/>
      <c r="I1305"/>
      <c r="J1305"/>
      <c r="K1305"/>
      <c r="L1305"/>
      <c r="M1305"/>
      <c r="N1305"/>
      <c r="O1305"/>
    </row>
    <row r="1306" spans="1:15" hidden="1" x14ac:dyDescent="0.25">
      <c r="A1306" t="s">
        <v>14</v>
      </c>
      <c r="B1306" t="s">
        <v>115</v>
      </c>
      <c r="C1306" t="b">
        <v>0</v>
      </c>
      <c r="D1306" s="1">
        <v>37956</v>
      </c>
      <c r="E1306">
        <v>3</v>
      </c>
      <c r="F1306"/>
      <c r="G1306"/>
      <c r="H1306"/>
      <c r="I1306"/>
      <c r="J1306"/>
      <c r="K1306"/>
      <c r="L1306"/>
      <c r="M1306"/>
      <c r="N1306"/>
      <c r="O1306"/>
    </row>
    <row r="1307" spans="1:15" hidden="1" x14ac:dyDescent="0.25">
      <c r="A1307" t="s">
        <v>18</v>
      </c>
      <c r="B1307" t="s">
        <v>115</v>
      </c>
      <c r="C1307" t="b">
        <v>0</v>
      </c>
      <c r="D1307" s="1">
        <v>37956</v>
      </c>
      <c r="E1307">
        <v>3</v>
      </c>
      <c r="F1307"/>
      <c r="G1307"/>
      <c r="H1307"/>
      <c r="I1307"/>
      <c r="J1307"/>
      <c r="K1307"/>
      <c r="L1307"/>
      <c r="M1307"/>
      <c r="N1307"/>
      <c r="O1307"/>
    </row>
    <row r="1308" spans="1:15" hidden="1" x14ac:dyDescent="0.25">
      <c r="A1308" t="s">
        <v>106</v>
      </c>
      <c r="B1308" t="s">
        <v>115</v>
      </c>
      <c r="C1308" t="b">
        <v>0</v>
      </c>
      <c r="D1308" s="1">
        <v>37956</v>
      </c>
      <c r="E1308">
        <v>3</v>
      </c>
      <c r="F1308"/>
      <c r="G1308"/>
      <c r="H1308"/>
      <c r="I1308"/>
      <c r="J1308"/>
      <c r="K1308"/>
      <c r="L1308"/>
      <c r="M1308"/>
      <c r="N1308"/>
      <c r="O1308"/>
    </row>
    <row r="1309" spans="1:15" hidden="1" x14ac:dyDescent="0.25">
      <c r="A1309" t="s">
        <v>106</v>
      </c>
      <c r="B1309" t="s">
        <v>115</v>
      </c>
      <c r="C1309" t="b">
        <v>0</v>
      </c>
      <c r="D1309" s="1">
        <v>37956</v>
      </c>
      <c r="E1309">
        <v>3</v>
      </c>
      <c r="F1309"/>
      <c r="G1309"/>
      <c r="H1309"/>
      <c r="I1309"/>
      <c r="J1309"/>
      <c r="K1309"/>
      <c r="L1309"/>
      <c r="M1309"/>
      <c r="N1309"/>
      <c r="O1309"/>
    </row>
    <row r="1310" spans="1:15" hidden="1" x14ac:dyDescent="0.25">
      <c r="A1310" t="s">
        <v>106</v>
      </c>
      <c r="B1310" t="s">
        <v>115</v>
      </c>
      <c r="C1310" t="b">
        <v>0</v>
      </c>
      <c r="D1310" s="1">
        <v>37956</v>
      </c>
      <c r="E1310">
        <v>3</v>
      </c>
      <c r="F1310"/>
      <c r="G1310"/>
      <c r="H1310"/>
      <c r="I1310"/>
      <c r="J1310"/>
      <c r="K1310"/>
      <c r="L1310"/>
      <c r="M1310"/>
      <c r="N1310"/>
      <c r="O1310"/>
    </row>
    <row r="1311" spans="1:15" hidden="1" x14ac:dyDescent="0.25">
      <c r="A1311" t="s">
        <v>106</v>
      </c>
      <c r="B1311" t="s">
        <v>115</v>
      </c>
      <c r="C1311" t="b">
        <v>0</v>
      </c>
      <c r="D1311" s="1">
        <v>37956</v>
      </c>
      <c r="E1311">
        <v>3</v>
      </c>
      <c r="F1311"/>
      <c r="G1311"/>
      <c r="H1311"/>
      <c r="I1311"/>
      <c r="J1311"/>
      <c r="K1311"/>
      <c r="L1311"/>
      <c r="M1311"/>
      <c r="N1311"/>
      <c r="O1311"/>
    </row>
    <row r="1312" spans="1:15" hidden="1" x14ac:dyDescent="0.25">
      <c r="A1312" t="s">
        <v>106</v>
      </c>
      <c r="B1312" t="s">
        <v>115</v>
      </c>
      <c r="C1312" t="b">
        <v>0</v>
      </c>
      <c r="D1312" s="1">
        <v>37956</v>
      </c>
      <c r="E1312">
        <v>3</v>
      </c>
      <c r="F1312"/>
      <c r="G1312"/>
      <c r="H1312"/>
      <c r="I1312"/>
      <c r="J1312"/>
      <c r="K1312"/>
      <c r="L1312"/>
      <c r="M1312"/>
      <c r="N1312"/>
      <c r="O1312"/>
    </row>
    <row r="1313" spans="1:15" hidden="1" x14ac:dyDescent="0.25">
      <c r="A1313" t="s">
        <v>106</v>
      </c>
      <c r="B1313" t="s">
        <v>115</v>
      </c>
      <c r="C1313" t="b">
        <v>0</v>
      </c>
      <c r="D1313" s="1">
        <v>37956</v>
      </c>
      <c r="E1313">
        <v>3</v>
      </c>
      <c r="F1313"/>
      <c r="G1313"/>
      <c r="H1313"/>
      <c r="I1313"/>
      <c r="J1313"/>
      <c r="K1313"/>
      <c r="L1313"/>
      <c r="M1313"/>
      <c r="N1313"/>
      <c r="O1313"/>
    </row>
    <row r="1314" spans="1:15" hidden="1" x14ac:dyDescent="0.25">
      <c r="A1314" t="s">
        <v>106</v>
      </c>
      <c r="B1314" t="s">
        <v>115</v>
      </c>
      <c r="C1314" t="b">
        <v>0</v>
      </c>
      <c r="D1314" s="1">
        <v>37956</v>
      </c>
      <c r="E1314">
        <v>3</v>
      </c>
      <c r="F1314"/>
      <c r="G1314"/>
      <c r="H1314"/>
      <c r="I1314"/>
      <c r="J1314"/>
      <c r="K1314"/>
      <c r="L1314"/>
      <c r="M1314"/>
      <c r="N1314"/>
      <c r="O1314"/>
    </row>
    <row r="1315" spans="1:15" hidden="1" x14ac:dyDescent="0.25">
      <c r="A1315" t="s">
        <v>106</v>
      </c>
      <c r="B1315" t="s">
        <v>115</v>
      </c>
      <c r="C1315" t="b">
        <v>0</v>
      </c>
      <c r="D1315" s="1">
        <v>37956</v>
      </c>
      <c r="E1315">
        <v>3</v>
      </c>
      <c r="F1315"/>
      <c r="G1315"/>
      <c r="H1315"/>
      <c r="I1315"/>
      <c r="J1315"/>
      <c r="K1315"/>
      <c r="L1315"/>
      <c r="M1315"/>
      <c r="N1315"/>
      <c r="O1315"/>
    </row>
    <row r="1316" spans="1:15" hidden="1" x14ac:dyDescent="0.25">
      <c r="A1316" t="s">
        <v>106</v>
      </c>
      <c r="B1316" t="s">
        <v>115</v>
      </c>
      <c r="C1316" t="b">
        <v>0</v>
      </c>
      <c r="D1316" s="1">
        <v>37956</v>
      </c>
      <c r="E1316">
        <v>3</v>
      </c>
      <c r="F1316"/>
      <c r="G1316"/>
      <c r="H1316"/>
      <c r="I1316"/>
      <c r="J1316"/>
      <c r="K1316"/>
      <c r="L1316"/>
      <c r="M1316"/>
      <c r="N1316"/>
      <c r="O1316"/>
    </row>
    <row r="1317" spans="1:15" hidden="1" x14ac:dyDescent="0.25">
      <c r="A1317" t="s">
        <v>106</v>
      </c>
      <c r="B1317" t="s">
        <v>115</v>
      </c>
      <c r="C1317" t="b">
        <v>0</v>
      </c>
      <c r="D1317" s="1">
        <v>37956</v>
      </c>
      <c r="E1317">
        <v>3</v>
      </c>
      <c r="F1317"/>
      <c r="G1317"/>
      <c r="H1317"/>
      <c r="I1317"/>
      <c r="J1317"/>
      <c r="K1317"/>
      <c r="L1317"/>
      <c r="M1317"/>
      <c r="N1317"/>
      <c r="O1317"/>
    </row>
    <row r="1318" spans="1:15" hidden="1" x14ac:dyDescent="0.25">
      <c r="A1318" t="s">
        <v>106</v>
      </c>
      <c r="B1318" t="s">
        <v>115</v>
      </c>
      <c r="C1318" t="b">
        <v>0</v>
      </c>
      <c r="D1318" s="1">
        <v>37956</v>
      </c>
      <c r="E1318">
        <v>3</v>
      </c>
      <c r="F1318"/>
      <c r="G1318"/>
      <c r="H1318"/>
      <c r="I1318"/>
      <c r="J1318"/>
      <c r="K1318"/>
      <c r="L1318"/>
      <c r="M1318"/>
      <c r="N1318"/>
      <c r="O1318"/>
    </row>
    <row r="1319" spans="1:15" hidden="1" x14ac:dyDescent="0.25">
      <c r="A1319" t="s">
        <v>106</v>
      </c>
      <c r="B1319" t="s">
        <v>115</v>
      </c>
      <c r="C1319" t="b">
        <v>0</v>
      </c>
      <c r="D1319" s="1">
        <v>37956</v>
      </c>
      <c r="E1319">
        <v>3</v>
      </c>
      <c r="F1319"/>
      <c r="G1319"/>
      <c r="H1319"/>
      <c r="I1319"/>
      <c r="J1319"/>
      <c r="K1319"/>
      <c r="L1319"/>
      <c r="M1319"/>
      <c r="N1319"/>
      <c r="O1319"/>
    </row>
    <row r="1320" spans="1:15" hidden="1" x14ac:dyDescent="0.25">
      <c r="A1320" t="s">
        <v>106</v>
      </c>
      <c r="B1320" t="s">
        <v>115</v>
      </c>
      <c r="C1320" t="b">
        <v>0</v>
      </c>
      <c r="D1320" s="1">
        <v>37956</v>
      </c>
      <c r="E1320">
        <v>3</v>
      </c>
      <c r="F1320"/>
      <c r="G1320"/>
      <c r="H1320"/>
      <c r="I1320"/>
      <c r="J1320"/>
      <c r="K1320"/>
      <c r="L1320"/>
      <c r="M1320"/>
      <c r="N1320"/>
      <c r="O1320"/>
    </row>
    <row r="1321" spans="1:15" hidden="1" x14ac:dyDescent="0.25">
      <c r="A1321" t="s">
        <v>106</v>
      </c>
      <c r="B1321" t="s">
        <v>115</v>
      </c>
      <c r="C1321" t="b">
        <v>0</v>
      </c>
      <c r="D1321" s="1">
        <v>37956</v>
      </c>
      <c r="E1321">
        <v>3</v>
      </c>
      <c r="F1321"/>
      <c r="G1321"/>
      <c r="H1321"/>
      <c r="I1321"/>
      <c r="J1321"/>
      <c r="K1321"/>
      <c r="L1321"/>
      <c r="M1321"/>
      <c r="N1321"/>
      <c r="O1321"/>
    </row>
    <row r="1322" spans="1:15" hidden="1" x14ac:dyDescent="0.25">
      <c r="A1322" t="s">
        <v>106</v>
      </c>
      <c r="B1322" t="s">
        <v>115</v>
      </c>
      <c r="C1322" t="b">
        <v>0</v>
      </c>
      <c r="D1322" s="1">
        <v>37956</v>
      </c>
      <c r="E1322">
        <v>3</v>
      </c>
      <c r="F1322"/>
      <c r="G1322"/>
      <c r="H1322"/>
      <c r="I1322"/>
      <c r="J1322"/>
      <c r="K1322"/>
      <c r="L1322"/>
      <c r="M1322"/>
      <c r="N1322"/>
      <c r="O1322"/>
    </row>
    <row r="1323" spans="1:15" hidden="1" x14ac:dyDescent="0.25">
      <c r="A1323" t="s">
        <v>106</v>
      </c>
      <c r="B1323" t="s">
        <v>115</v>
      </c>
      <c r="C1323" t="b">
        <v>0</v>
      </c>
      <c r="D1323" s="1">
        <v>37956</v>
      </c>
      <c r="E1323">
        <v>3</v>
      </c>
      <c r="F1323"/>
      <c r="G1323"/>
      <c r="H1323"/>
      <c r="I1323"/>
      <c r="J1323"/>
      <c r="K1323"/>
      <c r="L1323"/>
      <c r="M1323"/>
      <c r="N1323"/>
      <c r="O1323"/>
    </row>
    <row r="1324" spans="1:15" hidden="1" x14ac:dyDescent="0.25">
      <c r="A1324" t="s">
        <v>106</v>
      </c>
      <c r="B1324" t="s">
        <v>115</v>
      </c>
      <c r="C1324" t="b">
        <v>0</v>
      </c>
      <c r="D1324" s="1">
        <v>37956</v>
      </c>
      <c r="E1324">
        <v>3</v>
      </c>
      <c r="F1324"/>
      <c r="G1324"/>
      <c r="H1324"/>
      <c r="I1324"/>
      <c r="J1324"/>
      <c r="K1324"/>
      <c r="L1324"/>
      <c r="M1324"/>
      <c r="N1324"/>
      <c r="O1324"/>
    </row>
    <row r="1325" spans="1:15" hidden="1" x14ac:dyDescent="0.25">
      <c r="A1325" t="s">
        <v>106</v>
      </c>
      <c r="B1325" t="s">
        <v>115</v>
      </c>
      <c r="C1325" t="b">
        <v>0</v>
      </c>
      <c r="D1325" s="1">
        <v>37956</v>
      </c>
      <c r="E1325">
        <v>3</v>
      </c>
      <c r="F1325"/>
      <c r="G1325"/>
      <c r="H1325"/>
      <c r="I1325"/>
      <c r="J1325"/>
      <c r="K1325"/>
      <c r="L1325"/>
      <c r="M1325"/>
      <c r="N1325"/>
      <c r="O1325"/>
    </row>
    <row r="1326" spans="1:15" hidden="1" x14ac:dyDescent="0.25">
      <c r="A1326" t="s">
        <v>106</v>
      </c>
      <c r="B1326" t="s">
        <v>115</v>
      </c>
      <c r="C1326" t="b">
        <v>0</v>
      </c>
      <c r="D1326" s="1">
        <v>37956</v>
      </c>
      <c r="E1326">
        <v>3</v>
      </c>
      <c r="F1326"/>
      <c r="G1326"/>
      <c r="H1326"/>
      <c r="I1326"/>
      <c r="J1326"/>
      <c r="K1326"/>
      <c r="L1326"/>
      <c r="M1326"/>
      <c r="N1326"/>
      <c r="O1326"/>
    </row>
    <row r="1327" spans="1:15" hidden="1" x14ac:dyDescent="0.25">
      <c r="A1327" t="s">
        <v>106</v>
      </c>
      <c r="B1327" t="s">
        <v>115</v>
      </c>
      <c r="C1327" t="b">
        <v>0</v>
      </c>
      <c r="D1327" s="1">
        <v>37956</v>
      </c>
      <c r="E1327">
        <v>3</v>
      </c>
      <c r="F1327"/>
      <c r="G1327"/>
      <c r="H1327"/>
      <c r="I1327"/>
      <c r="J1327"/>
      <c r="K1327"/>
      <c r="L1327"/>
      <c r="M1327"/>
      <c r="N1327"/>
      <c r="O1327"/>
    </row>
    <row r="1328" spans="1:15" hidden="1" x14ac:dyDescent="0.25">
      <c r="A1328" t="s">
        <v>106</v>
      </c>
      <c r="B1328" t="s">
        <v>115</v>
      </c>
      <c r="C1328" t="b">
        <v>0</v>
      </c>
      <c r="D1328" s="1">
        <v>37956</v>
      </c>
      <c r="E1328">
        <v>3</v>
      </c>
      <c r="F1328"/>
      <c r="G1328"/>
      <c r="H1328"/>
      <c r="I1328"/>
      <c r="J1328"/>
      <c r="K1328"/>
      <c r="L1328"/>
      <c r="M1328"/>
      <c r="N1328"/>
      <c r="O1328"/>
    </row>
    <row r="1329" spans="1:15" hidden="1" x14ac:dyDescent="0.25">
      <c r="A1329" t="s">
        <v>106</v>
      </c>
      <c r="B1329" t="s">
        <v>115</v>
      </c>
      <c r="C1329" t="b">
        <v>0</v>
      </c>
      <c r="D1329" s="1">
        <v>37956</v>
      </c>
      <c r="E1329">
        <v>3</v>
      </c>
      <c r="F1329"/>
      <c r="G1329"/>
      <c r="H1329"/>
      <c r="I1329"/>
      <c r="J1329"/>
      <c r="K1329"/>
      <c r="L1329"/>
      <c r="M1329"/>
      <c r="N1329"/>
      <c r="O1329"/>
    </row>
    <row r="1330" spans="1:15" hidden="1" x14ac:dyDescent="0.25">
      <c r="A1330" t="s">
        <v>30</v>
      </c>
      <c r="B1330" t="s">
        <v>115</v>
      </c>
      <c r="C1330" t="b">
        <v>0</v>
      </c>
      <c r="D1330" s="1">
        <v>37956</v>
      </c>
      <c r="E1330">
        <v>3</v>
      </c>
      <c r="F1330"/>
      <c r="G1330"/>
      <c r="H1330"/>
      <c r="I1330"/>
      <c r="J1330"/>
      <c r="K1330"/>
      <c r="L1330"/>
      <c r="M1330"/>
      <c r="N1330"/>
      <c r="O1330"/>
    </row>
    <row r="1331" spans="1:15" hidden="1" x14ac:dyDescent="0.25">
      <c r="A1331" t="s">
        <v>39</v>
      </c>
      <c r="B1331" t="s">
        <v>115</v>
      </c>
      <c r="C1331" t="b">
        <v>0</v>
      </c>
      <c r="D1331" s="1">
        <v>37956</v>
      </c>
      <c r="E1331">
        <v>3</v>
      </c>
      <c r="F1331"/>
      <c r="G1331"/>
      <c r="H1331"/>
      <c r="I1331"/>
      <c r="J1331"/>
      <c r="K1331"/>
      <c r="L1331"/>
      <c r="M1331"/>
      <c r="N1331"/>
      <c r="O1331"/>
    </row>
    <row r="1332" spans="1:15" hidden="1" x14ac:dyDescent="0.25">
      <c r="A1332" t="s">
        <v>57</v>
      </c>
      <c r="B1332" t="s">
        <v>115</v>
      </c>
      <c r="C1332" t="b">
        <v>0</v>
      </c>
      <c r="D1332" s="1">
        <v>37956</v>
      </c>
      <c r="E1332">
        <v>3</v>
      </c>
      <c r="F1332"/>
      <c r="G1332"/>
      <c r="H1332"/>
      <c r="I1332"/>
      <c r="J1332"/>
      <c r="K1332"/>
      <c r="L1332"/>
      <c r="M1332"/>
      <c r="N1332"/>
      <c r="O1332"/>
    </row>
    <row r="1333" spans="1:15" hidden="1" x14ac:dyDescent="0.25">
      <c r="A1333" t="s">
        <v>86</v>
      </c>
      <c r="B1333" t="s">
        <v>115</v>
      </c>
      <c r="C1333" t="b">
        <v>0</v>
      </c>
      <c r="D1333" s="1">
        <v>37956</v>
      </c>
      <c r="E1333">
        <v>3</v>
      </c>
      <c r="F1333"/>
      <c r="G1333"/>
      <c r="H1333"/>
      <c r="I1333"/>
      <c r="J1333"/>
      <c r="K1333"/>
      <c r="L1333"/>
      <c r="M1333"/>
      <c r="N1333"/>
      <c r="O1333"/>
    </row>
    <row r="1334" spans="1:15" hidden="1" x14ac:dyDescent="0.25">
      <c r="A1334" t="s">
        <v>99</v>
      </c>
      <c r="B1334" t="s">
        <v>114</v>
      </c>
      <c r="C1334" t="b">
        <v>0</v>
      </c>
      <c r="D1334" s="1">
        <v>37956</v>
      </c>
      <c r="E1334">
        <v>5.42</v>
      </c>
      <c r="F1334"/>
      <c r="G1334"/>
      <c r="H1334"/>
      <c r="I1334"/>
      <c r="J1334"/>
      <c r="K1334"/>
      <c r="L1334"/>
      <c r="M1334"/>
      <c r="N1334"/>
      <c r="O1334"/>
    </row>
    <row r="1335" spans="1:15" hidden="1" x14ac:dyDescent="0.25">
      <c r="A1335" t="s">
        <v>100</v>
      </c>
      <c r="B1335" t="s">
        <v>117</v>
      </c>
      <c r="C1335" t="b">
        <v>0</v>
      </c>
      <c r="D1335" s="1">
        <v>37987</v>
      </c>
      <c r="E1335" s="2">
        <v>-46.32</v>
      </c>
      <c r="F1335"/>
      <c r="G1335"/>
      <c r="H1335"/>
      <c r="I1335"/>
      <c r="J1335"/>
      <c r="K1335"/>
      <c r="L1335"/>
      <c r="M1335"/>
      <c r="N1335"/>
      <c r="O1335"/>
    </row>
    <row r="1336" spans="1:15" hidden="1" x14ac:dyDescent="0.25">
      <c r="A1336" t="s">
        <v>104</v>
      </c>
      <c r="B1336" t="s">
        <v>117</v>
      </c>
      <c r="C1336" t="b">
        <v>0</v>
      </c>
      <c r="D1336" s="1">
        <v>37987</v>
      </c>
      <c r="E1336" s="2">
        <v>-0.56000000000000005</v>
      </c>
      <c r="F1336"/>
      <c r="G1336"/>
      <c r="H1336"/>
      <c r="I1336"/>
      <c r="J1336"/>
      <c r="K1336"/>
      <c r="L1336"/>
      <c r="M1336"/>
      <c r="N1336"/>
      <c r="O1336"/>
    </row>
    <row r="1337" spans="1:15" hidden="1" x14ac:dyDescent="0.25">
      <c r="A1337" t="s">
        <v>102</v>
      </c>
      <c r="B1337" t="s">
        <v>117</v>
      </c>
      <c r="C1337" t="b">
        <v>0</v>
      </c>
      <c r="D1337" s="1">
        <v>37987</v>
      </c>
      <c r="E1337" s="2">
        <v>-23.04</v>
      </c>
      <c r="F1337"/>
      <c r="G1337"/>
      <c r="H1337"/>
      <c r="I1337"/>
      <c r="J1337"/>
      <c r="K1337"/>
      <c r="L1337"/>
      <c r="M1337"/>
      <c r="N1337"/>
      <c r="O1337"/>
    </row>
    <row r="1338" spans="1:15" hidden="1" x14ac:dyDescent="0.25">
      <c r="A1338" t="s">
        <v>103</v>
      </c>
      <c r="B1338" t="s">
        <v>117</v>
      </c>
      <c r="C1338" t="b">
        <v>0</v>
      </c>
      <c r="D1338" s="1">
        <v>37987</v>
      </c>
      <c r="E1338" s="2">
        <v>-16.32</v>
      </c>
      <c r="F1338"/>
      <c r="G1338"/>
      <c r="H1338"/>
      <c r="I1338"/>
      <c r="J1338"/>
      <c r="K1338"/>
      <c r="L1338"/>
      <c r="M1338"/>
      <c r="N1338"/>
      <c r="O1338"/>
    </row>
    <row r="1339" spans="1:15" hidden="1" x14ac:dyDescent="0.25">
      <c r="A1339" t="s">
        <v>101</v>
      </c>
      <c r="B1339" t="s">
        <v>117</v>
      </c>
      <c r="C1339" t="b">
        <v>0</v>
      </c>
      <c r="D1339" s="1">
        <v>37987</v>
      </c>
      <c r="E1339" s="2">
        <v>-34.29</v>
      </c>
      <c r="F1339"/>
      <c r="G1339"/>
      <c r="H1339"/>
      <c r="I1339"/>
      <c r="J1339"/>
      <c r="K1339"/>
      <c r="L1339"/>
      <c r="M1339"/>
      <c r="N1339"/>
      <c r="O1339"/>
    </row>
    <row r="1340" spans="1:15" hidden="1" x14ac:dyDescent="0.25">
      <c r="A1340" t="s">
        <v>11</v>
      </c>
      <c r="B1340" t="s">
        <v>115</v>
      </c>
      <c r="C1340" t="b">
        <v>0</v>
      </c>
      <c r="D1340" s="1">
        <v>37987</v>
      </c>
      <c r="E1340">
        <v>3</v>
      </c>
      <c r="F1340"/>
      <c r="G1340"/>
      <c r="H1340"/>
      <c r="I1340"/>
      <c r="J1340"/>
      <c r="K1340"/>
      <c r="L1340"/>
      <c r="M1340"/>
      <c r="N1340"/>
      <c r="O1340"/>
    </row>
    <row r="1341" spans="1:15" hidden="1" x14ac:dyDescent="0.25">
      <c r="A1341" t="s">
        <v>14</v>
      </c>
      <c r="B1341" t="s">
        <v>115</v>
      </c>
      <c r="C1341" t="b">
        <v>0</v>
      </c>
      <c r="D1341" s="1">
        <v>37987</v>
      </c>
      <c r="E1341">
        <v>3</v>
      </c>
      <c r="F1341"/>
      <c r="G1341"/>
      <c r="H1341"/>
      <c r="I1341"/>
      <c r="J1341"/>
      <c r="K1341"/>
      <c r="L1341"/>
      <c r="M1341"/>
      <c r="N1341"/>
      <c r="O1341"/>
    </row>
    <row r="1342" spans="1:15" hidden="1" x14ac:dyDescent="0.25">
      <c r="A1342" t="s">
        <v>18</v>
      </c>
      <c r="B1342" t="s">
        <v>115</v>
      </c>
      <c r="C1342" t="b">
        <v>0</v>
      </c>
      <c r="D1342" s="1">
        <v>37987</v>
      </c>
      <c r="E1342">
        <v>3</v>
      </c>
      <c r="F1342"/>
      <c r="G1342"/>
      <c r="H1342"/>
      <c r="I1342"/>
      <c r="J1342"/>
      <c r="K1342"/>
      <c r="L1342"/>
      <c r="M1342"/>
      <c r="N1342"/>
      <c r="O1342"/>
    </row>
    <row r="1343" spans="1:15" hidden="1" x14ac:dyDescent="0.25">
      <c r="A1343" t="s">
        <v>106</v>
      </c>
      <c r="B1343" t="s">
        <v>115</v>
      </c>
      <c r="C1343" t="b">
        <v>0</v>
      </c>
      <c r="D1343" s="1">
        <v>37987</v>
      </c>
      <c r="E1343">
        <v>3</v>
      </c>
      <c r="F1343"/>
      <c r="G1343"/>
      <c r="H1343"/>
      <c r="I1343"/>
      <c r="J1343"/>
      <c r="K1343"/>
      <c r="L1343"/>
      <c r="M1343"/>
      <c r="N1343"/>
      <c r="O1343"/>
    </row>
    <row r="1344" spans="1:15" hidden="1" x14ac:dyDescent="0.25">
      <c r="A1344" t="s">
        <v>106</v>
      </c>
      <c r="B1344" t="s">
        <v>115</v>
      </c>
      <c r="C1344" t="b">
        <v>0</v>
      </c>
      <c r="D1344" s="1">
        <v>37987</v>
      </c>
      <c r="E1344">
        <v>3</v>
      </c>
      <c r="F1344"/>
      <c r="G1344"/>
      <c r="H1344"/>
      <c r="I1344"/>
      <c r="J1344"/>
      <c r="K1344"/>
      <c r="L1344"/>
      <c r="M1344"/>
      <c r="N1344"/>
      <c r="O1344"/>
    </row>
    <row r="1345" spans="1:15" hidden="1" x14ac:dyDescent="0.25">
      <c r="A1345" t="s">
        <v>106</v>
      </c>
      <c r="B1345" t="s">
        <v>115</v>
      </c>
      <c r="C1345" t="b">
        <v>0</v>
      </c>
      <c r="D1345" s="1">
        <v>37987</v>
      </c>
      <c r="E1345">
        <v>3</v>
      </c>
      <c r="F1345"/>
      <c r="G1345"/>
      <c r="H1345"/>
      <c r="I1345"/>
      <c r="J1345"/>
      <c r="K1345"/>
      <c r="L1345"/>
      <c r="M1345"/>
      <c r="N1345"/>
      <c r="O1345"/>
    </row>
    <row r="1346" spans="1:15" hidden="1" x14ac:dyDescent="0.25">
      <c r="A1346" t="s">
        <v>106</v>
      </c>
      <c r="B1346" t="s">
        <v>115</v>
      </c>
      <c r="C1346" t="b">
        <v>0</v>
      </c>
      <c r="D1346" s="1">
        <v>37987</v>
      </c>
      <c r="E1346">
        <v>3</v>
      </c>
      <c r="F1346"/>
      <c r="G1346"/>
      <c r="H1346"/>
      <c r="I1346"/>
      <c r="J1346"/>
      <c r="K1346"/>
      <c r="L1346"/>
      <c r="M1346"/>
      <c r="N1346"/>
      <c r="O1346"/>
    </row>
    <row r="1347" spans="1:15" hidden="1" x14ac:dyDescent="0.25">
      <c r="A1347" t="s">
        <v>106</v>
      </c>
      <c r="B1347" t="s">
        <v>115</v>
      </c>
      <c r="C1347" t="b">
        <v>0</v>
      </c>
      <c r="D1347" s="1">
        <v>37987</v>
      </c>
      <c r="E1347">
        <v>3</v>
      </c>
      <c r="F1347"/>
      <c r="G1347"/>
      <c r="H1347"/>
      <c r="I1347"/>
      <c r="J1347"/>
      <c r="K1347"/>
      <c r="L1347"/>
      <c r="M1347"/>
      <c r="N1347"/>
      <c r="O1347"/>
    </row>
    <row r="1348" spans="1:15" hidden="1" x14ac:dyDescent="0.25">
      <c r="A1348" t="s">
        <v>106</v>
      </c>
      <c r="B1348" t="s">
        <v>115</v>
      </c>
      <c r="C1348" t="b">
        <v>0</v>
      </c>
      <c r="D1348" s="1">
        <v>37987</v>
      </c>
      <c r="E1348">
        <v>3</v>
      </c>
      <c r="F1348"/>
      <c r="G1348"/>
      <c r="H1348"/>
      <c r="I1348"/>
      <c r="J1348"/>
      <c r="K1348"/>
      <c r="L1348"/>
      <c r="M1348"/>
      <c r="N1348"/>
      <c r="O1348"/>
    </row>
    <row r="1349" spans="1:15" hidden="1" x14ac:dyDescent="0.25">
      <c r="A1349" t="s">
        <v>106</v>
      </c>
      <c r="B1349" t="s">
        <v>115</v>
      </c>
      <c r="C1349" t="b">
        <v>0</v>
      </c>
      <c r="D1349" s="1">
        <v>37987</v>
      </c>
      <c r="E1349">
        <v>3</v>
      </c>
      <c r="F1349"/>
      <c r="G1349"/>
      <c r="H1349"/>
      <c r="I1349"/>
      <c r="J1349"/>
      <c r="K1349"/>
      <c r="L1349"/>
      <c r="M1349"/>
      <c r="N1349"/>
      <c r="O1349"/>
    </row>
    <row r="1350" spans="1:15" hidden="1" x14ac:dyDescent="0.25">
      <c r="A1350" t="s">
        <v>106</v>
      </c>
      <c r="B1350" t="s">
        <v>115</v>
      </c>
      <c r="C1350" t="b">
        <v>0</v>
      </c>
      <c r="D1350" s="1">
        <v>37987</v>
      </c>
      <c r="E1350">
        <v>3</v>
      </c>
      <c r="F1350"/>
      <c r="G1350"/>
      <c r="H1350"/>
      <c r="I1350"/>
      <c r="J1350"/>
      <c r="K1350"/>
      <c r="L1350"/>
      <c r="M1350"/>
      <c r="N1350"/>
      <c r="O1350"/>
    </row>
    <row r="1351" spans="1:15" hidden="1" x14ac:dyDescent="0.25">
      <c r="A1351" t="s">
        <v>106</v>
      </c>
      <c r="B1351" t="s">
        <v>115</v>
      </c>
      <c r="C1351" t="b">
        <v>0</v>
      </c>
      <c r="D1351" s="1">
        <v>37987</v>
      </c>
      <c r="E1351">
        <v>3</v>
      </c>
      <c r="F1351"/>
      <c r="G1351"/>
      <c r="H1351"/>
      <c r="I1351"/>
      <c r="J1351"/>
      <c r="K1351"/>
      <c r="L1351"/>
      <c r="M1351"/>
      <c r="N1351"/>
      <c r="O1351"/>
    </row>
    <row r="1352" spans="1:15" hidden="1" x14ac:dyDescent="0.25">
      <c r="A1352" t="s">
        <v>106</v>
      </c>
      <c r="B1352" t="s">
        <v>115</v>
      </c>
      <c r="C1352" t="b">
        <v>0</v>
      </c>
      <c r="D1352" s="1">
        <v>37987</v>
      </c>
      <c r="E1352">
        <v>3</v>
      </c>
      <c r="F1352"/>
      <c r="G1352"/>
      <c r="H1352"/>
      <c r="I1352"/>
      <c r="J1352"/>
      <c r="K1352"/>
      <c r="L1352"/>
      <c r="M1352"/>
      <c r="N1352"/>
      <c r="O1352"/>
    </row>
    <row r="1353" spans="1:15" hidden="1" x14ac:dyDescent="0.25">
      <c r="A1353" t="s">
        <v>106</v>
      </c>
      <c r="B1353" t="s">
        <v>115</v>
      </c>
      <c r="C1353" t="b">
        <v>0</v>
      </c>
      <c r="D1353" s="1">
        <v>37987</v>
      </c>
      <c r="E1353">
        <v>3</v>
      </c>
      <c r="F1353"/>
      <c r="G1353"/>
      <c r="H1353"/>
      <c r="I1353"/>
      <c r="J1353"/>
      <c r="K1353"/>
      <c r="L1353"/>
      <c r="M1353"/>
      <c r="N1353"/>
      <c r="O1353"/>
    </row>
    <row r="1354" spans="1:15" hidden="1" x14ac:dyDescent="0.25">
      <c r="A1354" t="s">
        <v>106</v>
      </c>
      <c r="B1354" t="s">
        <v>115</v>
      </c>
      <c r="C1354" t="b">
        <v>0</v>
      </c>
      <c r="D1354" s="1">
        <v>37987</v>
      </c>
      <c r="E1354">
        <v>3</v>
      </c>
      <c r="F1354"/>
      <c r="G1354"/>
      <c r="H1354"/>
      <c r="I1354"/>
      <c r="J1354"/>
      <c r="K1354"/>
      <c r="L1354"/>
      <c r="M1354"/>
      <c r="N1354"/>
      <c r="O1354"/>
    </row>
    <row r="1355" spans="1:15" hidden="1" x14ac:dyDescent="0.25">
      <c r="A1355" t="s">
        <v>106</v>
      </c>
      <c r="B1355" t="s">
        <v>115</v>
      </c>
      <c r="C1355" t="b">
        <v>0</v>
      </c>
      <c r="D1355" s="1">
        <v>37987</v>
      </c>
      <c r="E1355">
        <v>3</v>
      </c>
      <c r="F1355"/>
      <c r="G1355"/>
      <c r="H1355"/>
      <c r="I1355"/>
      <c r="J1355"/>
      <c r="K1355"/>
      <c r="L1355"/>
      <c r="M1355"/>
      <c r="N1355"/>
      <c r="O1355"/>
    </row>
    <row r="1356" spans="1:15" hidden="1" x14ac:dyDescent="0.25">
      <c r="A1356" t="s">
        <v>106</v>
      </c>
      <c r="B1356" t="s">
        <v>115</v>
      </c>
      <c r="C1356" t="b">
        <v>0</v>
      </c>
      <c r="D1356" s="1">
        <v>37987</v>
      </c>
      <c r="E1356">
        <v>3</v>
      </c>
      <c r="F1356"/>
      <c r="G1356"/>
      <c r="H1356"/>
      <c r="I1356"/>
      <c r="J1356"/>
      <c r="K1356"/>
      <c r="L1356"/>
      <c r="M1356"/>
      <c r="N1356"/>
      <c r="O1356"/>
    </row>
    <row r="1357" spans="1:15" hidden="1" x14ac:dyDescent="0.25">
      <c r="A1357" t="s">
        <v>106</v>
      </c>
      <c r="B1357" t="s">
        <v>115</v>
      </c>
      <c r="C1357" t="b">
        <v>0</v>
      </c>
      <c r="D1357" s="1">
        <v>37987</v>
      </c>
      <c r="E1357">
        <v>3</v>
      </c>
      <c r="F1357"/>
      <c r="G1357"/>
      <c r="H1357"/>
      <c r="I1357"/>
      <c r="J1357"/>
      <c r="K1357"/>
      <c r="L1357"/>
      <c r="M1357"/>
      <c r="N1357"/>
      <c r="O1357"/>
    </row>
    <row r="1358" spans="1:15" hidden="1" x14ac:dyDescent="0.25">
      <c r="A1358" t="s">
        <v>106</v>
      </c>
      <c r="B1358" t="s">
        <v>115</v>
      </c>
      <c r="C1358" t="b">
        <v>0</v>
      </c>
      <c r="D1358" s="1">
        <v>37987</v>
      </c>
      <c r="E1358">
        <v>3</v>
      </c>
      <c r="F1358"/>
      <c r="G1358"/>
      <c r="H1358"/>
      <c r="I1358"/>
      <c r="J1358"/>
      <c r="K1358"/>
      <c r="L1358"/>
      <c r="M1358"/>
      <c r="N1358"/>
      <c r="O1358"/>
    </row>
    <row r="1359" spans="1:15" hidden="1" x14ac:dyDescent="0.25">
      <c r="A1359" t="s">
        <v>106</v>
      </c>
      <c r="B1359" t="s">
        <v>115</v>
      </c>
      <c r="C1359" t="b">
        <v>0</v>
      </c>
      <c r="D1359" s="1">
        <v>37987</v>
      </c>
      <c r="E1359">
        <v>3</v>
      </c>
      <c r="F1359"/>
      <c r="G1359"/>
      <c r="H1359"/>
      <c r="I1359"/>
      <c r="J1359"/>
      <c r="K1359"/>
      <c r="L1359"/>
      <c r="M1359"/>
      <c r="N1359"/>
      <c r="O1359"/>
    </row>
    <row r="1360" spans="1:15" hidden="1" x14ac:dyDescent="0.25">
      <c r="A1360" t="s">
        <v>106</v>
      </c>
      <c r="B1360" t="s">
        <v>115</v>
      </c>
      <c r="C1360" t="b">
        <v>0</v>
      </c>
      <c r="D1360" s="1">
        <v>37987</v>
      </c>
      <c r="E1360">
        <v>3</v>
      </c>
      <c r="F1360"/>
      <c r="G1360"/>
      <c r="H1360"/>
      <c r="I1360"/>
      <c r="J1360"/>
      <c r="K1360"/>
      <c r="L1360"/>
      <c r="M1360"/>
      <c r="N1360"/>
      <c r="O1360"/>
    </row>
    <row r="1361" spans="1:15" hidden="1" x14ac:dyDescent="0.25">
      <c r="A1361" t="s">
        <v>106</v>
      </c>
      <c r="B1361" t="s">
        <v>115</v>
      </c>
      <c r="C1361" t="b">
        <v>0</v>
      </c>
      <c r="D1361" s="1">
        <v>37987</v>
      </c>
      <c r="E1361">
        <v>3</v>
      </c>
      <c r="F1361"/>
      <c r="G1361"/>
      <c r="H1361"/>
      <c r="I1361"/>
      <c r="J1361"/>
      <c r="K1361"/>
      <c r="L1361"/>
      <c r="M1361"/>
      <c r="N1361"/>
      <c r="O1361"/>
    </row>
    <row r="1362" spans="1:15" hidden="1" x14ac:dyDescent="0.25">
      <c r="A1362" t="s">
        <v>106</v>
      </c>
      <c r="B1362" t="s">
        <v>115</v>
      </c>
      <c r="C1362" t="b">
        <v>0</v>
      </c>
      <c r="D1362" s="1">
        <v>37987</v>
      </c>
      <c r="E1362">
        <v>3</v>
      </c>
      <c r="F1362"/>
      <c r="G1362"/>
      <c r="H1362"/>
      <c r="I1362"/>
      <c r="J1362"/>
      <c r="K1362"/>
      <c r="L1362"/>
      <c r="M1362"/>
      <c r="N1362"/>
      <c r="O1362"/>
    </row>
    <row r="1363" spans="1:15" hidden="1" x14ac:dyDescent="0.25">
      <c r="A1363" t="s">
        <v>106</v>
      </c>
      <c r="B1363" t="s">
        <v>115</v>
      </c>
      <c r="C1363" t="b">
        <v>0</v>
      </c>
      <c r="D1363" s="1">
        <v>37987</v>
      </c>
      <c r="E1363">
        <v>3</v>
      </c>
      <c r="F1363"/>
      <c r="G1363"/>
      <c r="H1363"/>
      <c r="I1363"/>
      <c r="J1363"/>
      <c r="K1363"/>
      <c r="L1363"/>
      <c r="M1363"/>
      <c r="N1363"/>
      <c r="O1363"/>
    </row>
    <row r="1364" spans="1:15" hidden="1" x14ac:dyDescent="0.25">
      <c r="A1364" t="s">
        <v>30</v>
      </c>
      <c r="B1364" t="s">
        <v>115</v>
      </c>
      <c r="C1364" t="b">
        <v>0</v>
      </c>
      <c r="D1364" s="1">
        <v>37987</v>
      </c>
      <c r="E1364">
        <v>3</v>
      </c>
      <c r="F1364"/>
      <c r="G1364"/>
      <c r="H1364"/>
      <c r="I1364"/>
      <c r="J1364"/>
      <c r="K1364"/>
      <c r="L1364"/>
      <c r="M1364"/>
      <c r="N1364"/>
      <c r="O1364"/>
    </row>
    <row r="1365" spans="1:15" hidden="1" x14ac:dyDescent="0.25">
      <c r="A1365" t="s">
        <v>39</v>
      </c>
      <c r="B1365" t="s">
        <v>115</v>
      </c>
      <c r="C1365" t="b">
        <v>0</v>
      </c>
      <c r="D1365" s="1">
        <v>37987</v>
      </c>
      <c r="E1365">
        <v>3</v>
      </c>
      <c r="F1365"/>
      <c r="G1365"/>
      <c r="H1365"/>
      <c r="I1365"/>
      <c r="J1365"/>
      <c r="K1365"/>
      <c r="L1365"/>
      <c r="M1365"/>
      <c r="N1365"/>
      <c r="O1365"/>
    </row>
    <row r="1366" spans="1:15" hidden="1" x14ac:dyDescent="0.25">
      <c r="A1366" t="s">
        <v>57</v>
      </c>
      <c r="B1366" t="s">
        <v>115</v>
      </c>
      <c r="C1366" t="b">
        <v>0</v>
      </c>
      <c r="D1366" s="1">
        <v>37987</v>
      </c>
      <c r="E1366">
        <v>3</v>
      </c>
      <c r="F1366"/>
      <c r="G1366"/>
      <c r="H1366"/>
      <c r="I1366"/>
      <c r="J1366"/>
      <c r="K1366"/>
      <c r="L1366"/>
      <c r="M1366"/>
      <c r="N1366"/>
      <c r="O1366"/>
    </row>
    <row r="1367" spans="1:15" hidden="1" x14ac:dyDescent="0.25">
      <c r="A1367" t="s">
        <v>86</v>
      </c>
      <c r="B1367" t="s">
        <v>115</v>
      </c>
      <c r="C1367" t="b">
        <v>0</v>
      </c>
      <c r="D1367" s="1">
        <v>37987</v>
      </c>
      <c r="E1367">
        <v>3</v>
      </c>
      <c r="F1367"/>
      <c r="G1367"/>
      <c r="H1367"/>
      <c r="I1367"/>
      <c r="J1367"/>
      <c r="K1367"/>
      <c r="L1367"/>
      <c r="M1367"/>
      <c r="N1367"/>
      <c r="O1367"/>
    </row>
    <row r="1368" spans="1:15" hidden="1" x14ac:dyDescent="0.25">
      <c r="A1368" t="s">
        <v>99</v>
      </c>
      <c r="B1368" t="s">
        <v>114</v>
      </c>
      <c r="C1368" t="b">
        <v>0</v>
      </c>
      <c r="D1368" s="1">
        <v>37987</v>
      </c>
      <c r="E1368">
        <v>16.79</v>
      </c>
      <c r="F1368"/>
      <c r="G1368"/>
      <c r="H1368"/>
      <c r="I1368"/>
      <c r="J1368"/>
      <c r="K1368"/>
      <c r="L1368"/>
      <c r="M1368"/>
      <c r="N1368"/>
      <c r="O1368"/>
    </row>
    <row r="1369" spans="1:15" hidden="1" x14ac:dyDescent="0.25">
      <c r="A1369" t="s">
        <v>100</v>
      </c>
      <c r="B1369" t="s">
        <v>117</v>
      </c>
      <c r="C1369" t="b">
        <v>0</v>
      </c>
      <c r="D1369" s="1">
        <v>38018</v>
      </c>
      <c r="E1369" s="2">
        <v>-131</v>
      </c>
      <c r="F1369"/>
      <c r="G1369"/>
      <c r="H1369"/>
      <c r="I1369"/>
      <c r="J1369"/>
      <c r="K1369"/>
      <c r="L1369"/>
      <c r="M1369"/>
      <c r="N1369"/>
      <c r="O1369"/>
    </row>
    <row r="1370" spans="1:15" hidden="1" x14ac:dyDescent="0.25">
      <c r="A1370" t="s">
        <v>104</v>
      </c>
      <c r="B1370" t="s">
        <v>117</v>
      </c>
      <c r="C1370" t="b">
        <v>0</v>
      </c>
      <c r="D1370" s="1">
        <v>38018</v>
      </c>
      <c r="E1370" s="2">
        <v>-2.12</v>
      </c>
      <c r="F1370"/>
      <c r="G1370"/>
      <c r="H1370"/>
      <c r="I1370"/>
      <c r="J1370"/>
      <c r="K1370"/>
      <c r="L1370"/>
      <c r="M1370"/>
      <c r="N1370"/>
      <c r="O1370"/>
    </row>
    <row r="1371" spans="1:15" hidden="1" x14ac:dyDescent="0.25">
      <c r="A1371" t="s">
        <v>14</v>
      </c>
      <c r="B1371" t="s">
        <v>115</v>
      </c>
      <c r="C1371" t="b">
        <v>0</v>
      </c>
      <c r="D1371" s="1">
        <v>38018</v>
      </c>
      <c r="E1371">
        <v>3</v>
      </c>
      <c r="F1371"/>
      <c r="G1371"/>
      <c r="H1371"/>
      <c r="I1371"/>
      <c r="J1371"/>
      <c r="K1371"/>
      <c r="L1371"/>
      <c r="M1371"/>
      <c r="N1371"/>
      <c r="O1371"/>
    </row>
    <row r="1372" spans="1:15" hidden="1" x14ac:dyDescent="0.25">
      <c r="A1372" t="s">
        <v>18</v>
      </c>
      <c r="B1372" t="s">
        <v>115</v>
      </c>
      <c r="C1372" t="b">
        <v>0</v>
      </c>
      <c r="D1372" s="1">
        <v>38018</v>
      </c>
      <c r="E1372">
        <v>3</v>
      </c>
      <c r="F1372"/>
      <c r="G1372"/>
      <c r="H1372"/>
      <c r="I1372"/>
      <c r="J1372"/>
      <c r="K1372"/>
      <c r="L1372"/>
      <c r="M1372"/>
      <c r="N1372"/>
      <c r="O1372"/>
    </row>
    <row r="1373" spans="1:15" hidden="1" x14ac:dyDescent="0.25">
      <c r="A1373" t="s">
        <v>106</v>
      </c>
      <c r="B1373" t="s">
        <v>115</v>
      </c>
      <c r="C1373" t="b">
        <v>0</v>
      </c>
      <c r="D1373" s="1">
        <v>38018</v>
      </c>
      <c r="E1373">
        <v>3</v>
      </c>
      <c r="F1373"/>
      <c r="G1373"/>
      <c r="H1373"/>
      <c r="I1373"/>
      <c r="J1373"/>
      <c r="K1373"/>
      <c r="L1373"/>
      <c r="M1373"/>
      <c r="N1373"/>
      <c r="O1373"/>
    </row>
    <row r="1374" spans="1:15" hidden="1" x14ac:dyDescent="0.25">
      <c r="A1374" t="s">
        <v>106</v>
      </c>
      <c r="B1374" t="s">
        <v>115</v>
      </c>
      <c r="C1374" t="b">
        <v>0</v>
      </c>
      <c r="D1374" s="1">
        <v>38018</v>
      </c>
      <c r="E1374">
        <v>3</v>
      </c>
      <c r="F1374"/>
      <c r="G1374"/>
      <c r="H1374"/>
      <c r="I1374"/>
      <c r="J1374"/>
      <c r="K1374"/>
      <c r="L1374"/>
      <c r="M1374"/>
      <c r="N1374"/>
      <c r="O1374"/>
    </row>
    <row r="1375" spans="1:15" hidden="1" x14ac:dyDescent="0.25">
      <c r="A1375" t="s">
        <v>106</v>
      </c>
      <c r="B1375" t="s">
        <v>115</v>
      </c>
      <c r="C1375" t="b">
        <v>0</v>
      </c>
      <c r="D1375" s="1">
        <v>38018</v>
      </c>
      <c r="E1375">
        <v>3</v>
      </c>
      <c r="F1375"/>
      <c r="G1375"/>
      <c r="H1375"/>
      <c r="I1375"/>
      <c r="J1375"/>
      <c r="K1375"/>
      <c r="L1375"/>
      <c r="M1375"/>
      <c r="N1375"/>
      <c r="O1375"/>
    </row>
    <row r="1376" spans="1:15" hidden="1" x14ac:dyDescent="0.25">
      <c r="A1376" t="s">
        <v>106</v>
      </c>
      <c r="B1376" t="s">
        <v>115</v>
      </c>
      <c r="C1376" t="b">
        <v>0</v>
      </c>
      <c r="D1376" s="1">
        <v>38018</v>
      </c>
      <c r="E1376">
        <v>3</v>
      </c>
      <c r="F1376"/>
      <c r="G1376"/>
      <c r="H1376"/>
      <c r="I1376"/>
      <c r="J1376"/>
      <c r="K1376"/>
      <c r="L1376"/>
      <c r="M1376"/>
      <c r="N1376"/>
      <c r="O1376"/>
    </row>
    <row r="1377" spans="1:15" hidden="1" x14ac:dyDescent="0.25">
      <c r="A1377" t="s">
        <v>106</v>
      </c>
      <c r="B1377" t="s">
        <v>115</v>
      </c>
      <c r="C1377" t="b">
        <v>0</v>
      </c>
      <c r="D1377" s="1">
        <v>38018</v>
      </c>
      <c r="E1377">
        <v>3</v>
      </c>
      <c r="F1377"/>
      <c r="G1377"/>
      <c r="H1377"/>
      <c r="I1377"/>
      <c r="J1377"/>
      <c r="K1377"/>
      <c r="L1377"/>
      <c r="M1377"/>
      <c r="N1377"/>
      <c r="O1377"/>
    </row>
    <row r="1378" spans="1:15" hidden="1" x14ac:dyDescent="0.25">
      <c r="A1378" t="s">
        <v>106</v>
      </c>
      <c r="B1378" t="s">
        <v>115</v>
      </c>
      <c r="C1378" t="b">
        <v>0</v>
      </c>
      <c r="D1378" s="1">
        <v>38018</v>
      </c>
      <c r="E1378">
        <v>3</v>
      </c>
      <c r="F1378"/>
      <c r="G1378"/>
      <c r="H1378"/>
      <c r="I1378"/>
      <c r="J1378"/>
      <c r="K1378"/>
      <c r="L1378"/>
      <c r="M1378"/>
      <c r="N1378"/>
      <c r="O1378"/>
    </row>
    <row r="1379" spans="1:15" hidden="1" x14ac:dyDescent="0.25">
      <c r="A1379" t="s">
        <v>106</v>
      </c>
      <c r="B1379" t="s">
        <v>115</v>
      </c>
      <c r="C1379" t="b">
        <v>0</v>
      </c>
      <c r="D1379" s="1">
        <v>38018</v>
      </c>
      <c r="E1379">
        <v>3</v>
      </c>
      <c r="F1379"/>
      <c r="G1379"/>
      <c r="H1379"/>
      <c r="I1379"/>
      <c r="J1379"/>
      <c r="K1379"/>
      <c r="L1379"/>
      <c r="M1379"/>
      <c r="N1379"/>
      <c r="O1379"/>
    </row>
    <row r="1380" spans="1:15" hidden="1" x14ac:dyDescent="0.25">
      <c r="A1380" t="s">
        <v>106</v>
      </c>
      <c r="B1380" t="s">
        <v>115</v>
      </c>
      <c r="C1380" t="b">
        <v>0</v>
      </c>
      <c r="D1380" s="1">
        <v>38018</v>
      </c>
      <c r="E1380">
        <v>3</v>
      </c>
      <c r="F1380"/>
      <c r="G1380"/>
      <c r="H1380"/>
      <c r="I1380"/>
      <c r="J1380"/>
      <c r="K1380"/>
      <c r="L1380"/>
      <c r="M1380"/>
      <c r="N1380"/>
      <c r="O1380"/>
    </row>
    <row r="1381" spans="1:15" hidden="1" x14ac:dyDescent="0.25">
      <c r="A1381" t="s">
        <v>106</v>
      </c>
      <c r="B1381" t="s">
        <v>115</v>
      </c>
      <c r="C1381" t="b">
        <v>0</v>
      </c>
      <c r="D1381" s="1">
        <v>38018</v>
      </c>
      <c r="E1381">
        <v>3</v>
      </c>
      <c r="F1381"/>
      <c r="G1381"/>
      <c r="H1381"/>
      <c r="I1381"/>
      <c r="J1381"/>
      <c r="K1381"/>
      <c r="L1381"/>
      <c r="M1381"/>
      <c r="N1381"/>
      <c r="O1381"/>
    </row>
    <row r="1382" spans="1:15" hidden="1" x14ac:dyDescent="0.25">
      <c r="A1382" t="s">
        <v>106</v>
      </c>
      <c r="B1382" t="s">
        <v>115</v>
      </c>
      <c r="C1382" t="b">
        <v>0</v>
      </c>
      <c r="D1382" s="1">
        <v>38018</v>
      </c>
      <c r="E1382">
        <v>3</v>
      </c>
      <c r="F1382"/>
      <c r="G1382"/>
      <c r="H1382"/>
      <c r="I1382"/>
      <c r="J1382"/>
      <c r="K1382"/>
      <c r="L1382"/>
      <c r="M1382"/>
      <c r="N1382"/>
      <c r="O1382"/>
    </row>
    <row r="1383" spans="1:15" hidden="1" x14ac:dyDescent="0.25">
      <c r="A1383" t="s">
        <v>106</v>
      </c>
      <c r="B1383" t="s">
        <v>115</v>
      </c>
      <c r="C1383" t="b">
        <v>0</v>
      </c>
      <c r="D1383" s="1">
        <v>38018</v>
      </c>
      <c r="E1383">
        <v>3</v>
      </c>
      <c r="F1383"/>
      <c r="G1383"/>
      <c r="H1383"/>
      <c r="I1383"/>
      <c r="J1383"/>
      <c r="K1383"/>
      <c r="L1383"/>
      <c r="M1383"/>
      <c r="N1383"/>
      <c r="O1383"/>
    </row>
    <row r="1384" spans="1:15" hidden="1" x14ac:dyDescent="0.25">
      <c r="A1384" t="s">
        <v>106</v>
      </c>
      <c r="B1384" t="s">
        <v>115</v>
      </c>
      <c r="C1384" t="b">
        <v>0</v>
      </c>
      <c r="D1384" s="1">
        <v>38018</v>
      </c>
      <c r="E1384">
        <v>3</v>
      </c>
      <c r="F1384"/>
      <c r="G1384"/>
      <c r="H1384"/>
      <c r="I1384"/>
      <c r="J1384"/>
      <c r="K1384"/>
      <c r="L1384"/>
      <c r="M1384"/>
      <c r="N1384"/>
      <c r="O1384"/>
    </row>
    <row r="1385" spans="1:15" hidden="1" x14ac:dyDescent="0.25">
      <c r="A1385" t="s">
        <v>106</v>
      </c>
      <c r="B1385" t="s">
        <v>115</v>
      </c>
      <c r="C1385" t="b">
        <v>0</v>
      </c>
      <c r="D1385" s="1">
        <v>38018</v>
      </c>
      <c r="E1385">
        <v>3</v>
      </c>
      <c r="F1385"/>
      <c r="G1385"/>
      <c r="H1385"/>
      <c r="I1385"/>
      <c r="J1385"/>
      <c r="K1385"/>
      <c r="L1385"/>
      <c r="M1385"/>
      <c r="N1385"/>
      <c r="O1385"/>
    </row>
    <row r="1386" spans="1:15" hidden="1" x14ac:dyDescent="0.25">
      <c r="A1386" t="s">
        <v>106</v>
      </c>
      <c r="B1386" t="s">
        <v>115</v>
      </c>
      <c r="C1386" t="b">
        <v>0</v>
      </c>
      <c r="D1386" s="1">
        <v>38018</v>
      </c>
      <c r="E1386">
        <v>3</v>
      </c>
      <c r="F1386"/>
      <c r="G1386"/>
      <c r="H1386"/>
      <c r="I1386"/>
      <c r="J1386"/>
      <c r="K1386"/>
      <c r="L1386"/>
      <c r="M1386"/>
      <c r="N1386"/>
      <c r="O1386"/>
    </row>
    <row r="1387" spans="1:15" hidden="1" x14ac:dyDescent="0.25">
      <c r="A1387" t="s">
        <v>106</v>
      </c>
      <c r="B1387" t="s">
        <v>115</v>
      </c>
      <c r="C1387" t="b">
        <v>0</v>
      </c>
      <c r="D1387" s="1">
        <v>38018</v>
      </c>
      <c r="E1387">
        <v>3</v>
      </c>
      <c r="F1387"/>
      <c r="G1387"/>
      <c r="H1387"/>
      <c r="I1387"/>
      <c r="J1387"/>
      <c r="K1387"/>
      <c r="L1387"/>
      <c r="M1387"/>
      <c r="N1387"/>
      <c r="O1387"/>
    </row>
    <row r="1388" spans="1:15" hidden="1" x14ac:dyDescent="0.25">
      <c r="A1388" t="s">
        <v>106</v>
      </c>
      <c r="B1388" t="s">
        <v>115</v>
      </c>
      <c r="C1388" t="b">
        <v>0</v>
      </c>
      <c r="D1388" s="1">
        <v>38018</v>
      </c>
      <c r="E1388">
        <v>3</v>
      </c>
      <c r="F1388"/>
      <c r="G1388"/>
      <c r="H1388"/>
      <c r="I1388"/>
      <c r="J1388"/>
      <c r="K1388"/>
      <c r="L1388"/>
      <c r="M1388"/>
      <c r="N1388"/>
      <c r="O1388"/>
    </row>
    <row r="1389" spans="1:15" hidden="1" x14ac:dyDescent="0.25">
      <c r="A1389" t="s">
        <v>106</v>
      </c>
      <c r="B1389" t="s">
        <v>115</v>
      </c>
      <c r="C1389" t="b">
        <v>0</v>
      </c>
      <c r="D1389" s="1">
        <v>38018</v>
      </c>
      <c r="E1389">
        <v>3</v>
      </c>
      <c r="F1389"/>
      <c r="G1389"/>
      <c r="H1389"/>
      <c r="I1389"/>
      <c r="J1389"/>
      <c r="K1389"/>
      <c r="L1389"/>
      <c r="M1389"/>
      <c r="N1389"/>
      <c r="O1389"/>
    </row>
    <row r="1390" spans="1:15" hidden="1" x14ac:dyDescent="0.25">
      <c r="A1390" t="s">
        <v>106</v>
      </c>
      <c r="B1390" t="s">
        <v>115</v>
      </c>
      <c r="C1390" t="b">
        <v>0</v>
      </c>
      <c r="D1390" s="1">
        <v>38018</v>
      </c>
      <c r="E1390">
        <v>3</v>
      </c>
      <c r="F1390"/>
      <c r="G1390"/>
      <c r="H1390"/>
      <c r="I1390"/>
      <c r="J1390"/>
      <c r="K1390"/>
      <c r="L1390"/>
      <c r="M1390"/>
      <c r="N1390"/>
      <c r="O1390"/>
    </row>
    <row r="1391" spans="1:15" hidden="1" x14ac:dyDescent="0.25">
      <c r="A1391" t="s">
        <v>106</v>
      </c>
      <c r="B1391" t="s">
        <v>115</v>
      </c>
      <c r="C1391" t="b">
        <v>0</v>
      </c>
      <c r="D1391" s="1">
        <v>38018</v>
      </c>
      <c r="E1391">
        <v>3</v>
      </c>
      <c r="F1391"/>
      <c r="G1391"/>
      <c r="H1391"/>
      <c r="I1391"/>
      <c r="J1391"/>
      <c r="K1391"/>
      <c r="L1391"/>
      <c r="M1391"/>
      <c r="N1391"/>
      <c r="O1391"/>
    </row>
    <row r="1392" spans="1:15" hidden="1" x14ac:dyDescent="0.25">
      <c r="A1392" t="s">
        <v>106</v>
      </c>
      <c r="B1392" t="s">
        <v>115</v>
      </c>
      <c r="C1392" t="b">
        <v>0</v>
      </c>
      <c r="D1392" s="1">
        <v>38018</v>
      </c>
      <c r="E1392">
        <v>3</v>
      </c>
      <c r="F1392"/>
      <c r="G1392"/>
      <c r="H1392"/>
      <c r="I1392"/>
      <c r="J1392"/>
      <c r="K1392"/>
      <c r="L1392"/>
      <c r="M1392"/>
      <c r="N1392"/>
      <c r="O1392"/>
    </row>
    <row r="1393" spans="1:15" hidden="1" x14ac:dyDescent="0.25">
      <c r="A1393" t="s">
        <v>106</v>
      </c>
      <c r="B1393" t="s">
        <v>115</v>
      </c>
      <c r="C1393" t="b">
        <v>0</v>
      </c>
      <c r="D1393" s="1">
        <v>38018</v>
      </c>
      <c r="E1393">
        <v>3</v>
      </c>
      <c r="F1393"/>
      <c r="G1393"/>
      <c r="H1393"/>
      <c r="I1393"/>
      <c r="J1393"/>
      <c r="K1393"/>
      <c r="L1393"/>
      <c r="M1393"/>
      <c r="N1393"/>
      <c r="O1393"/>
    </row>
    <row r="1394" spans="1:15" hidden="1" x14ac:dyDescent="0.25">
      <c r="A1394" t="s">
        <v>30</v>
      </c>
      <c r="B1394" t="s">
        <v>115</v>
      </c>
      <c r="C1394" t="b">
        <v>0</v>
      </c>
      <c r="D1394" s="1">
        <v>38018</v>
      </c>
      <c r="E1394">
        <v>3</v>
      </c>
      <c r="F1394"/>
      <c r="G1394"/>
      <c r="H1394"/>
      <c r="I1394"/>
      <c r="J1394"/>
      <c r="K1394"/>
      <c r="L1394"/>
      <c r="M1394"/>
      <c r="N1394"/>
      <c r="O1394"/>
    </row>
    <row r="1395" spans="1:15" hidden="1" x14ac:dyDescent="0.25">
      <c r="A1395" t="s">
        <v>39</v>
      </c>
      <c r="B1395" t="s">
        <v>115</v>
      </c>
      <c r="C1395" t="b">
        <v>0</v>
      </c>
      <c r="D1395" s="1">
        <v>38018</v>
      </c>
      <c r="E1395">
        <v>3</v>
      </c>
      <c r="F1395"/>
      <c r="G1395"/>
      <c r="H1395"/>
      <c r="I1395"/>
      <c r="J1395"/>
      <c r="K1395"/>
      <c r="L1395"/>
      <c r="M1395"/>
      <c r="N1395"/>
      <c r="O1395"/>
    </row>
    <row r="1396" spans="1:15" hidden="1" x14ac:dyDescent="0.25">
      <c r="A1396" t="s">
        <v>57</v>
      </c>
      <c r="B1396" t="s">
        <v>115</v>
      </c>
      <c r="C1396" t="b">
        <v>0</v>
      </c>
      <c r="D1396" s="1">
        <v>38018</v>
      </c>
      <c r="E1396">
        <v>3</v>
      </c>
      <c r="F1396"/>
      <c r="G1396"/>
      <c r="H1396"/>
      <c r="I1396"/>
      <c r="J1396"/>
      <c r="K1396"/>
      <c r="L1396"/>
      <c r="M1396"/>
      <c r="N1396"/>
      <c r="O1396"/>
    </row>
    <row r="1397" spans="1:15" hidden="1" x14ac:dyDescent="0.25">
      <c r="A1397" t="s">
        <v>86</v>
      </c>
      <c r="B1397" t="s">
        <v>115</v>
      </c>
      <c r="C1397" t="b">
        <v>0</v>
      </c>
      <c r="D1397" s="1">
        <v>38018</v>
      </c>
      <c r="E1397">
        <v>3</v>
      </c>
      <c r="F1397"/>
      <c r="G1397"/>
      <c r="H1397"/>
      <c r="I1397"/>
      <c r="J1397"/>
      <c r="K1397"/>
      <c r="L1397"/>
      <c r="M1397"/>
      <c r="N1397"/>
      <c r="O1397"/>
    </row>
    <row r="1398" spans="1:15" hidden="1" x14ac:dyDescent="0.25">
      <c r="A1398" t="s">
        <v>99</v>
      </c>
      <c r="B1398" t="s">
        <v>114</v>
      </c>
      <c r="C1398" t="b">
        <v>0</v>
      </c>
      <c r="D1398" s="1">
        <v>38018</v>
      </c>
      <c r="E1398">
        <v>12.24</v>
      </c>
      <c r="F1398"/>
      <c r="G1398"/>
      <c r="H1398"/>
      <c r="I1398"/>
      <c r="J1398"/>
      <c r="K1398"/>
      <c r="L1398"/>
      <c r="M1398"/>
      <c r="N1398"/>
      <c r="O1398"/>
    </row>
    <row r="1399" spans="1:15" hidden="1" x14ac:dyDescent="0.25">
      <c r="A1399" t="s">
        <v>102</v>
      </c>
      <c r="B1399" t="s">
        <v>117</v>
      </c>
      <c r="C1399" t="b">
        <v>0</v>
      </c>
      <c r="D1399" s="1">
        <v>38047</v>
      </c>
      <c r="E1399" s="2">
        <v>-23</v>
      </c>
      <c r="F1399"/>
      <c r="G1399"/>
      <c r="H1399"/>
      <c r="I1399"/>
      <c r="J1399"/>
      <c r="K1399"/>
      <c r="L1399"/>
      <c r="M1399"/>
      <c r="N1399"/>
      <c r="O1399"/>
    </row>
    <row r="1400" spans="1:15" hidden="1" x14ac:dyDescent="0.25">
      <c r="A1400" t="s">
        <v>14</v>
      </c>
      <c r="B1400" t="s">
        <v>115</v>
      </c>
      <c r="C1400" t="b">
        <v>0</v>
      </c>
      <c r="D1400" s="1">
        <v>38047</v>
      </c>
      <c r="E1400">
        <v>3</v>
      </c>
      <c r="F1400"/>
      <c r="G1400"/>
      <c r="H1400"/>
      <c r="I1400"/>
      <c r="J1400"/>
      <c r="K1400"/>
      <c r="L1400"/>
      <c r="M1400"/>
      <c r="N1400"/>
      <c r="O1400"/>
    </row>
    <row r="1401" spans="1:15" hidden="1" x14ac:dyDescent="0.25">
      <c r="A1401" t="s">
        <v>18</v>
      </c>
      <c r="B1401" t="s">
        <v>115</v>
      </c>
      <c r="C1401" t="b">
        <v>0</v>
      </c>
      <c r="D1401" s="1">
        <v>38047</v>
      </c>
      <c r="E1401">
        <v>3</v>
      </c>
      <c r="F1401"/>
      <c r="G1401"/>
      <c r="H1401"/>
      <c r="I1401"/>
      <c r="J1401"/>
      <c r="K1401"/>
      <c r="L1401"/>
      <c r="M1401"/>
      <c r="N1401"/>
      <c r="O1401"/>
    </row>
    <row r="1402" spans="1:15" hidden="1" x14ac:dyDescent="0.25">
      <c r="A1402" t="s">
        <v>106</v>
      </c>
      <c r="B1402" t="s">
        <v>115</v>
      </c>
      <c r="C1402" t="b">
        <v>0</v>
      </c>
      <c r="D1402" s="1">
        <v>38047</v>
      </c>
      <c r="E1402">
        <v>3</v>
      </c>
      <c r="F1402"/>
      <c r="G1402"/>
      <c r="H1402"/>
      <c r="I1402"/>
      <c r="J1402"/>
      <c r="K1402"/>
      <c r="L1402"/>
      <c r="M1402"/>
      <c r="N1402"/>
      <c r="O1402"/>
    </row>
    <row r="1403" spans="1:15" hidden="1" x14ac:dyDescent="0.25">
      <c r="A1403" t="s">
        <v>106</v>
      </c>
      <c r="B1403" t="s">
        <v>115</v>
      </c>
      <c r="C1403" t="b">
        <v>0</v>
      </c>
      <c r="D1403" s="1">
        <v>38047</v>
      </c>
      <c r="E1403">
        <v>3</v>
      </c>
      <c r="F1403"/>
      <c r="G1403"/>
      <c r="H1403"/>
      <c r="I1403"/>
      <c r="J1403"/>
      <c r="K1403"/>
      <c r="L1403"/>
      <c r="M1403"/>
      <c r="N1403"/>
      <c r="O1403"/>
    </row>
    <row r="1404" spans="1:15" hidden="1" x14ac:dyDescent="0.25">
      <c r="A1404" t="s">
        <v>106</v>
      </c>
      <c r="B1404" t="s">
        <v>115</v>
      </c>
      <c r="C1404" t="b">
        <v>0</v>
      </c>
      <c r="D1404" s="1">
        <v>38047</v>
      </c>
      <c r="E1404">
        <v>3</v>
      </c>
      <c r="F1404"/>
      <c r="G1404"/>
      <c r="H1404"/>
      <c r="I1404"/>
      <c r="J1404"/>
      <c r="K1404"/>
      <c r="L1404"/>
      <c r="M1404"/>
      <c r="N1404"/>
      <c r="O1404"/>
    </row>
    <row r="1405" spans="1:15" hidden="1" x14ac:dyDescent="0.25">
      <c r="A1405" t="s">
        <v>106</v>
      </c>
      <c r="B1405" t="s">
        <v>115</v>
      </c>
      <c r="C1405" t="b">
        <v>0</v>
      </c>
      <c r="D1405" s="1">
        <v>38047</v>
      </c>
      <c r="E1405">
        <v>3</v>
      </c>
      <c r="F1405"/>
      <c r="G1405"/>
      <c r="H1405"/>
      <c r="I1405"/>
      <c r="J1405"/>
      <c r="K1405"/>
      <c r="L1405"/>
      <c r="M1405"/>
      <c r="N1405"/>
      <c r="O1405"/>
    </row>
    <row r="1406" spans="1:15" hidden="1" x14ac:dyDescent="0.25">
      <c r="A1406" t="s">
        <v>106</v>
      </c>
      <c r="B1406" t="s">
        <v>115</v>
      </c>
      <c r="C1406" t="b">
        <v>0</v>
      </c>
      <c r="D1406" s="1">
        <v>38047</v>
      </c>
      <c r="E1406">
        <v>3</v>
      </c>
      <c r="F1406"/>
      <c r="G1406"/>
      <c r="H1406"/>
      <c r="I1406"/>
      <c r="J1406"/>
      <c r="K1406"/>
      <c r="L1406"/>
      <c r="M1406"/>
      <c r="N1406"/>
      <c r="O1406"/>
    </row>
    <row r="1407" spans="1:15" hidden="1" x14ac:dyDescent="0.25">
      <c r="A1407" t="s">
        <v>106</v>
      </c>
      <c r="B1407" t="s">
        <v>115</v>
      </c>
      <c r="C1407" t="b">
        <v>0</v>
      </c>
      <c r="D1407" s="1">
        <v>38047</v>
      </c>
      <c r="E1407">
        <v>3</v>
      </c>
      <c r="F1407"/>
      <c r="G1407"/>
      <c r="H1407"/>
      <c r="I1407"/>
      <c r="J1407"/>
      <c r="K1407"/>
      <c r="L1407"/>
      <c r="M1407"/>
      <c r="N1407"/>
      <c r="O1407"/>
    </row>
    <row r="1408" spans="1:15" hidden="1" x14ac:dyDescent="0.25">
      <c r="A1408" t="s">
        <v>106</v>
      </c>
      <c r="B1408" t="s">
        <v>115</v>
      </c>
      <c r="C1408" t="b">
        <v>0</v>
      </c>
      <c r="D1408" s="1">
        <v>38047</v>
      </c>
      <c r="E1408">
        <v>3</v>
      </c>
      <c r="F1408"/>
      <c r="G1408"/>
      <c r="H1408"/>
      <c r="I1408"/>
      <c r="J1408"/>
      <c r="K1408"/>
      <c r="L1408"/>
      <c r="M1408"/>
      <c r="N1408"/>
      <c r="O1408"/>
    </row>
    <row r="1409" spans="1:15" hidden="1" x14ac:dyDescent="0.25">
      <c r="A1409" t="s">
        <v>106</v>
      </c>
      <c r="B1409" t="s">
        <v>115</v>
      </c>
      <c r="C1409" t="b">
        <v>0</v>
      </c>
      <c r="D1409" s="1">
        <v>38047</v>
      </c>
      <c r="E1409">
        <v>3</v>
      </c>
      <c r="F1409"/>
      <c r="G1409"/>
      <c r="H1409"/>
      <c r="I1409"/>
      <c r="J1409"/>
      <c r="K1409"/>
      <c r="L1409"/>
      <c r="M1409"/>
      <c r="N1409"/>
      <c r="O1409"/>
    </row>
    <row r="1410" spans="1:15" hidden="1" x14ac:dyDescent="0.25">
      <c r="A1410" t="s">
        <v>106</v>
      </c>
      <c r="B1410" t="s">
        <v>115</v>
      </c>
      <c r="C1410" t="b">
        <v>0</v>
      </c>
      <c r="D1410" s="1">
        <v>38047</v>
      </c>
      <c r="E1410">
        <v>3</v>
      </c>
      <c r="F1410"/>
      <c r="G1410"/>
      <c r="H1410"/>
      <c r="I1410"/>
      <c r="J1410"/>
      <c r="K1410"/>
      <c r="L1410"/>
      <c r="M1410"/>
      <c r="N1410"/>
      <c r="O1410"/>
    </row>
    <row r="1411" spans="1:15" hidden="1" x14ac:dyDescent="0.25">
      <c r="A1411" t="s">
        <v>106</v>
      </c>
      <c r="B1411" t="s">
        <v>115</v>
      </c>
      <c r="C1411" t="b">
        <v>0</v>
      </c>
      <c r="D1411" s="1">
        <v>38047</v>
      </c>
      <c r="E1411">
        <v>3</v>
      </c>
      <c r="F1411"/>
      <c r="G1411"/>
      <c r="H1411"/>
      <c r="I1411"/>
      <c r="J1411"/>
      <c r="K1411"/>
      <c r="L1411"/>
      <c r="M1411"/>
      <c r="N1411"/>
      <c r="O1411"/>
    </row>
    <row r="1412" spans="1:15" hidden="1" x14ac:dyDescent="0.25">
      <c r="A1412" t="s">
        <v>106</v>
      </c>
      <c r="B1412" t="s">
        <v>115</v>
      </c>
      <c r="C1412" t="b">
        <v>0</v>
      </c>
      <c r="D1412" s="1">
        <v>38047</v>
      </c>
      <c r="E1412">
        <v>3</v>
      </c>
      <c r="F1412"/>
      <c r="G1412"/>
      <c r="H1412"/>
      <c r="I1412"/>
      <c r="J1412"/>
      <c r="K1412"/>
      <c r="L1412"/>
      <c r="M1412"/>
      <c r="N1412"/>
      <c r="O1412"/>
    </row>
    <row r="1413" spans="1:15" hidden="1" x14ac:dyDescent="0.25">
      <c r="A1413" t="s">
        <v>106</v>
      </c>
      <c r="B1413" t="s">
        <v>115</v>
      </c>
      <c r="C1413" t="b">
        <v>0</v>
      </c>
      <c r="D1413" s="1">
        <v>38047</v>
      </c>
      <c r="E1413">
        <v>3</v>
      </c>
      <c r="F1413"/>
      <c r="G1413"/>
      <c r="H1413"/>
      <c r="I1413"/>
      <c r="J1413"/>
      <c r="K1413"/>
      <c r="L1413"/>
      <c r="M1413"/>
      <c r="N1413"/>
      <c r="O1413"/>
    </row>
    <row r="1414" spans="1:15" hidden="1" x14ac:dyDescent="0.25">
      <c r="A1414" t="s">
        <v>106</v>
      </c>
      <c r="B1414" t="s">
        <v>115</v>
      </c>
      <c r="C1414" t="b">
        <v>0</v>
      </c>
      <c r="D1414" s="1">
        <v>38047</v>
      </c>
      <c r="E1414">
        <v>3</v>
      </c>
      <c r="F1414"/>
      <c r="G1414"/>
      <c r="H1414"/>
      <c r="I1414"/>
      <c r="J1414"/>
      <c r="K1414"/>
      <c r="L1414"/>
      <c r="M1414"/>
      <c r="N1414"/>
      <c r="O1414"/>
    </row>
    <row r="1415" spans="1:15" hidden="1" x14ac:dyDescent="0.25">
      <c r="A1415" t="s">
        <v>106</v>
      </c>
      <c r="B1415" t="s">
        <v>115</v>
      </c>
      <c r="C1415" t="b">
        <v>0</v>
      </c>
      <c r="D1415" s="1">
        <v>38047</v>
      </c>
      <c r="E1415">
        <v>3</v>
      </c>
      <c r="F1415"/>
      <c r="G1415"/>
      <c r="H1415"/>
      <c r="I1415"/>
      <c r="J1415"/>
      <c r="K1415"/>
      <c r="L1415"/>
      <c r="M1415"/>
      <c r="N1415"/>
      <c r="O1415"/>
    </row>
    <row r="1416" spans="1:15" hidden="1" x14ac:dyDescent="0.25">
      <c r="A1416" t="s">
        <v>106</v>
      </c>
      <c r="B1416" t="s">
        <v>115</v>
      </c>
      <c r="C1416" t="b">
        <v>0</v>
      </c>
      <c r="D1416" s="1">
        <v>38047</v>
      </c>
      <c r="E1416">
        <v>3</v>
      </c>
      <c r="F1416"/>
      <c r="G1416"/>
      <c r="H1416"/>
      <c r="I1416"/>
      <c r="J1416"/>
      <c r="K1416"/>
      <c r="L1416"/>
      <c r="M1416"/>
      <c r="N1416"/>
      <c r="O1416"/>
    </row>
    <row r="1417" spans="1:15" hidden="1" x14ac:dyDescent="0.25">
      <c r="A1417" t="s">
        <v>106</v>
      </c>
      <c r="B1417" t="s">
        <v>115</v>
      </c>
      <c r="C1417" t="b">
        <v>0</v>
      </c>
      <c r="D1417" s="1">
        <v>38047</v>
      </c>
      <c r="E1417">
        <v>3</v>
      </c>
      <c r="F1417"/>
      <c r="G1417"/>
      <c r="H1417"/>
      <c r="I1417"/>
      <c r="J1417"/>
      <c r="K1417"/>
      <c r="L1417"/>
      <c r="M1417"/>
      <c r="N1417"/>
      <c r="O1417"/>
    </row>
    <row r="1418" spans="1:15" hidden="1" x14ac:dyDescent="0.25">
      <c r="A1418" t="s">
        <v>106</v>
      </c>
      <c r="B1418" t="s">
        <v>115</v>
      </c>
      <c r="C1418" t="b">
        <v>0</v>
      </c>
      <c r="D1418" s="1">
        <v>38047</v>
      </c>
      <c r="E1418">
        <v>3</v>
      </c>
      <c r="F1418"/>
      <c r="G1418"/>
      <c r="H1418"/>
      <c r="I1418"/>
      <c r="J1418"/>
      <c r="K1418"/>
      <c r="L1418"/>
      <c r="M1418"/>
      <c r="N1418"/>
      <c r="O1418"/>
    </row>
    <row r="1419" spans="1:15" hidden="1" x14ac:dyDescent="0.25">
      <c r="A1419" t="s">
        <v>106</v>
      </c>
      <c r="B1419" t="s">
        <v>115</v>
      </c>
      <c r="C1419" t="b">
        <v>0</v>
      </c>
      <c r="D1419" s="1">
        <v>38047</v>
      </c>
      <c r="E1419">
        <v>3</v>
      </c>
      <c r="F1419"/>
      <c r="G1419"/>
      <c r="H1419"/>
      <c r="I1419"/>
      <c r="J1419"/>
      <c r="K1419"/>
      <c r="L1419"/>
      <c r="M1419"/>
      <c r="N1419"/>
      <c r="O1419"/>
    </row>
    <row r="1420" spans="1:15" hidden="1" x14ac:dyDescent="0.25">
      <c r="A1420" t="s">
        <v>106</v>
      </c>
      <c r="B1420" t="s">
        <v>115</v>
      </c>
      <c r="C1420" t="b">
        <v>0</v>
      </c>
      <c r="D1420" s="1">
        <v>38047</v>
      </c>
      <c r="E1420">
        <v>3</v>
      </c>
      <c r="F1420"/>
      <c r="G1420"/>
      <c r="H1420"/>
      <c r="I1420"/>
      <c r="J1420"/>
      <c r="K1420"/>
      <c r="L1420"/>
      <c r="M1420"/>
      <c r="N1420"/>
      <c r="O1420"/>
    </row>
    <row r="1421" spans="1:15" hidden="1" x14ac:dyDescent="0.25">
      <c r="A1421" t="s">
        <v>30</v>
      </c>
      <c r="B1421" t="s">
        <v>115</v>
      </c>
      <c r="C1421" t="b">
        <v>0</v>
      </c>
      <c r="D1421" s="1">
        <v>38047</v>
      </c>
      <c r="E1421">
        <v>3</v>
      </c>
      <c r="F1421"/>
      <c r="G1421"/>
      <c r="H1421"/>
      <c r="I1421"/>
      <c r="J1421"/>
      <c r="K1421"/>
      <c r="L1421"/>
      <c r="M1421"/>
      <c r="N1421"/>
      <c r="O1421"/>
    </row>
    <row r="1422" spans="1:15" hidden="1" x14ac:dyDescent="0.25">
      <c r="A1422" t="s">
        <v>39</v>
      </c>
      <c r="B1422" t="s">
        <v>115</v>
      </c>
      <c r="C1422" t="b">
        <v>0</v>
      </c>
      <c r="D1422" s="1">
        <v>38047</v>
      </c>
      <c r="E1422">
        <v>3</v>
      </c>
      <c r="F1422"/>
      <c r="G1422"/>
      <c r="H1422"/>
      <c r="I1422"/>
      <c r="J1422"/>
      <c r="K1422"/>
      <c r="L1422"/>
      <c r="M1422"/>
      <c r="N1422"/>
      <c r="O1422"/>
    </row>
    <row r="1423" spans="1:15" hidden="1" x14ac:dyDescent="0.25">
      <c r="A1423" t="s">
        <v>57</v>
      </c>
      <c r="B1423" t="s">
        <v>115</v>
      </c>
      <c r="C1423" t="b">
        <v>0</v>
      </c>
      <c r="D1423" s="1">
        <v>38047</v>
      </c>
      <c r="E1423">
        <v>3</v>
      </c>
      <c r="F1423"/>
      <c r="G1423"/>
      <c r="H1423"/>
      <c r="I1423"/>
      <c r="J1423"/>
      <c r="K1423"/>
      <c r="L1423"/>
      <c r="M1423"/>
      <c r="N1423"/>
      <c r="O1423"/>
    </row>
    <row r="1424" spans="1:15" hidden="1" x14ac:dyDescent="0.25">
      <c r="A1424" t="s">
        <v>86</v>
      </c>
      <c r="B1424" t="s">
        <v>115</v>
      </c>
      <c r="C1424" t="b">
        <v>0</v>
      </c>
      <c r="D1424" s="1">
        <v>38047</v>
      </c>
      <c r="E1424">
        <v>3</v>
      </c>
      <c r="F1424"/>
      <c r="G1424"/>
      <c r="H1424"/>
      <c r="I1424"/>
      <c r="J1424"/>
      <c r="K1424"/>
      <c r="L1424"/>
      <c r="M1424"/>
      <c r="N1424"/>
      <c r="O1424"/>
    </row>
    <row r="1425" spans="1:15" hidden="1" x14ac:dyDescent="0.25">
      <c r="A1425" t="s">
        <v>100</v>
      </c>
      <c r="B1425" t="s">
        <v>117</v>
      </c>
      <c r="C1425" t="b">
        <v>0</v>
      </c>
      <c r="D1425" s="1">
        <v>38078</v>
      </c>
      <c r="E1425" s="2">
        <v>-5</v>
      </c>
      <c r="F1425"/>
      <c r="G1425"/>
      <c r="H1425"/>
      <c r="I1425"/>
      <c r="J1425"/>
      <c r="K1425"/>
      <c r="L1425"/>
      <c r="M1425"/>
      <c r="N1425"/>
      <c r="O1425"/>
    </row>
    <row r="1426" spans="1:15" hidden="1" x14ac:dyDescent="0.25">
      <c r="A1426" t="s">
        <v>104</v>
      </c>
      <c r="B1426" t="s">
        <v>117</v>
      </c>
      <c r="C1426" t="b">
        <v>0</v>
      </c>
      <c r="D1426" s="1">
        <v>38078</v>
      </c>
      <c r="E1426" s="2">
        <v>-28</v>
      </c>
      <c r="F1426"/>
      <c r="G1426"/>
      <c r="H1426"/>
      <c r="I1426"/>
      <c r="J1426"/>
      <c r="K1426"/>
      <c r="L1426"/>
      <c r="M1426"/>
      <c r="N1426"/>
      <c r="O1426"/>
    </row>
    <row r="1427" spans="1:15" hidden="1" x14ac:dyDescent="0.25">
      <c r="A1427" t="s">
        <v>102</v>
      </c>
      <c r="B1427" t="s">
        <v>117</v>
      </c>
      <c r="C1427" t="b">
        <v>0</v>
      </c>
      <c r="D1427" s="1">
        <v>38078</v>
      </c>
      <c r="E1427" s="2">
        <v>-20</v>
      </c>
      <c r="F1427"/>
      <c r="G1427"/>
      <c r="H1427"/>
      <c r="I1427"/>
      <c r="J1427"/>
      <c r="K1427"/>
      <c r="L1427"/>
      <c r="M1427"/>
      <c r="N1427"/>
      <c r="O1427"/>
    </row>
    <row r="1428" spans="1:15" hidden="1" x14ac:dyDescent="0.25">
      <c r="A1428" t="s">
        <v>101</v>
      </c>
      <c r="B1428" t="s">
        <v>117</v>
      </c>
      <c r="C1428" t="b">
        <v>0</v>
      </c>
      <c r="D1428" s="1">
        <v>38078</v>
      </c>
      <c r="E1428" s="2">
        <v>-23.98</v>
      </c>
      <c r="F1428"/>
      <c r="G1428"/>
      <c r="H1428"/>
      <c r="I1428"/>
      <c r="J1428"/>
      <c r="K1428"/>
      <c r="L1428"/>
      <c r="M1428"/>
      <c r="N1428"/>
      <c r="O1428"/>
    </row>
    <row r="1429" spans="1:15" hidden="1" x14ac:dyDescent="0.25">
      <c r="A1429" t="s">
        <v>14</v>
      </c>
      <c r="B1429" t="s">
        <v>115</v>
      </c>
      <c r="C1429" t="b">
        <v>0</v>
      </c>
      <c r="D1429" s="1">
        <v>38078</v>
      </c>
      <c r="E1429">
        <v>3</v>
      </c>
      <c r="F1429"/>
      <c r="G1429"/>
      <c r="H1429"/>
      <c r="I1429"/>
      <c r="J1429"/>
      <c r="K1429"/>
      <c r="L1429"/>
      <c r="M1429"/>
      <c r="N1429"/>
      <c r="O1429"/>
    </row>
    <row r="1430" spans="1:15" hidden="1" x14ac:dyDescent="0.25">
      <c r="A1430" t="s">
        <v>18</v>
      </c>
      <c r="B1430" t="s">
        <v>115</v>
      </c>
      <c r="C1430" t="b">
        <v>0</v>
      </c>
      <c r="D1430" s="1">
        <v>38078</v>
      </c>
      <c r="E1430">
        <v>3</v>
      </c>
      <c r="F1430"/>
      <c r="G1430"/>
      <c r="H1430"/>
      <c r="I1430"/>
      <c r="J1430"/>
      <c r="K1430"/>
      <c r="L1430"/>
      <c r="M1430"/>
      <c r="N1430"/>
      <c r="O1430"/>
    </row>
    <row r="1431" spans="1:15" hidden="1" x14ac:dyDescent="0.25">
      <c r="A1431" t="s">
        <v>106</v>
      </c>
      <c r="B1431" t="s">
        <v>115</v>
      </c>
      <c r="C1431" t="b">
        <v>0</v>
      </c>
      <c r="D1431" s="1">
        <v>38078</v>
      </c>
      <c r="E1431">
        <v>3</v>
      </c>
      <c r="F1431"/>
      <c r="G1431"/>
      <c r="H1431"/>
      <c r="I1431"/>
      <c r="J1431"/>
      <c r="K1431"/>
      <c r="L1431"/>
      <c r="M1431"/>
      <c r="N1431"/>
      <c r="O1431"/>
    </row>
    <row r="1432" spans="1:15" hidden="1" x14ac:dyDescent="0.25">
      <c r="A1432" t="s">
        <v>106</v>
      </c>
      <c r="B1432" t="s">
        <v>115</v>
      </c>
      <c r="C1432" t="b">
        <v>0</v>
      </c>
      <c r="D1432" s="1">
        <v>38078</v>
      </c>
      <c r="E1432">
        <v>3</v>
      </c>
      <c r="F1432"/>
      <c r="G1432"/>
      <c r="H1432"/>
      <c r="I1432"/>
      <c r="J1432"/>
      <c r="K1432"/>
      <c r="L1432"/>
      <c r="M1432"/>
      <c r="N1432"/>
      <c r="O1432"/>
    </row>
    <row r="1433" spans="1:15" hidden="1" x14ac:dyDescent="0.25">
      <c r="A1433" t="s">
        <v>106</v>
      </c>
      <c r="B1433" t="s">
        <v>115</v>
      </c>
      <c r="C1433" t="b">
        <v>0</v>
      </c>
      <c r="D1433" s="1">
        <v>38078</v>
      </c>
      <c r="E1433">
        <v>3</v>
      </c>
      <c r="F1433"/>
      <c r="G1433"/>
      <c r="H1433"/>
      <c r="I1433"/>
      <c r="J1433"/>
      <c r="K1433"/>
      <c r="L1433"/>
      <c r="M1433"/>
      <c r="N1433"/>
      <c r="O1433"/>
    </row>
    <row r="1434" spans="1:15" hidden="1" x14ac:dyDescent="0.25">
      <c r="A1434" t="s">
        <v>106</v>
      </c>
      <c r="B1434" t="s">
        <v>115</v>
      </c>
      <c r="C1434" t="b">
        <v>0</v>
      </c>
      <c r="D1434" s="1">
        <v>38078</v>
      </c>
      <c r="E1434">
        <v>3</v>
      </c>
      <c r="F1434"/>
      <c r="G1434"/>
      <c r="H1434"/>
      <c r="I1434"/>
      <c r="J1434"/>
      <c r="K1434"/>
      <c r="L1434"/>
      <c r="M1434"/>
      <c r="N1434"/>
      <c r="O1434"/>
    </row>
    <row r="1435" spans="1:15" hidden="1" x14ac:dyDescent="0.25">
      <c r="A1435" t="s">
        <v>106</v>
      </c>
      <c r="B1435" t="s">
        <v>115</v>
      </c>
      <c r="C1435" t="b">
        <v>0</v>
      </c>
      <c r="D1435" s="1">
        <v>38078</v>
      </c>
      <c r="E1435">
        <v>3</v>
      </c>
      <c r="F1435"/>
      <c r="G1435"/>
      <c r="H1435"/>
      <c r="I1435"/>
      <c r="J1435"/>
      <c r="K1435"/>
      <c r="L1435"/>
      <c r="M1435"/>
      <c r="N1435"/>
      <c r="O1435"/>
    </row>
    <row r="1436" spans="1:15" hidden="1" x14ac:dyDescent="0.25">
      <c r="A1436" t="s">
        <v>106</v>
      </c>
      <c r="B1436" t="s">
        <v>115</v>
      </c>
      <c r="C1436" t="b">
        <v>0</v>
      </c>
      <c r="D1436" s="1">
        <v>38078</v>
      </c>
      <c r="E1436">
        <v>3</v>
      </c>
      <c r="F1436"/>
      <c r="G1436"/>
      <c r="H1436"/>
      <c r="I1436"/>
      <c r="J1436"/>
      <c r="K1436"/>
      <c r="L1436"/>
      <c r="M1436"/>
      <c r="N1436"/>
      <c r="O1436"/>
    </row>
    <row r="1437" spans="1:15" hidden="1" x14ac:dyDescent="0.25">
      <c r="A1437" t="s">
        <v>106</v>
      </c>
      <c r="B1437" t="s">
        <v>115</v>
      </c>
      <c r="C1437" t="b">
        <v>0</v>
      </c>
      <c r="D1437" s="1">
        <v>38078</v>
      </c>
      <c r="E1437">
        <v>3</v>
      </c>
      <c r="F1437"/>
      <c r="G1437"/>
      <c r="H1437"/>
      <c r="I1437"/>
      <c r="J1437"/>
      <c r="K1437"/>
      <c r="L1437"/>
      <c r="M1437"/>
      <c r="N1437"/>
      <c r="O1437"/>
    </row>
    <row r="1438" spans="1:15" hidden="1" x14ac:dyDescent="0.25">
      <c r="A1438" t="s">
        <v>106</v>
      </c>
      <c r="B1438" t="s">
        <v>115</v>
      </c>
      <c r="C1438" t="b">
        <v>0</v>
      </c>
      <c r="D1438" s="1">
        <v>38078</v>
      </c>
      <c r="E1438">
        <v>3</v>
      </c>
      <c r="F1438"/>
      <c r="G1438"/>
      <c r="H1438"/>
      <c r="I1438"/>
      <c r="J1438"/>
      <c r="K1438"/>
      <c r="L1438"/>
      <c r="M1438"/>
      <c r="N1438"/>
      <c r="O1438"/>
    </row>
    <row r="1439" spans="1:15" hidden="1" x14ac:dyDescent="0.25">
      <c r="A1439" t="s">
        <v>106</v>
      </c>
      <c r="B1439" t="s">
        <v>115</v>
      </c>
      <c r="C1439" t="b">
        <v>0</v>
      </c>
      <c r="D1439" s="1">
        <v>38078</v>
      </c>
      <c r="E1439">
        <v>3</v>
      </c>
      <c r="F1439"/>
      <c r="G1439"/>
      <c r="H1439"/>
      <c r="I1439"/>
      <c r="J1439"/>
      <c r="K1439"/>
      <c r="L1439"/>
      <c r="M1439"/>
      <c r="N1439"/>
      <c r="O1439"/>
    </row>
    <row r="1440" spans="1:15" hidden="1" x14ac:dyDescent="0.25">
      <c r="A1440" t="s">
        <v>106</v>
      </c>
      <c r="B1440" t="s">
        <v>115</v>
      </c>
      <c r="C1440" t="b">
        <v>0</v>
      </c>
      <c r="D1440" s="1">
        <v>38078</v>
      </c>
      <c r="E1440">
        <v>3</v>
      </c>
      <c r="F1440"/>
      <c r="G1440"/>
      <c r="H1440"/>
      <c r="I1440"/>
      <c r="J1440"/>
      <c r="K1440"/>
      <c r="L1440"/>
      <c r="M1440"/>
      <c r="N1440"/>
      <c r="O1440"/>
    </row>
    <row r="1441" spans="1:15" hidden="1" x14ac:dyDescent="0.25">
      <c r="A1441" t="s">
        <v>106</v>
      </c>
      <c r="B1441" t="s">
        <v>115</v>
      </c>
      <c r="C1441" t="b">
        <v>0</v>
      </c>
      <c r="D1441" s="1">
        <v>38078</v>
      </c>
      <c r="E1441">
        <v>3</v>
      </c>
      <c r="F1441"/>
      <c r="G1441"/>
      <c r="H1441"/>
      <c r="I1441"/>
      <c r="J1441"/>
      <c r="K1441"/>
      <c r="L1441"/>
      <c r="M1441"/>
      <c r="N1441"/>
      <c r="O1441"/>
    </row>
    <row r="1442" spans="1:15" hidden="1" x14ac:dyDescent="0.25">
      <c r="A1442" t="s">
        <v>106</v>
      </c>
      <c r="B1442" t="s">
        <v>115</v>
      </c>
      <c r="C1442" t="b">
        <v>0</v>
      </c>
      <c r="D1442" s="1">
        <v>38078</v>
      </c>
      <c r="E1442">
        <v>3</v>
      </c>
      <c r="F1442"/>
      <c r="G1442"/>
      <c r="H1442"/>
      <c r="I1442"/>
      <c r="J1442"/>
      <c r="K1442"/>
      <c r="L1442"/>
      <c r="M1442"/>
      <c r="N1442"/>
      <c r="O1442"/>
    </row>
    <row r="1443" spans="1:15" hidden="1" x14ac:dyDescent="0.25">
      <c r="A1443" t="s">
        <v>106</v>
      </c>
      <c r="B1443" t="s">
        <v>115</v>
      </c>
      <c r="C1443" t="b">
        <v>0</v>
      </c>
      <c r="D1443" s="1">
        <v>38078</v>
      </c>
      <c r="E1443">
        <v>3</v>
      </c>
      <c r="F1443"/>
      <c r="G1443"/>
      <c r="H1443"/>
      <c r="I1443"/>
      <c r="J1443"/>
      <c r="K1443"/>
      <c r="L1443"/>
      <c r="M1443"/>
      <c r="N1443"/>
      <c r="O1443"/>
    </row>
    <row r="1444" spans="1:15" hidden="1" x14ac:dyDescent="0.25">
      <c r="A1444" t="s">
        <v>106</v>
      </c>
      <c r="B1444" t="s">
        <v>115</v>
      </c>
      <c r="C1444" t="b">
        <v>0</v>
      </c>
      <c r="D1444" s="1">
        <v>38078</v>
      </c>
      <c r="E1444">
        <v>3</v>
      </c>
      <c r="F1444"/>
      <c r="G1444"/>
      <c r="H1444"/>
      <c r="I1444"/>
      <c r="J1444"/>
      <c r="K1444"/>
      <c r="L1444"/>
      <c r="M1444"/>
      <c r="N1444"/>
      <c r="O1444"/>
    </row>
    <row r="1445" spans="1:15" hidden="1" x14ac:dyDescent="0.25">
      <c r="A1445" t="s">
        <v>106</v>
      </c>
      <c r="B1445" t="s">
        <v>115</v>
      </c>
      <c r="C1445" t="b">
        <v>0</v>
      </c>
      <c r="D1445" s="1">
        <v>38078</v>
      </c>
      <c r="E1445">
        <v>3</v>
      </c>
      <c r="F1445"/>
      <c r="G1445"/>
      <c r="H1445"/>
      <c r="I1445"/>
      <c r="J1445"/>
      <c r="K1445"/>
      <c r="L1445"/>
      <c r="M1445"/>
      <c r="N1445"/>
      <c r="O1445"/>
    </row>
    <row r="1446" spans="1:15" hidden="1" x14ac:dyDescent="0.25">
      <c r="A1446" t="s">
        <v>106</v>
      </c>
      <c r="B1446" t="s">
        <v>115</v>
      </c>
      <c r="C1446" t="b">
        <v>0</v>
      </c>
      <c r="D1446" s="1">
        <v>38078</v>
      </c>
      <c r="E1446">
        <v>3</v>
      </c>
      <c r="F1446"/>
      <c r="G1446"/>
      <c r="H1446"/>
      <c r="I1446"/>
      <c r="J1446"/>
      <c r="K1446"/>
      <c r="L1446"/>
      <c r="M1446"/>
      <c r="N1446"/>
      <c r="O1446"/>
    </row>
    <row r="1447" spans="1:15" hidden="1" x14ac:dyDescent="0.25">
      <c r="A1447" t="s">
        <v>106</v>
      </c>
      <c r="B1447" t="s">
        <v>115</v>
      </c>
      <c r="C1447" t="b">
        <v>0</v>
      </c>
      <c r="D1447" s="1">
        <v>38078</v>
      </c>
      <c r="E1447">
        <v>3</v>
      </c>
      <c r="F1447"/>
      <c r="G1447"/>
      <c r="H1447"/>
      <c r="I1447"/>
      <c r="J1447"/>
      <c r="K1447"/>
      <c r="L1447"/>
      <c r="M1447"/>
      <c r="N1447"/>
      <c r="O1447"/>
    </row>
    <row r="1448" spans="1:15" hidden="1" x14ac:dyDescent="0.25">
      <c r="A1448" t="s">
        <v>106</v>
      </c>
      <c r="B1448" t="s">
        <v>115</v>
      </c>
      <c r="C1448" t="b">
        <v>0</v>
      </c>
      <c r="D1448" s="1">
        <v>38078</v>
      </c>
      <c r="E1448">
        <v>3</v>
      </c>
      <c r="F1448"/>
      <c r="G1448"/>
      <c r="H1448"/>
      <c r="I1448"/>
      <c r="J1448"/>
      <c r="K1448"/>
      <c r="L1448"/>
      <c r="M1448"/>
      <c r="N1448"/>
      <c r="O1448"/>
    </row>
    <row r="1449" spans="1:15" hidden="1" x14ac:dyDescent="0.25">
      <c r="A1449" t="s">
        <v>106</v>
      </c>
      <c r="B1449" t="s">
        <v>115</v>
      </c>
      <c r="C1449" t="b">
        <v>0</v>
      </c>
      <c r="D1449" s="1">
        <v>38078</v>
      </c>
      <c r="E1449">
        <v>3</v>
      </c>
      <c r="F1449"/>
      <c r="G1449"/>
      <c r="H1449"/>
      <c r="I1449"/>
      <c r="J1449"/>
      <c r="K1449"/>
      <c r="L1449"/>
      <c r="M1449"/>
      <c r="N1449"/>
      <c r="O1449"/>
    </row>
    <row r="1450" spans="1:15" hidden="1" x14ac:dyDescent="0.25">
      <c r="A1450" t="s">
        <v>30</v>
      </c>
      <c r="B1450" t="s">
        <v>115</v>
      </c>
      <c r="C1450" t="b">
        <v>0</v>
      </c>
      <c r="D1450" s="1">
        <v>38078</v>
      </c>
      <c r="E1450">
        <v>3</v>
      </c>
      <c r="F1450"/>
      <c r="G1450"/>
      <c r="H1450"/>
      <c r="I1450"/>
      <c r="J1450"/>
      <c r="K1450"/>
      <c r="L1450"/>
      <c r="M1450"/>
      <c r="N1450"/>
      <c r="O1450"/>
    </row>
    <row r="1451" spans="1:15" hidden="1" x14ac:dyDescent="0.25">
      <c r="A1451" t="s">
        <v>39</v>
      </c>
      <c r="B1451" t="s">
        <v>115</v>
      </c>
      <c r="C1451" t="b">
        <v>0</v>
      </c>
      <c r="D1451" s="1">
        <v>38078</v>
      </c>
      <c r="E1451">
        <v>3</v>
      </c>
      <c r="F1451"/>
      <c r="G1451"/>
      <c r="H1451"/>
      <c r="I1451"/>
      <c r="J1451"/>
      <c r="K1451"/>
      <c r="L1451"/>
      <c r="M1451"/>
      <c r="N1451"/>
      <c r="O1451"/>
    </row>
    <row r="1452" spans="1:15" hidden="1" x14ac:dyDescent="0.25">
      <c r="A1452" t="s">
        <v>57</v>
      </c>
      <c r="B1452" t="s">
        <v>115</v>
      </c>
      <c r="C1452" t="b">
        <v>0</v>
      </c>
      <c r="D1452" s="1">
        <v>38078</v>
      </c>
      <c r="E1452">
        <v>3</v>
      </c>
      <c r="F1452"/>
      <c r="G1452"/>
      <c r="H1452"/>
      <c r="I1452"/>
      <c r="J1452"/>
      <c r="K1452"/>
      <c r="L1452"/>
      <c r="M1452"/>
      <c r="N1452"/>
      <c r="O1452"/>
    </row>
    <row r="1453" spans="1:15" hidden="1" x14ac:dyDescent="0.25">
      <c r="A1453" t="s">
        <v>86</v>
      </c>
      <c r="B1453" t="s">
        <v>115</v>
      </c>
      <c r="C1453" t="b">
        <v>0</v>
      </c>
      <c r="D1453" s="1">
        <v>38078</v>
      </c>
      <c r="E1453">
        <v>3</v>
      </c>
      <c r="F1453"/>
      <c r="G1453"/>
      <c r="H1453"/>
      <c r="I1453"/>
      <c r="J1453"/>
      <c r="K1453"/>
      <c r="L1453"/>
      <c r="M1453"/>
      <c r="N1453"/>
      <c r="O1453"/>
    </row>
    <row r="1454" spans="1:15" hidden="1" x14ac:dyDescent="0.25">
      <c r="A1454" t="s">
        <v>99</v>
      </c>
      <c r="B1454" t="s">
        <v>114</v>
      </c>
      <c r="C1454" t="b">
        <v>0</v>
      </c>
      <c r="D1454" s="1">
        <v>38078</v>
      </c>
      <c r="E1454">
        <v>18.600000000000001</v>
      </c>
      <c r="F1454"/>
      <c r="G1454"/>
      <c r="H1454"/>
      <c r="I1454"/>
      <c r="J1454"/>
      <c r="K1454"/>
      <c r="L1454"/>
      <c r="M1454"/>
      <c r="N1454"/>
      <c r="O1454"/>
    </row>
    <row r="1455" spans="1:15" hidden="1" x14ac:dyDescent="0.25">
      <c r="A1455" t="s">
        <v>100</v>
      </c>
      <c r="B1455" t="s">
        <v>117</v>
      </c>
      <c r="C1455" t="b">
        <v>0</v>
      </c>
      <c r="D1455" s="1">
        <v>38108</v>
      </c>
      <c r="E1455" s="2">
        <v>-140.03</v>
      </c>
      <c r="F1455"/>
      <c r="G1455"/>
      <c r="H1455"/>
      <c r="I1455"/>
      <c r="J1455"/>
      <c r="K1455"/>
      <c r="L1455"/>
      <c r="M1455"/>
      <c r="N1455"/>
      <c r="O1455"/>
    </row>
    <row r="1456" spans="1:15" hidden="1" x14ac:dyDescent="0.25">
      <c r="A1456" t="s">
        <v>104</v>
      </c>
      <c r="B1456" t="s">
        <v>117</v>
      </c>
      <c r="C1456" t="b">
        <v>0</v>
      </c>
      <c r="D1456" s="1">
        <v>38108</v>
      </c>
      <c r="E1456" s="2">
        <v>-6.35</v>
      </c>
      <c r="F1456"/>
      <c r="G1456"/>
      <c r="H1456"/>
      <c r="I1456"/>
      <c r="J1456"/>
      <c r="K1456"/>
      <c r="L1456"/>
      <c r="M1456"/>
      <c r="N1456"/>
      <c r="O1456"/>
    </row>
    <row r="1457" spans="1:15" hidden="1" x14ac:dyDescent="0.25">
      <c r="A1457" t="s">
        <v>14</v>
      </c>
      <c r="B1457" t="s">
        <v>115</v>
      </c>
      <c r="C1457" t="b">
        <v>0</v>
      </c>
      <c r="D1457" s="1">
        <v>38108</v>
      </c>
      <c r="E1457">
        <v>3</v>
      </c>
      <c r="F1457"/>
      <c r="G1457"/>
      <c r="H1457"/>
      <c r="I1457"/>
      <c r="J1457"/>
      <c r="K1457"/>
      <c r="L1457"/>
      <c r="M1457"/>
      <c r="N1457"/>
      <c r="O1457"/>
    </row>
    <row r="1458" spans="1:15" hidden="1" x14ac:dyDescent="0.25">
      <c r="A1458" t="s">
        <v>18</v>
      </c>
      <c r="B1458" t="s">
        <v>115</v>
      </c>
      <c r="C1458" t="b">
        <v>0</v>
      </c>
      <c r="D1458" s="1">
        <v>38108</v>
      </c>
      <c r="E1458">
        <v>3</v>
      </c>
      <c r="F1458"/>
      <c r="G1458"/>
      <c r="H1458"/>
      <c r="I1458"/>
      <c r="J1458"/>
      <c r="K1458"/>
      <c r="L1458"/>
      <c r="M1458"/>
      <c r="N1458"/>
      <c r="O1458"/>
    </row>
    <row r="1459" spans="1:15" hidden="1" x14ac:dyDescent="0.25">
      <c r="A1459" t="s">
        <v>106</v>
      </c>
      <c r="B1459" t="s">
        <v>115</v>
      </c>
      <c r="C1459" t="b">
        <v>0</v>
      </c>
      <c r="D1459" s="1">
        <v>38108</v>
      </c>
      <c r="E1459">
        <v>3</v>
      </c>
      <c r="F1459"/>
      <c r="G1459"/>
      <c r="H1459"/>
      <c r="I1459"/>
      <c r="J1459"/>
      <c r="K1459"/>
      <c r="L1459"/>
      <c r="M1459"/>
      <c r="N1459"/>
      <c r="O1459"/>
    </row>
    <row r="1460" spans="1:15" hidden="1" x14ac:dyDescent="0.25">
      <c r="A1460" t="s">
        <v>106</v>
      </c>
      <c r="B1460" t="s">
        <v>115</v>
      </c>
      <c r="C1460" t="b">
        <v>0</v>
      </c>
      <c r="D1460" s="1">
        <v>38108</v>
      </c>
      <c r="E1460">
        <v>3</v>
      </c>
      <c r="F1460"/>
      <c r="G1460"/>
      <c r="H1460"/>
      <c r="I1460"/>
      <c r="J1460"/>
      <c r="K1460"/>
      <c r="L1460"/>
      <c r="M1460"/>
      <c r="N1460"/>
      <c r="O1460"/>
    </row>
    <row r="1461" spans="1:15" hidden="1" x14ac:dyDescent="0.25">
      <c r="A1461" t="s">
        <v>106</v>
      </c>
      <c r="B1461" t="s">
        <v>115</v>
      </c>
      <c r="C1461" t="b">
        <v>0</v>
      </c>
      <c r="D1461" s="1">
        <v>38108</v>
      </c>
      <c r="E1461">
        <v>3</v>
      </c>
      <c r="F1461"/>
      <c r="G1461"/>
      <c r="H1461"/>
      <c r="I1461"/>
      <c r="J1461"/>
      <c r="K1461"/>
      <c r="L1461"/>
      <c r="M1461"/>
      <c r="N1461"/>
      <c r="O1461"/>
    </row>
    <row r="1462" spans="1:15" hidden="1" x14ac:dyDescent="0.25">
      <c r="A1462" t="s">
        <v>106</v>
      </c>
      <c r="B1462" t="s">
        <v>115</v>
      </c>
      <c r="C1462" t="b">
        <v>0</v>
      </c>
      <c r="D1462" s="1">
        <v>38108</v>
      </c>
      <c r="E1462">
        <v>3</v>
      </c>
      <c r="F1462"/>
      <c r="G1462"/>
      <c r="H1462"/>
      <c r="I1462"/>
      <c r="J1462"/>
      <c r="K1462"/>
      <c r="L1462"/>
      <c r="M1462"/>
      <c r="N1462"/>
      <c r="O1462"/>
    </row>
    <row r="1463" spans="1:15" hidden="1" x14ac:dyDescent="0.25">
      <c r="A1463" t="s">
        <v>106</v>
      </c>
      <c r="B1463" t="s">
        <v>115</v>
      </c>
      <c r="C1463" t="b">
        <v>0</v>
      </c>
      <c r="D1463" s="1">
        <v>38108</v>
      </c>
      <c r="E1463">
        <v>3</v>
      </c>
      <c r="F1463"/>
      <c r="G1463"/>
      <c r="H1463"/>
      <c r="I1463"/>
      <c r="J1463"/>
      <c r="K1463"/>
      <c r="L1463"/>
      <c r="M1463"/>
      <c r="N1463"/>
      <c r="O1463"/>
    </row>
    <row r="1464" spans="1:15" hidden="1" x14ac:dyDescent="0.25">
      <c r="A1464" t="s">
        <v>106</v>
      </c>
      <c r="B1464" t="s">
        <v>115</v>
      </c>
      <c r="C1464" t="b">
        <v>0</v>
      </c>
      <c r="D1464" s="1">
        <v>38108</v>
      </c>
      <c r="E1464">
        <v>3</v>
      </c>
      <c r="F1464"/>
      <c r="G1464"/>
      <c r="H1464"/>
      <c r="I1464"/>
      <c r="J1464"/>
      <c r="K1464"/>
      <c r="L1464"/>
      <c r="M1464"/>
      <c r="N1464"/>
      <c r="O1464"/>
    </row>
    <row r="1465" spans="1:15" hidden="1" x14ac:dyDescent="0.25">
      <c r="A1465" t="s">
        <v>106</v>
      </c>
      <c r="B1465" t="s">
        <v>115</v>
      </c>
      <c r="C1465" t="b">
        <v>0</v>
      </c>
      <c r="D1465" s="1">
        <v>38108</v>
      </c>
      <c r="E1465">
        <v>3</v>
      </c>
      <c r="F1465"/>
      <c r="G1465"/>
      <c r="H1465"/>
      <c r="I1465"/>
      <c r="J1465"/>
      <c r="K1465"/>
      <c r="L1465"/>
      <c r="M1465"/>
      <c r="N1465"/>
      <c r="O1465"/>
    </row>
    <row r="1466" spans="1:15" hidden="1" x14ac:dyDescent="0.25">
      <c r="A1466" t="s">
        <v>106</v>
      </c>
      <c r="B1466" t="s">
        <v>115</v>
      </c>
      <c r="C1466" t="b">
        <v>0</v>
      </c>
      <c r="D1466" s="1">
        <v>38108</v>
      </c>
      <c r="E1466">
        <v>3</v>
      </c>
      <c r="F1466"/>
      <c r="G1466"/>
      <c r="H1466"/>
      <c r="I1466"/>
      <c r="J1466"/>
      <c r="K1466"/>
      <c r="L1466"/>
      <c r="M1466"/>
      <c r="N1466"/>
      <c r="O1466"/>
    </row>
    <row r="1467" spans="1:15" hidden="1" x14ac:dyDescent="0.25">
      <c r="A1467" t="s">
        <v>106</v>
      </c>
      <c r="B1467" t="s">
        <v>115</v>
      </c>
      <c r="C1467" t="b">
        <v>0</v>
      </c>
      <c r="D1467" s="1">
        <v>38108</v>
      </c>
      <c r="E1467">
        <v>3</v>
      </c>
      <c r="F1467"/>
      <c r="G1467"/>
      <c r="H1467"/>
      <c r="I1467"/>
      <c r="J1467"/>
      <c r="K1467"/>
      <c r="L1467"/>
      <c r="M1467"/>
      <c r="N1467"/>
      <c r="O1467"/>
    </row>
    <row r="1468" spans="1:15" hidden="1" x14ac:dyDescent="0.25">
      <c r="A1468" t="s">
        <v>106</v>
      </c>
      <c r="B1468" t="s">
        <v>115</v>
      </c>
      <c r="C1468" t="b">
        <v>0</v>
      </c>
      <c r="D1468" s="1">
        <v>38108</v>
      </c>
      <c r="E1468">
        <v>3</v>
      </c>
      <c r="F1468"/>
      <c r="G1468"/>
      <c r="H1468"/>
      <c r="I1468"/>
      <c r="J1468"/>
      <c r="K1468"/>
      <c r="L1468"/>
      <c r="M1468"/>
      <c r="N1468"/>
      <c r="O1468"/>
    </row>
    <row r="1469" spans="1:15" hidden="1" x14ac:dyDescent="0.25">
      <c r="A1469" t="s">
        <v>106</v>
      </c>
      <c r="B1469" t="s">
        <v>115</v>
      </c>
      <c r="C1469" t="b">
        <v>0</v>
      </c>
      <c r="D1469" s="1">
        <v>38108</v>
      </c>
      <c r="E1469">
        <v>3</v>
      </c>
      <c r="F1469"/>
      <c r="G1469"/>
      <c r="H1469"/>
      <c r="I1469"/>
      <c r="J1469"/>
      <c r="K1469"/>
      <c r="L1469"/>
      <c r="M1469"/>
      <c r="N1469"/>
      <c r="O1469"/>
    </row>
    <row r="1470" spans="1:15" hidden="1" x14ac:dyDescent="0.25">
      <c r="A1470" t="s">
        <v>106</v>
      </c>
      <c r="B1470" t="s">
        <v>115</v>
      </c>
      <c r="C1470" t="b">
        <v>0</v>
      </c>
      <c r="D1470" s="1">
        <v>38108</v>
      </c>
      <c r="E1470">
        <v>3</v>
      </c>
      <c r="F1470"/>
      <c r="G1470"/>
      <c r="H1470"/>
      <c r="I1470"/>
      <c r="J1470"/>
      <c r="K1470"/>
      <c r="L1470"/>
      <c r="M1470"/>
      <c r="N1470"/>
      <c r="O1470"/>
    </row>
    <row r="1471" spans="1:15" hidden="1" x14ac:dyDescent="0.25">
      <c r="A1471" t="s">
        <v>106</v>
      </c>
      <c r="B1471" t="s">
        <v>115</v>
      </c>
      <c r="C1471" t="b">
        <v>0</v>
      </c>
      <c r="D1471" s="1">
        <v>38108</v>
      </c>
      <c r="E1471">
        <v>3</v>
      </c>
      <c r="F1471"/>
      <c r="G1471"/>
      <c r="H1471"/>
      <c r="I1471"/>
      <c r="J1471"/>
      <c r="K1471"/>
      <c r="L1471"/>
      <c r="M1471"/>
      <c r="N1471"/>
      <c r="O1471"/>
    </row>
    <row r="1472" spans="1:15" hidden="1" x14ac:dyDescent="0.25">
      <c r="A1472" t="s">
        <v>106</v>
      </c>
      <c r="B1472" t="s">
        <v>115</v>
      </c>
      <c r="C1472" t="b">
        <v>0</v>
      </c>
      <c r="D1472" s="1">
        <v>38108</v>
      </c>
      <c r="E1472">
        <v>3</v>
      </c>
      <c r="F1472"/>
      <c r="G1472"/>
      <c r="H1472"/>
      <c r="I1472"/>
      <c r="J1472"/>
      <c r="K1472"/>
      <c r="L1472"/>
      <c r="M1472"/>
      <c r="N1472"/>
      <c r="O1472"/>
    </row>
    <row r="1473" spans="1:15" hidden="1" x14ac:dyDescent="0.25">
      <c r="A1473" t="s">
        <v>106</v>
      </c>
      <c r="B1473" t="s">
        <v>115</v>
      </c>
      <c r="C1473" t="b">
        <v>0</v>
      </c>
      <c r="D1473" s="1">
        <v>38108</v>
      </c>
      <c r="E1473">
        <v>3</v>
      </c>
      <c r="F1473"/>
      <c r="G1473"/>
      <c r="H1473"/>
      <c r="I1473"/>
      <c r="J1473"/>
      <c r="K1473"/>
      <c r="L1473"/>
      <c r="M1473"/>
      <c r="N1473"/>
      <c r="O1473"/>
    </row>
    <row r="1474" spans="1:15" hidden="1" x14ac:dyDescent="0.25">
      <c r="A1474" t="s">
        <v>106</v>
      </c>
      <c r="B1474" t="s">
        <v>115</v>
      </c>
      <c r="C1474" t="b">
        <v>0</v>
      </c>
      <c r="D1474" s="1">
        <v>38108</v>
      </c>
      <c r="E1474">
        <v>3</v>
      </c>
      <c r="F1474"/>
      <c r="G1474"/>
      <c r="H1474"/>
      <c r="I1474"/>
      <c r="J1474"/>
      <c r="K1474"/>
      <c r="L1474"/>
      <c r="M1474"/>
      <c r="N1474"/>
      <c r="O1474"/>
    </row>
    <row r="1475" spans="1:15" hidden="1" x14ac:dyDescent="0.25">
      <c r="A1475" t="s">
        <v>106</v>
      </c>
      <c r="B1475" t="s">
        <v>115</v>
      </c>
      <c r="C1475" t="b">
        <v>0</v>
      </c>
      <c r="D1475" s="1">
        <v>38108</v>
      </c>
      <c r="E1475">
        <v>3</v>
      </c>
      <c r="F1475"/>
      <c r="G1475"/>
      <c r="H1475"/>
      <c r="I1475"/>
      <c r="J1475"/>
      <c r="K1475"/>
      <c r="L1475"/>
      <c r="M1475"/>
      <c r="N1475"/>
      <c r="O1475"/>
    </row>
    <row r="1476" spans="1:15" hidden="1" x14ac:dyDescent="0.25">
      <c r="A1476" t="s">
        <v>106</v>
      </c>
      <c r="B1476" t="s">
        <v>115</v>
      </c>
      <c r="C1476" t="b">
        <v>0</v>
      </c>
      <c r="D1476" s="1">
        <v>38108</v>
      </c>
      <c r="E1476">
        <v>3</v>
      </c>
      <c r="F1476"/>
      <c r="G1476"/>
      <c r="H1476"/>
      <c r="I1476"/>
      <c r="J1476"/>
      <c r="K1476"/>
      <c r="L1476"/>
      <c r="M1476"/>
      <c r="N1476"/>
      <c r="O1476"/>
    </row>
    <row r="1477" spans="1:15" hidden="1" x14ac:dyDescent="0.25">
      <c r="A1477" t="s">
        <v>106</v>
      </c>
      <c r="B1477" t="s">
        <v>115</v>
      </c>
      <c r="C1477" t="b">
        <v>0</v>
      </c>
      <c r="D1477" s="1">
        <v>38108</v>
      </c>
      <c r="E1477">
        <v>3</v>
      </c>
      <c r="F1477"/>
      <c r="G1477"/>
      <c r="H1477"/>
      <c r="I1477"/>
      <c r="J1477"/>
      <c r="K1477"/>
      <c r="L1477"/>
      <c r="M1477"/>
      <c r="N1477"/>
      <c r="O1477"/>
    </row>
    <row r="1478" spans="1:15" hidden="1" x14ac:dyDescent="0.25">
      <c r="A1478" t="s">
        <v>106</v>
      </c>
      <c r="B1478" t="s">
        <v>115</v>
      </c>
      <c r="C1478" t="b">
        <v>0</v>
      </c>
      <c r="D1478" s="1">
        <v>38108</v>
      </c>
      <c r="E1478">
        <v>3</v>
      </c>
      <c r="F1478"/>
      <c r="G1478"/>
      <c r="H1478"/>
      <c r="I1478"/>
      <c r="J1478"/>
      <c r="K1478"/>
      <c r="L1478"/>
      <c r="M1478"/>
      <c r="N1478"/>
      <c r="O1478"/>
    </row>
    <row r="1479" spans="1:15" hidden="1" x14ac:dyDescent="0.25">
      <c r="A1479" t="s">
        <v>30</v>
      </c>
      <c r="B1479" t="s">
        <v>115</v>
      </c>
      <c r="C1479" t="b">
        <v>0</v>
      </c>
      <c r="D1479" s="1">
        <v>38108</v>
      </c>
      <c r="E1479">
        <v>3</v>
      </c>
      <c r="F1479"/>
      <c r="G1479"/>
      <c r="H1479"/>
      <c r="I1479"/>
      <c r="J1479"/>
      <c r="K1479"/>
      <c r="L1479"/>
      <c r="M1479"/>
      <c r="N1479"/>
      <c r="O1479"/>
    </row>
    <row r="1480" spans="1:15" hidden="1" x14ac:dyDescent="0.25">
      <c r="A1480" t="s">
        <v>39</v>
      </c>
      <c r="B1480" t="s">
        <v>115</v>
      </c>
      <c r="C1480" t="b">
        <v>0</v>
      </c>
      <c r="D1480" s="1">
        <v>38108</v>
      </c>
      <c r="E1480">
        <v>3</v>
      </c>
      <c r="F1480"/>
      <c r="G1480"/>
      <c r="H1480"/>
      <c r="I1480"/>
      <c r="J1480"/>
      <c r="K1480"/>
      <c r="L1480"/>
      <c r="M1480"/>
      <c r="N1480"/>
      <c r="O1480"/>
    </row>
    <row r="1481" spans="1:15" hidden="1" x14ac:dyDescent="0.25">
      <c r="A1481" t="s">
        <v>57</v>
      </c>
      <c r="B1481" t="s">
        <v>115</v>
      </c>
      <c r="C1481" t="b">
        <v>0</v>
      </c>
      <c r="D1481" s="1">
        <v>38108</v>
      </c>
      <c r="E1481">
        <v>3</v>
      </c>
      <c r="F1481"/>
      <c r="G1481"/>
      <c r="H1481"/>
      <c r="I1481"/>
      <c r="J1481"/>
      <c r="K1481"/>
      <c r="L1481"/>
      <c r="M1481"/>
      <c r="N1481"/>
      <c r="O1481"/>
    </row>
    <row r="1482" spans="1:15" hidden="1" x14ac:dyDescent="0.25">
      <c r="A1482" t="s">
        <v>86</v>
      </c>
      <c r="B1482" t="s">
        <v>115</v>
      </c>
      <c r="C1482" t="b">
        <v>0</v>
      </c>
      <c r="D1482" s="1">
        <v>38108</v>
      </c>
      <c r="E1482">
        <v>3</v>
      </c>
      <c r="F1482"/>
      <c r="G1482"/>
      <c r="H1482"/>
      <c r="I1482"/>
      <c r="J1482"/>
      <c r="K1482"/>
      <c r="L1482"/>
      <c r="M1482"/>
      <c r="N1482"/>
      <c r="O1482"/>
    </row>
    <row r="1483" spans="1:15" hidden="1" x14ac:dyDescent="0.25">
      <c r="A1483" t="s">
        <v>99</v>
      </c>
      <c r="B1483" t="s">
        <v>114</v>
      </c>
      <c r="C1483" t="b">
        <v>0</v>
      </c>
      <c r="D1483" s="1">
        <v>38108</v>
      </c>
      <c r="E1483">
        <v>12.440000000000001</v>
      </c>
      <c r="F1483"/>
      <c r="G1483"/>
      <c r="H1483"/>
      <c r="I1483"/>
      <c r="J1483"/>
      <c r="K1483"/>
      <c r="L1483"/>
      <c r="M1483"/>
      <c r="N1483"/>
      <c r="O1483"/>
    </row>
    <row r="1484" spans="1:15" hidden="1" x14ac:dyDescent="0.25">
      <c r="A1484" t="s">
        <v>100</v>
      </c>
      <c r="B1484" t="s">
        <v>117</v>
      </c>
      <c r="C1484" t="b">
        <v>0</v>
      </c>
      <c r="D1484" s="1">
        <v>38139</v>
      </c>
      <c r="E1484" s="2">
        <v>-63.64</v>
      </c>
      <c r="F1484"/>
      <c r="G1484"/>
      <c r="H1484"/>
      <c r="I1484"/>
      <c r="J1484"/>
      <c r="K1484"/>
      <c r="L1484"/>
      <c r="M1484"/>
      <c r="N1484"/>
      <c r="O1484"/>
    </row>
    <row r="1485" spans="1:15" hidden="1" x14ac:dyDescent="0.25">
      <c r="A1485" t="s">
        <v>102</v>
      </c>
      <c r="B1485" t="s">
        <v>117</v>
      </c>
      <c r="C1485" t="b">
        <v>0</v>
      </c>
      <c r="D1485" s="1">
        <v>38139</v>
      </c>
      <c r="E1485" s="2">
        <v>-0.69</v>
      </c>
      <c r="F1485"/>
      <c r="G1485"/>
      <c r="H1485"/>
      <c r="I1485"/>
      <c r="J1485"/>
      <c r="K1485"/>
      <c r="L1485"/>
      <c r="M1485"/>
      <c r="N1485"/>
      <c r="O1485"/>
    </row>
    <row r="1486" spans="1:15" hidden="1" x14ac:dyDescent="0.25">
      <c r="A1486" t="s">
        <v>101</v>
      </c>
      <c r="B1486" t="s">
        <v>117</v>
      </c>
      <c r="C1486" t="b">
        <v>0</v>
      </c>
      <c r="D1486" s="1">
        <v>38139</v>
      </c>
      <c r="E1486" s="2">
        <v>-18.669999999999998</v>
      </c>
      <c r="F1486"/>
      <c r="G1486"/>
      <c r="H1486"/>
      <c r="I1486"/>
      <c r="J1486"/>
      <c r="K1486"/>
      <c r="L1486"/>
      <c r="M1486"/>
      <c r="N1486"/>
      <c r="O1486"/>
    </row>
    <row r="1487" spans="1:15" hidden="1" x14ac:dyDescent="0.25">
      <c r="A1487" t="s">
        <v>14</v>
      </c>
      <c r="B1487" t="s">
        <v>115</v>
      </c>
      <c r="C1487" t="b">
        <v>0</v>
      </c>
      <c r="D1487" s="1">
        <v>38139</v>
      </c>
      <c r="E1487">
        <v>3</v>
      </c>
      <c r="F1487"/>
      <c r="G1487"/>
      <c r="H1487"/>
      <c r="I1487"/>
      <c r="J1487"/>
      <c r="K1487"/>
      <c r="L1487"/>
      <c r="M1487"/>
      <c r="N1487"/>
      <c r="O1487"/>
    </row>
    <row r="1488" spans="1:15" hidden="1" x14ac:dyDescent="0.25">
      <c r="A1488" t="s">
        <v>18</v>
      </c>
      <c r="B1488" t="s">
        <v>115</v>
      </c>
      <c r="C1488" t="b">
        <v>0</v>
      </c>
      <c r="D1488" s="1">
        <v>38139</v>
      </c>
      <c r="E1488">
        <v>3</v>
      </c>
      <c r="F1488"/>
      <c r="G1488"/>
      <c r="H1488"/>
      <c r="I1488"/>
      <c r="J1488"/>
      <c r="K1488"/>
      <c r="L1488"/>
      <c r="M1488"/>
      <c r="N1488"/>
      <c r="O1488"/>
    </row>
    <row r="1489" spans="1:15" hidden="1" x14ac:dyDescent="0.25">
      <c r="A1489" t="s">
        <v>106</v>
      </c>
      <c r="B1489" t="s">
        <v>115</v>
      </c>
      <c r="C1489" t="b">
        <v>0</v>
      </c>
      <c r="D1489" s="1">
        <v>38139</v>
      </c>
      <c r="E1489">
        <v>3</v>
      </c>
      <c r="F1489"/>
      <c r="G1489"/>
      <c r="H1489"/>
      <c r="I1489"/>
      <c r="J1489"/>
      <c r="K1489"/>
      <c r="L1489"/>
      <c r="M1489"/>
      <c r="N1489"/>
      <c r="O1489"/>
    </row>
    <row r="1490" spans="1:15" hidden="1" x14ac:dyDescent="0.25">
      <c r="A1490" t="s">
        <v>106</v>
      </c>
      <c r="B1490" t="s">
        <v>115</v>
      </c>
      <c r="C1490" t="b">
        <v>0</v>
      </c>
      <c r="D1490" s="1">
        <v>38139</v>
      </c>
      <c r="E1490">
        <v>3</v>
      </c>
      <c r="F1490"/>
      <c r="G1490"/>
      <c r="H1490"/>
      <c r="I1490"/>
      <c r="J1490"/>
      <c r="K1490"/>
      <c r="L1490"/>
      <c r="M1490"/>
      <c r="N1490"/>
      <c r="O1490"/>
    </row>
    <row r="1491" spans="1:15" hidden="1" x14ac:dyDescent="0.25">
      <c r="A1491" t="s">
        <v>106</v>
      </c>
      <c r="B1491" t="s">
        <v>115</v>
      </c>
      <c r="C1491" t="b">
        <v>0</v>
      </c>
      <c r="D1491" s="1">
        <v>38139</v>
      </c>
      <c r="E1491">
        <v>3</v>
      </c>
      <c r="F1491"/>
      <c r="G1491"/>
      <c r="H1491"/>
      <c r="I1491"/>
      <c r="J1491"/>
      <c r="K1491"/>
      <c r="L1491"/>
      <c r="M1491"/>
      <c r="N1491"/>
      <c r="O1491"/>
    </row>
    <row r="1492" spans="1:15" hidden="1" x14ac:dyDescent="0.25">
      <c r="A1492" t="s">
        <v>106</v>
      </c>
      <c r="B1492" t="s">
        <v>115</v>
      </c>
      <c r="C1492" t="b">
        <v>0</v>
      </c>
      <c r="D1492" s="1">
        <v>38139</v>
      </c>
      <c r="E1492">
        <v>3</v>
      </c>
      <c r="F1492"/>
      <c r="G1492"/>
      <c r="H1492"/>
      <c r="I1492"/>
      <c r="J1492"/>
      <c r="K1492"/>
      <c r="L1492"/>
      <c r="M1492"/>
      <c r="N1492"/>
      <c r="O1492"/>
    </row>
    <row r="1493" spans="1:15" hidden="1" x14ac:dyDescent="0.25">
      <c r="A1493" t="s">
        <v>106</v>
      </c>
      <c r="B1493" t="s">
        <v>115</v>
      </c>
      <c r="C1493" t="b">
        <v>0</v>
      </c>
      <c r="D1493" s="1">
        <v>38139</v>
      </c>
      <c r="E1493">
        <v>3</v>
      </c>
      <c r="F1493"/>
      <c r="G1493"/>
      <c r="H1493"/>
      <c r="I1493"/>
      <c r="J1493"/>
      <c r="K1493"/>
      <c r="L1493"/>
      <c r="M1493"/>
      <c r="N1493"/>
      <c r="O1493"/>
    </row>
    <row r="1494" spans="1:15" hidden="1" x14ac:dyDescent="0.25">
      <c r="A1494" t="s">
        <v>106</v>
      </c>
      <c r="B1494" t="s">
        <v>115</v>
      </c>
      <c r="C1494" t="b">
        <v>0</v>
      </c>
      <c r="D1494" s="1">
        <v>38139</v>
      </c>
      <c r="E1494">
        <v>3</v>
      </c>
      <c r="F1494"/>
      <c r="G1494"/>
      <c r="H1494"/>
      <c r="I1494"/>
      <c r="J1494"/>
      <c r="K1494"/>
      <c r="L1494"/>
      <c r="M1494"/>
      <c r="N1494"/>
      <c r="O1494"/>
    </row>
    <row r="1495" spans="1:15" hidden="1" x14ac:dyDescent="0.25">
      <c r="A1495" t="s">
        <v>106</v>
      </c>
      <c r="B1495" t="s">
        <v>115</v>
      </c>
      <c r="C1495" t="b">
        <v>0</v>
      </c>
      <c r="D1495" s="1">
        <v>38139</v>
      </c>
      <c r="E1495">
        <v>3</v>
      </c>
      <c r="F1495"/>
      <c r="G1495"/>
      <c r="H1495"/>
      <c r="I1495"/>
      <c r="J1495"/>
      <c r="K1495"/>
      <c r="L1495"/>
      <c r="M1495"/>
      <c r="N1495"/>
      <c r="O1495"/>
    </row>
    <row r="1496" spans="1:15" hidden="1" x14ac:dyDescent="0.25">
      <c r="A1496" t="s">
        <v>106</v>
      </c>
      <c r="B1496" t="s">
        <v>115</v>
      </c>
      <c r="C1496" t="b">
        <v>0</v>
      </c>
      <c r="D1496" s="1">
        <v>38139</v>
      </c>
      <c r="E1496">
        <v>3</v>
      </c>
      <c r="F1496"/>
      <c r="G1496"/>
      <c r="H1496"/>
      <c r="I1496"/>
      <c r="J1496"/>
      <c r="K1496"/>
      <c r="L1496"/>
      <c r="M1496"/>
      <c r="N1496"/>
      <c r="O1496"/>
    </row>
    <row r="1497" spans="1:15" hidden="1" x14ac:dyDescent="0.25">
      <c r="A1497" t="s">
        <v>106</v>
      </c>
      <c r="B1497" t="s">
        <v>115</v>
      </c>
      <c r="C1497" t="b">
        <v>0</v>
      </c>
      <c r="D1497" s="1">
        <v>38139</v>
      </c>
      <c r="E1497">
        <v>3</v>
      </c>
      <c r="F1497"/>
      <c r="G1497"/>
      <c r="H1497"/>
      <c r="I1497"/>
      <c r="J1497"/>
      <c r="K1497"/>
      <c r="L1497"/>
      <c r="M1497"/>
      <c r="N1497"/>
      <c r="O1497"/>
    </row>
    <row r="1498" spans="1:15" hidden="1" x14ac:dyDescent="0.25">
      <c r="A1498" t="s">
        <v>106</v>
      </c>
      <c r="B1498" t="s">
        <v>115</v>
      </c>
      <c r="C1498" t="b">
        <v>0</v>
      </c>
      <c r="D1498" s="1">
        <v>38139</v>
      </c>
      <c r="E1498">
        <v>3</v>
      </c>
      <c r="F1498"/>
      <c r="G1498"/>
      <c r="H1498"/>
      <c r="I1498"/>
      <c r="J1498"/>
      <c r="K1498"/>
      <c r="L1498"/>
      <c r="M1498"/>
      <c r="N1498"/>
      <c r="O1498"/>
    </row>
    <row r="1499" spans="1:15" hidden="1" x14ac:dyDescent="0.25">
      <c r="A1499" t="s">
        <v>106</v>
      </c>
      <c r="B1499" t="s">
        <v>115</v>
      </c>
      <c r="C1499" t="b">
        <v>0</v>
      </c>
      <c r="D1499" s="1">
        <v>38139</v>
      </c>
      <c r="E1499">
        <v>1</v>
      </c>
      <c r="F1499"/>
      <c r="G1499"/>
      <c r="H1499"/>
      <c r="I1499"/>
      <c r="J1499"/>
      <c r="K1499"/>
      <c r="L1499"/>
      <c r="M1499"/>
      <c r="N1499"/>
      <c r="O1499"/>
    </row>
    <row r="1500" spans="1:15" hidden="1" x14ac:dyDescent="0.25">
      <c r="A1500" t="s">
        <v>106</v>
      </c>
      <c r="B1500" t="s">
        <v>115</v>
      </c>
      <c r="C1500" t="b">
        <v>0</v>
      </c>
      <c r="D1500" s="1">
        <v>38139</v>
      </c>
      <c r="E1500">
        <v>3</v>
      </c>
      <c r="F1500"/>
      <c r="G1500"/>
      <c r="H1500"/>
      <c r="I1500"/>
      <c r="J1500"/>
      <c r="K1500"/>
      <c r="L1500"/>
      <c r="M1500"/>
      <c r="N1500"/>
      <c r="O1500"/>
    </row>
    <row r="1501" spans="1:15" hidden="1" x14ac:dyDescent="0.25">
      <c r="A1501" t="s">
        <v>106</v>
      </c>
      <c r="B1501" t="s">
        <v>115</v>
      </c>
      <c r="C1501" t="b">
        <v>0</v>
      </c>
      <c r="D1501" s="1">
        <v>38139</v>
      </c>
      <c r="E1501">
        <v>3</v>
      </c>
      <c r="F1501"/>
      <c r="G1501"/>
      <c r="H1501"/>
      <c r="I1501"/>
      <c r="J1501"/>
      <c r="K1501"/>
      <c r="L1501"/>
      <c r="M1501"/>
      <c r="N1501"/>
      <c r="O1501"/>
    </row>
    <row r="1502" spans="1:15" hidden="1" x14ac:dyDescent="0.25">
      <c r="A1502" t="s">
        <v>106</v>
      </c>
      <c r="B1502" t="s">
        <v>115</v>
      </c>
      <c r="C1502" t="b">
        <v>0</v>
      </c>
      <c r="D1502" s="1">
        <v>38139</v>
      </c>
      <c r="E1502">
        <v>3</v>
      </c>
      <c r="F1502"/>
      <c r="G1502"/>
      <c r="H1502"/>
      <c r="I1502"/>
      <c r="J1502"/>
      <c r="K1502"/>
      <c r="L1502"/>
      <c r="M1502"/>
      <c r="N1502"/>
      <c r="O1502"/>
    </row>
    <row r="1503" spans="1:15" hidden="1" x14ac:dyDescent="0.25">
      <c r="A1503" t="s">
        <v>106</v>
      </c>
      <c r="B1503" t="s">
        <v>115</v>
      </c>
      <c r="C1503" t="b">
        <v>0</v>
      </c>
      <c r="D1503" s="1">
        <v>38139</v>
      </c>
      <c r="E1503">
        <v>3</v>
      </c>
      <c r="F1503"/>
      <c r="G1503"/>
      <c r="H1503"/>
      <c r="I1503"/>
      <c r="J1503"/>
      <c r="K1503"/>
      <c r="L1503"/>
      <c r="M1503"/>
      <c r="N1503"/>
      <c r="O1503"/>
    </row>
    <row r="1504" spans="1:15" hidden="1" x14ac:dyDescent="0.25">
      <c r="A1504" t="s">
        <v>106</v>
      </c>
      <c r="B1504" t="s">
        <v>115</v>
      </c>
      <c r="C1504" t="b">
        <v>0</v>
      </c>
      <c r="D1504" s="1">
        <v>38139</v>
      </c>
      <c r="E1504">
        <v>3</v>
      </c>
      <c r="F1504"/>
      <c r="G1504"/>
      <c r="H1504"/>
      <c r="I1504"/>
      <c r="J1504"/>
      <c r="K1504"/>
      <c r="L1504"/>
      <c r="M1504"/>
      <c r="N1504"/>
      <c r="O1504"/>
    </row>
    <row r="1505" spans="1:15" hidden="1" x14ac:dyDescent="0.25">
      <c r="A1505" t="s">
        <v>106</v>
      </c>
      <c r="B1505" t="s">
        <v>115</v>
      </c>
      <c r="C1505" t="b">
        <v>0</v>
      </c>
      <c r="D1505" s="1">
        <v>38139</v>
      </c>
      <c r="E1505">
        <v>3</v>
      </c>
      <c r="F1505"/>
      <c r="G1505"/>
      <c r="H1505"/>
      <c r="I1505"/>
      <c r="J1505"/>
      <c r="K1505"/>
      <c r="L1505"/>
      <c r="M1505"/>
      <c r="N1505"/>
      <c r="O1505"/>
    </row>
    <row r="1506" spans="1:15" hidden="1" x14ac:dyDescent="0.25">
      <c r="A1506" t="s">
        <v>106</v>
      </c>
      <c r="B1506" t="s">
        <v>115</v>
      </c>
      <c r="C1506" t="b">
        <v>0</v>
      </c>
      <c r="D1506" s="1">
        <v>38139</v>
      </c>
      <c r="E1506">
        <v>3</v>
      </c>
      <c r="F1506"/>
      <c r="G1506"/>
      <c r="H1506"/>
      <c r="I1506"/>
      <c r="J1506"/>
      <c r="K1506"/>
      <c r="L1506"/>
      <c r="M1506"/>
      <c r="N1506"/>
      <c r="O1506"/>
    </row>
    <row r="1507" spans="1:15" hidden="1" x14ac:dyDescent="0.25">
      <c r="A1507" t="s">
        <v>106</v>
      </c>
      <c r="B1507" t="s">
        <v>115</v>
      </c>
      <c r="C1507" t="b">
        <v>0</v>
      </c>
      <c r="D1507" s="1">
        <v>38139</v>
      </c>
      <c r="E1507">
        <v>0</v>
      </c>
      <c r="F1507"/>
      <c r="G1507"/>
      <c r="H1507"/>
      <c r="I1507"/>
      <c r="J1507"/>
      <c r="K1507"/>
      <c r="L1507"/>
      <c r="M1507"/>
      <c r="N1507"/>
      <c r="O1507"/>
    </row>
    <row r="1508" spans="1:15" hidden="1" x14ac:dyDescent="0.25">
      <c r="A1508" t="s">
        <v>106</v>
      </c>
      <c r="B1508" t="s">
        <v>115</v>
      </c>
      <c r="C1508" t="b">
        <v>0</v>
      </c>
      <c r="D1508" s="1">
        <v>38139</v>
      </c>
      <c r="E1508">
        <v>2</v>
      </c>
      <c r="F1508"/>
      <c r="G1508"/>
      <c r="H1508"/>
      <c r="I1508"/>
      <c r="J1508"/>
      <c r="K1508"/>
      <c r="L1508"/>
      <c r="M1508"/>
      <c r="N1508"/>
      <c r="O1508"/>
    </row>
    <row r="1509" spans="1:15" hidden="1" x14ac:dyDescent="0.25">
      <c r="A1509" t="s">
        <v>106</v>
      </c>
      <c r="B1509" t="s">
        <v>115</v>
      </c>
      <c r="C1509" t="b">
        <v>0</v>
      </c>
      <c r="D1509" s="1">
        <v>38139</v>
      </c>
      <c r="E1509">
        <v>3</v>
      </c>
      <c r="F1509"/>
      <c r="G1509"/>
      <c r="H1509"/>
      <c r="I1509"/>
      <c r="J1509"/>
      <c r="K1509"/>
      <c r="L1509"/>
      <c r="M1509"/>
      <c r="N1509"/>
      <c r="O1509"/>
    </row>
    <row r="1510" spans="1:15" hidden="1" x14ac:dyDescent="0.25">
      <c r="A1510" t="s">
        <v>106</v>
      </c>
      <c r="B1510" t="s">
        <v>115</v>
      </c>
      <c r="C1510" t="b">
        <v>0</v>
      </c>
      <c r="D1510" s="1">
        <v>38139</v>
      </c>
      <c r="E1510">
        <v>3</v>
      </c>
      <c r="F1510"/>
      <c r="G1510"/>
      <c r="H1510"/>
      <c r="I1510"/>
      <c r="J1510"/>
      <c r="K1510"/>
      <c r="L1510"/>
      <c r="M1510"/>
      <c r="N1510"/>
      <c r="O1510"/>
    </row>
    <row r="1511" spans="1:15" hidden="1" x14ac:dyDescent="0.25">
      <c r="A1511" t="s">
        <v>106</v>
      </c>
      <c r="B1511" t="s">
        <v>115</v>
      </c>
      <c r="C1511" t="b">
        <v>0</v>
      </c>
      <c r="D1511" s="1">
        <v>38139</v>
      </c>
      <c r="E1511">
        <v>3</v>
      </c>
      <c r="F1511"/>
      <c r="G1511"/>
      <c r="H1511"/>
      <c r="I1511"/>
      <c r="J1511"/>
      <c r="K1511"/>
      <c r="L1511"/>
      <c r="M1511"/>
      <c r="N1511"/>
      <c r="O1511"/>
    </row>
    <row r="1512" spans="1:15" hidden="1" x14ac:dyDescent="0.25">
      <c r="A1512" t="s">
        <v>106</v>
      </c>
      <c r="B1512" t="s">
        <v>115</v>
      </c>
      <c r="C1512" t="b">
        <v>0</v>
      </c>
      <c r="D1512" s="1">
        <v>38139</v>
      </c>
      <c r="E1512">
        <v>3</v>
      </c>
      <c r="F1512"/>
      <c r="G1512"/>
      <c r="H1512"/>
      <c r="I1512"/>
      <c r="J1512"/>
      <c r="K1512"/>
      <c r="L1512"/>
      <c r="M1512"/>
      <c r="N1512"/>
      <c r="O1512"/>
    </row>
    <row r="1513" spans="1:15" hidden="1" x14ac:dyDescent="0.25">
      <c r="A1513" t="s">
        <v>30</v>
      </c>
      <c r="B1513" t="s">
        <v>115</v>
      </c>
      <c r="C1513" t="b">
        <v>0</v>
      </c>
      <c r="D1513" s="1">
        <v>38139</v>
      </c>
      <c r="E1513">
        <v>3</v>
      </c>
      <c r="F1513"/>
      <c r="G1513"/>
      <c r="H1513"/>
      <c r="I1513"/>
      <c r="J1513"/>
      <c r="K1513"/>
      <c r="L1513"/>
      <c r="M1513"/>
      <c r="N1513"/>
      <c r="O1513"/>
    </row>
    <row r="1514" spans="1:15" hidden="1" x14ac:dyDescent="0.25">
      <c r="A1514" t="s">
        <v>39</v>
      </c>
      <c r="B1514" t="s">
        <v>115</v>
      </c>
      <c r="C1514" t="b">
        <v>0</v>
      </c>
      <c r="D1514" s="1">
        <v>38139</v>
      </c>
      <c r="E1514">
        <v>3</v>
      </c>
      <c r="F1514"/>
      <c r="G1514"/>
      <c r="H1514"/>
      <c r="I1514"/>
      <c r="J1514"/>
      <c r="K1514"/>
      <c r="L1514"/>
      <c r="M1514"/>
      <c r="N1514"/>
      <c r="O1514"/>
    </row>
    <row r="1515" spans="1:15" hidden="1" x14ac:dyDescent="0.25">
      <c r="A1515" t="s">
        <v>57</v>
      </c>
      <c r="B1515" t="s">
        <v>115</v>
      </c>
      <c r="C1515" t="b">
        <v>0</v>
      </c>
      <c r="D1515" s="1">
        <v>38139</v>
      </c>
      <c r="E1515">
        <v>3</v>
      </c>
      <c r="F1515"/>
      <c r="G1515"/>
      <c r="H1515"/>
      <c r="I1515"/>
      <c r="J1515"/>
      <c r="K1515"/>
      <c r="L1515"/>
      <c r="M1515"/>
      <c r="N1515"/>
      <c r="O1515"/>
    </row>
    <row r="1516" spans="1:15" hidden="1" x14ac:dyDescent="0.25">
      <c r="A1516" t="s">
        <v>86</v>
      </c>
      <c r="B1516" t="s">
        <v>115</v>
      </c>
      <c r="C1516" t="b">
        <v>0</v>
      </c>
      <c r="D1516" s="1">
        <v>38139</v>
      </c>
      <c r="E1516">
        <v>3</v>
      </c>
      <c r="F1516"/>
      <c r="G1516"/>
      <c r="H1516"/>
      <c r="I1516"/>
      <c r="J1516"/>
      <c r="K1516"/>
      <c r="L1516"/>
      <c r="M1516"/>
      <c r="N1516"/>
      <c r="O1516"/>
    </row>
    <row r="1517" spans="1:15" hidden="1" x14ac:dyDescent="0.25">
      <c r="A1517" t="s">
        <v>99</v>
      </c>
      <c r="B1517" t="s">
        <v>114</v>
      </c>
      <c r="C1517" t="b">
        <v>0</v>
      </c>
      <c r="D1517" s="1">
        <v>38139</v>
      </c>
      <c r="E1517">
        <v>18.73</v>
      </c>
      <c r="F1517"/>
      <c r="G1517"/>
      <c r="H1517"/>
      <c r="I1517"/>
      <c r="J1517"/>
      <c r="K1517"/>
      <c r="L1517"/>
      <c r="M1517"/>
      <c r="N1517"/>
      <c r="O1517"/>
    </row>
    <row r="1518" spans="1:15" hidden="1" x14ac:dyDescent="0.25">
      <c r="A1518" t="s">
        <v>100</v>
      </c>
      <c r="B1518" t="s">
        <v>117</v>
      </c>
      <c r="C1518" t="b">
        <v>0</v>
      </c>
      <c r="D1518" s="1">
        <v>38169</v>
      </c>
      <c r="E1518" s="2">
        <v>-106.32</v>
      </c>
      <c r="F1518"/>
      <c r="G1518"/>
      <c r="H1518"/>
      <c r="I1518"/>
      <c r="J1518"/>
      <c r="K1518"/>
      <c r="L1518"/>
      <c r="M1518"/>
      <c r="N1518"/>
      <c r="O1518"/>
    </row>
    <row r="1519" spans="1:15" hidden="1" x14ac:dyDescent="0.25">
      <c r="A1519" t="s">
        <v>102</v>
      </c>
      <c r="B1519" t="s">
        <v>117</v>
      </c>
      <c r="C1519" t="b">
        <v>0</v>
      </c>
      <c r="D1519" s="1">
        <v>38169</v>
      </c>
      <c r="E1519" s="2">
        <v>-39.68</v>
      </c>
      <c r="F1519"/>
      <c r="G1519"/>
      <c r="H1519"/>
      <c r="I1519"/>
      <c r="J1519"/>
      <c r="K1519"/>
      <c r="L1519"/>
      <c r="M1519"/>
      <c r="N1519"/>
      <c r="O1519"/>
    </row>
    <row r="1520" spans="1:15" hidden="1" x14ac:dyDescent="0.25">
      <c r="A1520" t="s">
        <v>14</v>
      </c>
      <c r="B1520" t="s">
        <v>115</v>
      </c>
      <c r="C1520" t="b">
        <v>0</v>
      </c>
      <c r="D1520" s="1">
        <v>38169</v>
      </c>
      <c r="E1520">
        <v>3</v>
      </c>
      <c r="F1520"/>
      <c r="G1520"/>
      <c r="H1520"/>
      <c r="I1520"/>
      <c r="J1520"/>
      <c r="K1520"/>
      <c r="L1520"/>
      <c r="M1520"/>
      <c r="N1520"/>
      <c r="O1520"/>
    </row>
    <row r="1521" spans="1:15" hidden="1" x14ac:dyDescent="0.25">
      <c r="A1521" t="s">
        <v>18</v>
      </c>
      <c r="B1521" t="s">
        <v>115</v>
      </c>
      <c r="C1521" t="b">
        <v>0</v>
      </c>
      <c r="D1521" s="1">
        <v>38169</v>
      </c>
      <c r="E1521">
        <v>3</v>
      </c>
      <c r="F1521"/>
      <c r="G1521"/>
      <c r="H1521"/>
      <c r="I1521"/>
      <c r="J1521"/>
      <c r="K1521"/>
      <c r="L1521"/>
      <c r="M1521"/>
      <c r="N1521"/>
      <c r="O1521"/>
    </row>
    <row r="1522" spans="1:15" hidden="1" x14ac:dyDescent="0.25">
      <c r="A1522" t="s">
        <v>106</v>
      </c>
      <c r="B1522" t="s">
        <v>115</v>
      </c>
      <c r="C1522" t="b">
        <v>0</v>
      </c>
      <c r="D1522" s="1">
        <v>38169</v>
      </c>
      <c r="E1522">
        <v>3</v>
      </c>
      <c r="F1522"/>
      <c r="G1522"/>
      <c r="H1522"/>
      <c r="I1522"/>
      <c r="J1522"/>
      <c r="K1522"/>
      <c r="L1522"/>
      <c r="M1522"/>
      <c r="N1522"/>
      <c r="O1522"/>
    </row>
    <row r="1523" spans="1:15" hidden="1" x14ac:dyDescent="0.25">
      <c r="A1523" t="s">
        <v>106</v>
      </c>
      <c r="B1523" t="s">
        <v>115</v>
      </c>
      <c r="C1523" t="b">
        <v>0</v>
      </c>
      <c r="D1523" s="1">
        <v>38169</v>
      </c>
      <c r="E1523">
        <v>3</v>
      </c>
      <c r="F1523"/>
      <c r="G1523"/>
      <c r="H1523"/>
      <c r="I1523"/>
      <c r="J1523"/>
      <c r="K1523"/>
      <c r="L1523"/>
      <c r="M1523"/>
      <c r="N1523"/>
      <c r="O1523"/>
    </row>
    <row r="1524" spans="1:15" hidden="1" x14ac:dyDescent="0.25">
      <c r="A1524" t="s">
        <v>106</v>
      </c>
      <c r="B1524" t="s">
        <v>115</v>
      </c>
      <c r="C1524" t="b">
        <v>0</v>
      </c>
      <c r="D1524" s="1">
        <v>38169</v>
      </c>
      <c r="E1524">
        <v>3</v>
      </c>
      <c r="F1524"/>
      <c r="G1524"/>
      <c r="H1524"/>
      <c r="I1524"/>
      <c r="J1524"/>
      <c r="K1524"/>
      <c r="L1524"/>
      <c r="M1524"/>
      <c r="N1524"/>
      <c r="O1524"/>
    </row>
    <row r="1525" spans="1:15" hidden="1" x14ac:dyDescent="0.25">
      <c r="A1525" t="s">
        <v>106</v>
      </c>
      <c r="B1525" t="s">
        <v>115</v>
      </c>
      <c r="C1525" t="b">
        <v>0</v>
      </c>
      <c r="D1525" s="1">
        <v>38169</v>
      </c>
      <c r="E1525">
        <v>3</v>
      </c>
      <c r="F1525"/>
      <c r="G1525"/>
      <c r="H1525"/>
      <c r="I1525"/>
      <c r="J1525"/>
      <c r="K1525"/>
      <c r="L1525"/>
      <c r="M1525"/>
      <c r="N1525"/>
      <c r="O1525"/>
    </row>
    <row r="1526" spans="1:15" hidden="1" x14ac:dyDescent="0.25">
      <c r="A1526" t="s">
        <v>106</v>
      </c>
      <c r="B1526" t="s">
        <v>115</v>
      </c>
      <c r="C1526" t="b">
        <v>0</v>
      </c>
      <c r="D1526" s="1">
        <v>38169</v>
      </c>
      <c r="E1526">
        <v>3</v>
      </c>
      <c r="F1526"/>
      <c r="G1526"/>
      <c r="H1526"/>
      <c r="I1526"/>
      <c r="J1526"/>
      <c r="K1526"/>
      <c r="L1526"/>
      <c r="M1526"/>
      <c r="N1526"/>
      <c r="O1526"/>
    </row>
    <row r="1527" spans="1:15" hidden="1" x14ac:dyDescent="0.25">
      <c r="A1527" t="s">
        <v>106</v>
      </c>
      <c r="B1527" t="s">
        <v>115</v>
      </c>
      <c r="C1527" t="b">
        <v>0</v>
      </c>
      <c r="D1527" s="1">
        <v>38169</v>
      </c>
      <c r="E1527">
        <v>3</v>
      </c>
      <c r="F1527"/>
      <c r="G1527"/>
      <c r="H1527"/>
      <c r="I1527"/>
      <c r="J1527"/>
      <c r="K1527"/>
      <c r="L1527"/>
      <c r="M1527"/>
      <c r="N1527"/>
      <c r="O1527"/>
    </row>
    <row r="1528" spans="1:15" hidden="1" x14ac:dyDescent="0.25">
      <c r="A1528" t="s">
        <v>106</v>
      </c>
      <c r="B1528" t="s">
        <v>115</v>
      </c>
      <c r="C1528" t="b">
        <v>0</v>
      </c>
      <c r="D1528" s="1">
        <v>38169</v>
      </c>
      <c r="E1528">
        <v>3</v>
      </c>
      <c r="F1528"/>
      <c r="G1528"/>
      <c r="H1528"/>
      <c r="I1528"/>
      <c r="J1528"/>
      <c r="K1528"/>
      <c r="L1528"/>
      <c r="M1528"/>
      <c r="N1528"/>
      <c r="O1528"/>
    </row>
    <row r="1529" spans="1:15" hidden="1" x14ac:dyDescent="0.25">
      <c r="A1529" t="s">
        <v>106</v>
      </c>
      <c r="B1529" t="s">
        <v>115</v>
      </c>
      <c r="C1529" t="b">
        <v>0</v>
      </c>
      <c r="D1529" s="1">
        <v>38169</v>
      </c>
      <c r="E1529">
        <v>3</v>
      </c>
      <c r="F1529"/>
      <c r="G1529"/>
      <c r="H1529"/>
      <c r="I1529"/>
      <c r="J1529"/>
      <c r="K1529"/>
      <c r="L1529"/>
      <c r="M1529"/>
      <c r="N1529"/>
      <c r="O1529"/>
    </row>
    <row r="1530" spans="1:15" hidden="1" x14ac:dyDescent="0.25">
      <c r="A1530" t="s">
        <v>106</v>
      </c>
      <c r="B1530" t="s">
        <v>115</v>
      </c>
      <c r="C1530" t="b">
        <v>0</v>
      </c>
      <c r="D1530" s="1">
        <v>38169</v>
      </c>
      <c r="E1530">
        <v>3</v>
      </c>
      <c r="F1530"/>
      <c r="G1530"/>
      <c r="H1530"/>
      <c r="I1530"/>
      <c r="J1530"/>
      <c r="K1530"/>
      <c r="L1530"/>
      <c r="M1530"/>
      <c r="N1530"/>
      <c r="O1530"/>
    </row>
    <row r="1531" spans="1:15" hidden="1" x14ac:dyDescent="0.25">
      <c r="A1531" t="s">
        <v>106</v>
      </c>
      <c r="B1531" t="s">
        <v>115</v>
      </c>
      <c r="C1531" t="b">
        <v>0</v>
      </c>
      <c r="D1531" s="1">
        <v>38169</v>
      </c>
      <c r="E1531">
        <v>2</v>
      </c>
      <c r="F1531"/>
      <c r="G1531"/>
      <c r="H1531"/>
      <c r="I1531"/>
      <c r="J1531"/>
      <c r="K1531"/>
      <c r="L1531"/>
      <c r="M1531"/>
      <c r="N1531"/>
      <c r="O1531"/>
    </row>
    <row r="1532" spans="1:15" hidden="1" x14ac:dyDescent="0.25">
      <c r="A1532" t="s">
        <v>106</v>
      </c>
      <c r="B1532" t="s">
        <v>115</v>
      </c>
      <c r="C1532" t="b">
        <v>0</v>
      </c>
      <c r="D1532" s="1">
        <v>38169</v>
      </c>
      <c r="E1532">
        <v>1</v>
      </c>
      <c r="F1532"/>
      <c r="G1532"/>
      <c r="H1532"/>
      <c r="I1532"/>
      <c r="J1532"/>
      <c r="K1532"/>
      <c r="L1532"/>
      <c r="M1532"/>
      <c r="N1532"/>
      <c r="O1532"/>
    </row>
    <row r="1533" spans="1:15" hidden="1" x14ac:dyDescent="0.25">
      <c r="A1533" t="s">
        <v>106</v>
      </c>
      <c r="B1533" t="s">
        <v>115</v>
      </c>
      <c r="C1533" t="b">
        <v>0</v>
      </c>
      <c r="D1533" s="1">
        <v>38169</v>
      </c>
      <c r="E1533">
        <v>3</v>
      </c>
      <c r="F1533"/>
      <c r="G1533"/>
      <c r="H1533"/>
      <c r="I1533"/>
      <c r="J1533"/>
      <c r="K1533"/>
      <c r="L1533"/>
      <c r="M1533"/>
      <c r="N1533"/>
      <c r="O1533"/>
    </row>
    <row r="1534" spans="1:15" hidden="1" x14ac:dyDescent="0.25">
      <c r="A1534" t="s">
        <v>106</v>
      </c>
      <c r="B1534" t="s">
        <v>115</v>
      </c>
      <c r="C1534" t="b">
        <v>0</v>
      </c>
      <c r="D1534" s="1">
        <v>38169</v>
      </c>
      <c r="E1534">
        <v>3</v>
      </c>
      <c r="F1534"/>
      <c r="G1534"/>
      <c r="H1534"/>
      <c r="I1534"/>
      <c r="J1534"/>
      <c r="K1534"/>
      <c r="L1534"/>
      <c r="M1534"/>
      <c r="N1534"/>
      <c r="O1534"/>
    </row>
    <row r="1535" spans="1:15" hidden="1" x14ac:dyDescent="0.25">
      <c r="A1535" t="s">
        <v>106</v>
      </c>
      <c r="B1535" t="s">
        <v>115</v>
      </c>
      <c r="C1535" t="b">
        <v>0</v>
      </c>
      <c r="D1535" s="1">
        <v>38169</v>
      </c>
      <c r="E1535">
        <v>3</v>
      </c>
      <c r="F1535"/>
      <c r="G1535"/>
      <c r="H1535"/>
      <c r="I1535"/>
      <c r="J1535"/>
      <c r="K1535"/>
      <c r="L1535"/>
      <c r="M1535"/>
      <c r="N1535"/>
      <c r="O1535"/>
    </row>
    <row r="1536" spans="1:15" hidden="1" x14ac:dyDescent="0.25">
      <c r="A1536" t="s">
        <v>106</v>
      </c>
      <c r="B1536" t="s">
        <v>115</v>
      </c>
      <c r="C1536" t="b">
        <v>0</v>
      </c>
      <c r="D1536" s="1">
        <v>38169</v>
      </c>
      <c r="E1536">
        <v>3</v>
      </c>
      <c r="F1536"/>
      <c r="G1536"/>
      <c r="H1536"/>
      <c r="I1536"/>
      <c r="J1536"/>
      <c r="K1536"/>
      <c r="L1536"/>
      <c r="M1536"/>
      <c r="N1536"/>
      <c r="O1536"/>
    </row>
    <row r="1537" spans="1:15" hidden="1" x14ac:dyDescent="0.25">
      <c r="A1537" t="s">
        <v>106</v>
      </c>
      <c r="B1537" t="s">
        <v>115</v>
      </c>
      <c r="C1537" t="b">
        <v>0</v>
      </c>
      <c r="D1537" s="1">
        <v>38169</v>
      </c>
      <c r="E1537">
        <v>3</v>
      </c>
      <c r="F1537"/>
      <c r="G1537"/>
      <c r="H1537"/>
      <c r="I1537"/>
      <c r="J1537"/>
      <c r="K1537"/>
      <c r="L1537"/>
      <c r="M1537"/>
      <c r="N1537"/>
      <c r="O1537"/>
    </row>
    <row r="1538" spans="1:15" hidden="1" x14ac:dyDescent="0.25">
      <c r="A1538" t="s">
        <v>106</v>
      </c>
      <c r="B1538" t="s">
        <v>115</v>
      </c>
      <c r="C1538" t="b">
        <v>0</v>
      </c>
      <c r="D1538" s="1">
        <v>38169</v>
      </c>
      <c r="E1538">
        <v>3</v>
      </c>
      <c r="F1538"/>
      <c r="G1538"/>
      <c r="H1538"/>
      <c r="I1538"/>
      <c r="J1538"/>
      <c r="K1538"/>
      <c r="L1538"/>
      <c r="M1538"/>
      <c r="N1538"/>
      <c r="O1538"/>
    </row>
    <row r="1539" spans="1:15" hidden="1" x14ac:dyDescent="0.25">
      <c r="A1539" t="s">
        <v>106</v>
      </c>
      <c r="B1539" t="s">
        <v>115</v>
      </c>
      <c r="C1539" t="b">
        <v>0</v>
      </c>
      <c r="D1539" s="1">
        <v>38169</v>
      </c>
      <c r="E1539">
        <v>3</v>
      </c>
      <c r="F1539"/>
      <c r="G1539"/>
      <c r="H1539"/>
      <c r="I1539"/>
      <c r="J1539"/>
      <c r="K1539"/>
      <c r="L1539"/>
      <c r="M1539"/>
      <c r="N1539"/>
      <c r="O1539"/>
    </row>
    <row r="1540" spans="1:15" hidden="1" x14ac:dyDescent="0.25">
      <c r="A1540" t="s">
        <v>106</v>
      </c>
      <c r="B1540" t="s">
        <v>115</v>
      </c>
      <c r="C1540" t="b">
        <v>0</v>
      </c>
      <c r="D1540" s="1">
        <v>38169</v>
      </c>
      <c r="E1540">
        <v>0</v>
      </c>
      <c r="F1540"/>
      <c r="G1540"/>
      <c r="H1540"/>
      <c r="I1540"/>
      <c r="J1540"/>
      <c r="K1540"/>
      <c r="L1540"/>
      <c r="M1540"/>
      <c r="N1540"/>
      <c r="O1540"/>
    </row>
    <row r="1541" spans="1:15" hidden="1" x14ac:dyDescent="0.25">
      <c r="A1541" t="s">
        <v>106</v>
      </c>
      <c r="B1541" t="s">
        <v>115</v>
      </c>
      <c r="C1541" t="b">
        <v>0</v>
      </c>
      <c r="D1541" s="1">
        <v>38169</v>
      </c>
      <c r="E1541">
        <v>3</v>
      </c>
      <c r="F1541"/>
      <c r="G1541"/>
      <c r="H1541"/>
      <c r="I1541"/>
      <c r="J1541"/>
      <c r="K1541"/>
      <c r="L1541"/>
      <c r="M1541"/>
      <c r="N1541"/>
      <c r="O1541"/>
    </row>
    <row r="1542" spans="1:15" hidden="1" x14ac:dyDescent="0.25">
      <c r="A1542" t="s">
        <v>106</v>
      </c>
      <c r="B1542" t="s">
        <v>115</v>
      </c>
      <c r="C1542" t="b">
        <v>0</v>
      </c>
      <c r="D1542" s="1">
        <v>38169</v>
      </c>
      <c r="E1542">
        <v>3</v>
      </c>
      <c r="F1542"/>
      <c r="G1542"/>
      <c r="H1542"/>
      <c r="I1542"/>
      <c r="J1542"/>
      <c r="K1542"/>
      <c r="L1542"/>
      <c r="M1542"/>
      <c r="N1542"/>
      <c r="O1542"/>
    </row>
    <row r="1543" spans="1:15" hidden="1" x14ac:dyDescent="0.25">
      <c r="A1543" t="s">
        <v>106</v>
      </c>
      <c r="B1543" t="s">
        <v>115</v>
      </c>
      <c r="C1543" t="b">
        <v>0</v>
      </c>
      <c r="D1543" s="1">
        <v>38169</v>
      </c>
      <c r="E1543">
        <v>3</v>
      </c>
      <c r="F1543"/>
      <c r="G1543"/>
      <c r="H1543"/>
      <c r="I1543"/>
      <c r="J1543"/>
      <c r="K1543"/>
      <c r="L1543"/>
      <c r="M1543"/>
      <c r="N1543"/>
      <c r="O1543"/>
    </row>
    <row r="1544" spans="1:15" hidden="1" x14ac:dyDescent="0.25">
      <c r="A1544" t="s">
        <v>106</v>
      </c>
      <c r="B1544" t="s">
        <v>115</v>
      </c>
      <c r="C1544" t="b">
        <v>0</v>
      </c>
      <c r="D1544" s="1">
        <v>38169</v>
      </c>
      <c r="E1544">
        <v>3</v>
      </c>
      <c r="F1544"/>
      <c r="G1544"/>
      <c r="H1544"/>
      <c r="I1544"/>
      <c r="J1544"/>
      <c r="K1544"/>
      <c r="L1544"/>
      <c r="M1544"/>
      <c r="N1544"/>
      <c r="O1544"/>
    </row>
    <row r="1545" spans="1:15" hidden="1" x14ac:dyDescent="0.25">
      <c r="A1545" t="s">
        <v>106</v>
      </c>
      <c r="B1545" t="s">
        <v>115</v>
      </c>
      <c r="C1545" t="b">
        <v>0</v>
      </c>
      <c r="D1545" s="1">
        <v>38169</v>
      </c>
      <c r="E1545">
        <v>3</v>
      </c>
      <c r="F1545"/>
      <c r="G1545"/>
      <c r="H1545"/>
      <c r="I1545"/>
      <c r="J1545"/>
      <c r="K1545"/>
      <c r="L1545"/>
      <c r="M1545"/>
      <c r="N1545"/>
      <c r="O1545"/>
    </row>
    <row r="1546" spans="1:15" hidden="1" x14ac:dyDescent="0.25">
      <c r="A1546" t="s">
        <v>106</v>
      </c>
      <c r="B1546" t="s">
        <v>115</v>
      </c>
      <c r="C1546" t="b">
        <v>0</v>
      </c>
      <c r="D1546" s="1">
        <v>38169</v>
      </c>
      <c r="E1546">
        <v>3</v>
      </c>
      <c r="F1546"/>
      <c r="G1546"/>
      <c r="H1546"/>
      <c r="I1546"/>
      <c r="J1546"/>
      <c r="K1546"/>
      <c r="L1546"/>
      <c r="M1546"/>
      <c r="N1546"/>
      <c r="O1546"/>
    </row>
    <row r="1547" spans="1:15" hidden="1" x14ac:dyDescent="0.25">
      <c r="A1547" t="s">
        <v>30</v>
      </c>
      <c r="B1547" t="s">
        <v>115</v>
      </c>
      <c r="C1547" t="b">
        <v>0</v>
      </c>
      <c r="D1547" s="1">
        <v>38169</v>
      </c>
      <c r="E1547">
        <v>3</v>
      </c>
      <c r="F1547"/>
      <c r="G1547"/>
      <c r="H1547"/>
      <c r="I1547"/>
      <c r="J1547"/>
      <c r="K1547"/>
      <c r="L1547"/>
      <c r="M1547"/>
      <c r="N1547"/>
      <c r="O1547"/>
    </row>
    <row r="1548" spans="1:15" hidden="1" x14ac:dyDescent="0.25">
      <c r="A1548" t="s">
        <v>39</v>
      </c>
      <c r="B1548" t="s">
        <v>115</v>
      </c>
      <c r="C1548" t="b">
        <v>0</v>
      </c>
      <c r="D1548" s="1">
        <v>38169</v>
      </c>
      <c r="E1548">
        <v>3</v>
      </c>
      <c r="F1548"/>
      <c r="G1548"/>
      <c r="H1548"/>
      <c r="I1548"/>
      <c r="J1548"/>
      <c r="K1548"/>
      <c r="L1548"/>
      <c r="M1548"/>
      <c r="N1548"/>
      <c r="O1548"/>
    </row>
    <row r="1549" spans="1:15" hidden="1" x14ac:dyDescent="0.25">
      <c r="A1549" t="s">
        <v>57</v>
      </c>
      <c r="B1549" t="s">
        <v>115</v>
      </c>
      <c r="C1549" t="b">
        <v>0</v>
      </c>
      <c r="D1549" s="1">
        <v>38169</v>
      </c>
      <c r="E1549">
        <v>3</v>
      </c>
      <c r="F1549"/>
      <c r="G1549"/>
      <c r="H1549"/>
      <c r="I1549"/>
      <c r="J1549"/>
      <c r="K1549"/>
      <c r="L1549"/>
      <c r="M1549"/>
      <c r="N1549"/>
      <c r="O1549"/>
    </row>
    <row r="1550" spans="1:15" hidden="1" x14ac:dyDescent="0.25">
      <c r="A1550" t="s">
        <v>69</v>
      </c>
      <c r="B1550" t="s">
        <v>115</v>
      </c>
      <c r="C1550" t="b">
        <v>0</v>
      </c>
      <c r="D1550" s="1">
        <v>38169</v>
      </c>
      <c r="E1550">
        <v>3</v>
      </c>
      <c r="F1550"/>
      <c r="G1550"/>
      <c r="H1550"/>
      <c r="I1550"/>
      <c r="J1550"/>
      <c r="K1550"/>
      <c r="L1550"/>
      <c r="M1550"/>
      <c r="N1550"/>
      <c r="O1550"/>
    </row>
    <row r="1551" spans="1:15" hidden="1" x14ac:dyDescent="0.25">
      <c r="A1551" t="s">
        <v>86</v>
      </c>
      <c r="B1551" t="s">
        <v>115</v>
      </c>
      <c r="C1551" t="b">
        <v>0</v>
      </c>
      <c r="D1551" s="1">
        <v>38169</v>
      </c>
      <c r="E1551">
        <v>3</v>
      </c>
      <c r="F1551"/>
      <c r="G1551"/>
      <c r="H1551"/>
      <c r="I1551"/>
      <c r="J1551"/>
      <c r="K1551"/>
      <c r="L1551"/>
      <c r="M1551"/>
      <c r="N1551"/>
      <c r="O1551"/>
    </row>
    <row r="1552" spans="1:15" hidden="1" x14ac:dyDescent="0.25">
      <c r="A1552" t="s">
        <v>100</v>
      </c>
      <c r="B1552" t="s">
        <v>117</v>
      </c>
      <c r="C1552" t="b">
        <v>0</v>
      </c>
      <c r="D1552" s="1">
        <v>38200</v>
      </c>
      <c r="E1552" s="2">
        <v>-136.62</v>
      </c>
      <c r="F1552"/>
      <c r="G1552"/>
      <c r="H1552"/>
      <c r="I1552"/>
      <c r="J1552"/>
      <c r="K1552"/>
      <c r="L1552"/>
      <c r="M1552"/>
      <c r="N1552"/>
      <c r="O1552"/>
    </row>
    <row r="1553" spans="1:15" hidden="1" x14ac:dyDescent="0.25">
      <c r="A1553" t="s">
        <v>102</v>
      </c>
      <c r="B1553" t="s">
        <v>117</v>
      </c>
      <c r="C1553" t="b">
        <v>0</v>
      </c>
      <c r="D1553" s="1">
        <v>38200</v>
      </c>
      <c r="E1553" s="2">
        <v>-22.68</v>
      </c>
      <c r="F1553"/>
      <c r="G1553"/>
      <c r="H1553"/>
      <c r="I1553"/>
      <c r="J1553"/>
      <c r="K1553"/>
      <c r="L1553"/>
      <c r="M1553"/>
      <c r="N1553"/>
      <c r="O1553"/>
    </row>
    <row r="1554" spans="1:15" hidden="1" x14ac:dyDescent="0.25">
      <c r="A1554" t="s">
        <v>103</v>
      </c>
      <c r="B1554" t="s">
        <v>117</v>
      </c>
      <c r="C1554" t="b">
        <v>0</v>
      </c>
      <c r="D1554" s="1">
        <v>38200</v>
      </c>
      <c r="E1554" s="2">
        <v>-12.69</v>
      </c>
      <c r="F1554"/>
      <c r="G1554"/>
      <c r="H1554"/>
      <c r="I1554"/>
      <c r="J1554"/>
      <c r="K1554"/>
      <c r="L1554"/>
      <c r="M1554"/>
      <c r="N1554"/>
      <c r="O1554"/>
    </row>
    <row r="1555" spans="1:15" hidden="1" x14ac:dyDescent="0.25">
      <c r="A1555" t="s">
        <v>101</v>
      </c>
      <c r="B1555" t="s">
        <v>117</v>
      </c>
      <c r="C1555" t="b">
        <v>0</v>
      </c>
      <c r="D1555" s="1">
        <v>38200</v>
      </c>
      <c r="E1555" s="2">
        <v>-0.13</v>
      </c>
      <c r="F1555"/>
      <c r="G1555"/>
      <c r="H1555"/>
      <c r="I1555"/>
      <c r="J1555"/>
      <c r="K1555"/>
      <c r="L1555"/>
      <c r="M1555"/>
      <c r="N1555"/>
      <c r="O1555"/>
    </row>
    <row r="1556" spans="1:15" hidden="1" x14ac:dyDescent="0.25">
      <c r="A1556" t="s">
        <v>14</v>
      </c>
      <c r="B1556" t="s">
        <v>115</v>
      </c>
      <c r="C1556" t="b">
        <v>0</v>
      </c>
      <c r="D1556" s="1">
        <v>38200</v>
      </c>
      <c r="E1556">
        <v>3</v>
      </c>
      <c r="F1556"/>
      <c r="G1556"/>
      <c r="H1556"/>
      <c r="I1556"/>
      <c r="J1556"/>
      <c r="K1556"/>
      <c r="L1556"/>
      <c r="M1556"/>
      <c r="N1556"/>
      <c r="O1556"/>
    </row>
    <row r="1557" spans="1:15" hidden="1" x14ac:dyDescent="0.25">
      <c r="A1557" t="s">
        <v>18</v>
      </c>
      <c r="B1557" t="s">
        <v>115</v>
      </c>
      <c r="C1557" t="b">
        <v>0</v>
      </c>
      <c r="D1557" s="1">
        <v>38200</v>
      </c>
      <c r="E1557">
        <v>3</v>
      </c>
      <c r="F1557"/>
      <c r="G1557"/>
      <c r="H1557"/>
      <c r="I1557"/>
      <c r="J1557"/>
      <c r="K1557"/>
      <c r="L1557"/>
      <c r="M1557"/>
      <c r="N1557"/>
      <c r="O1557"/>
    </row>
    <row r="1558" spans="1:15" hidden="1" x14ac:dyDescent="0.25">
      <c r="A1558" t="s">
        <v>106</v>
      </c>
      <c r="B1558" t="s">
        <v>115</v>
      </c>
      <c r="C1558" t="b">
        <v>0</v>
      </c>
      <c r="D1558" s="1">
        <v>38200</v>
      </c>
      <c r="E1558">
        <v>3</v>
      </c>
      <c r="F1558"/>
      <c r="G1558"/>
      <c r="H1558"/>
      <c r="I1558"/>
      <c r="J1558"/>
      <c r="K1558"/>
      <c r="L1558"/>
      <c r="M1558"/>
      <c r="N1558"/>
      <c r="O1558"/>
    </row>
    <row r="1559" spans="1:15" hidden="1" x14ac:dyDescent="0.25">
      <c r="A1559" t="s">
        <v>106</v>
      </c>
      <c r="B1559" t="s">
        <v>115</v>
      </c>
      <c r="C1559" t="b">
        <v>0</v>
      </c>
      <c r="D1559" s="1">
        <v>38200</v>
      </c>
      <c r="E1559">
        <v>3</v>
      </c>
      <c r="F1559"/>
      <c r="G1559"/>
      <c r="H1559"/>
      <c r="I1559"/>
      <c r="J1559"/>
      <c r="K1559"/>
      <c r="L1559"/>
      <c r="M1559"/>
      <c r="N1559"/>
      <c r="O1559"/>
    </row>
    <row r="1560" spans="1:15" hidden="1" x14ac:dyDescent="0.25">
      <c r="A1560" t="s">
        <v>106</v>
      </c>
      <c r="B1560" t="s">
        <v>115</v>
      </c>
      <c r="C1560" t="b">
        <v>0</v>
      </c>
      <c r="D1560" s="1">
        <v>38200</v>
      </c>
      <c r="E1560">
        <v>3</v>
      </c>
      <c r="F1560"/>
      <c r="G1560"/>
      <c r="H1560"/>
      <c r="I1560"/>
      <c r="J1560"/>
      <c r="K1560"/>
      <c r="L1560"/>
      <c r="M1560"/>
      <c r="N1560"/>
      <c r="O1560"/>
    </row>
    <row r="1561" spans="1:15" hidden="1" x14ac:dyDescent="0.25">
      <c r="A1561" t="s">
        <v>106</v>
      </c>
      <c r="B1561" t="s">
        <v>115</v>
      </c>
      <c r="C1561" t="b">
        <v>0</v>
      </c>
      <c r="D1561" s="1">
        <v>38200</v>
      </c>
      <c r="E1561">
        <v>3</v>
      </c>
      <c r="F1561"/>
      <c r="G1561"/>
      <c r="H1561"/>
      <c r="I1561"/>
      <c r="J1561"/>
      <c r="K1561"/>
      <c r="L1561"/>
      <c r="M1561"/>
      <c r="N1561"/>
      <c r="O1561"/>
    </row>
    <row r="1562" spans="1:15" hidden="1" x14ac:dyDescent="0.25">
      <c r="A1562" t="s">
        <v>106</v>
      </c>
      <c r="B1562" t="s">
        <v>115</v>
      </c>
      <c r="C1562" t="b">
        <v>0</v>
      </c>
      <c r="D1562" s="1">
        <v>38200</v>
      </c>
      <c r="E1562">
        <v>3</v>
      </c>
      <c r="F1562"/>
      <c r="G1562"/>
      <c r="H1562"/>
      <c r="I1562"/>
      <c r="J1562"/>
      <c r="K1562"/>
      <c r="L1562"/>
      <c r="M1562"/>
      <c r="N1562"/>
      <c r="O1562"/>
    </row>
    <row r="1563" spans="1:15" hidden="1" x14ac:dyDescent="0.25">
      <c r="A1563" t="s">
        <v>106</v>
      </c>
      <c r="B1563" t="s">
        <v>115</v>
      </c>
      <c r="C1563" t="b">
        <v>0</v>
      </c>
      <c r="D1563" s="1">
        <v>38200</v>
      </c>
      <c r="E1563">
        <v>3</v>
      </c>
      <c r="F1563"/>
      <c r="G1563"/>
      <c r="H1563"/>
      <c r="I1563"/>
      <c r="J1563"/>
      <c r="K1563"/>
      <c r="L1563"/>
      <c r="M1563"/>
      <c r="N1563"/>
      <c r="O1563"/>
    </row>
    <row r="1564" spans="1:15" hidden="1" x14ac:dyDescent="0.25">
      <c r="A1564" t="s">
        <v>106</v>
      </c>
      <c r="B1564" t="s">
        <v>115</v>
      </c>
      <c r="C1564" t="b">
        <v>0</v>
      </c>
      <c r="D1564" s="1">
        <v>38200</v>
      </c>
      <c r="E1564">
        <v>3</v>
      </c>
      <c r="F1564"/>
      <c r="G1564"/>
      <c r="H1564"/>
      <c r="I1564"/>
      <c r="J1564"/>
      <c r="K1564"/>
      <c r="L1564"/>
      <c r="M1564"/>
      <c r="N1564"/>
      <c r="O1564"/>
    </row>
    <row r="1565" spans="1:15" hidden="1" x14ac:dyDescent="0.25">
      <c r="A1565" t="s">
        <v>106</v>
      </c>
      <c r="B1565" t="s">
        <v>115</v>
      </c>
      <c r="C1565" t="b">
        <v>0</v>
      </c>
      <c r="D1565" s="1">
        <v>38200</v>
      </c>
      <c r="E1565">
        <v>3</v>
      </c>
      <c r="F1565"/>
      <c r="G1565"/>
      <c r="H1565"/>
      <c r="I1565"/>
      <c r="J1565"/>
      <c r="K1565"/>
      <c r="L1565"/>
      <c r="M1565"/>
      <c r="N1565"/>
      <c r="O1565"/>
    </row>
    <row r="1566" spans="1:15" hidden="1" x14ac:dyDescent="0.25">
      <c r="A1566" t="s">
        <v>106</v>
      </c>
      <c r="B1566" t="s">
        <v>115</v>
      </c>
      <c r="C1566" t="b">
        <v>0</v>
      </c>
      <c r="D1566" s="1">
        <v>38200</v>
      </c>
      <c r="E1566">
        <v>3</v>
      </c>
      <c r="F1566"/>
      <c r="G1566"/>
      <c r="H1566"/>
      <c r="I1566"/>
      <c r="J1566"/>
      <c r="K1566"/>
      <c r="L1566"/>
      <c r="M1566"/>
      <c r="N1566"/>
      <c r="O1566"/>
    </row>
    <row r="1567" spans="1:15" hidden="1" x14ac:dyDescent="0.25">
      <c r="A1567" t="s">
        <v>106</v>
      </c>
      <c r="B1567" t="s">
        <v>115</v>
      </c>
      <c r="C1567" t="b">
        <v>0</v>
      </c>
      <c r="D1567" s="1">
        <v>38200</v>
      </c>
      <c r="E1567">
        <v>3</v>
      </c>
      <c r="F1567"/>
      <c r="G1567"/>
      <c r="H1567"/>
      <c r="I1567"/>
      <c r="J1567"/>
      <c r="K1567"/>
      <c r="L1567"/>
      <c r="M1567"/>
      <c r="N1567"/>
      <c r="O1567"/>
    </row>
    <row r="1568" spans="1:15" hidden="1" x14ac:dyDescent="0.25">
      <c r="A1568" t="s">
        <v>106</v>
      </c>
      <c r="B1568" t="s">
        <v>115</v>
      </c>
      <c r="C1568" t="b">
        <v>0</v>
      </c>
      <c r="D1568" s="1">
        <v>38200</v>
      </c>
      <c r="E1568">
        <v>3</v>
      </c>
      <c r="F1568"/>
      <c r="G1568"/>
      <c r="H1568"/>
      <c r="I1568"/>
      <c r="J1568"/>
      <c r="K1568"/>
      <c r="L1568"/>
      <c r="M1568"/>
      <c r="N1568"/>
      <c r="O1568"/>
    </row>
    <row r="1569" spans="1:15" hidden="1" x14ac:dyDescent="0.25">
      <c r="A1569" t="s">
        <v>106</v>
      </c>
      <c r="B1569" t="s">
        <v>115</v>
      </c>
      <c r="C1569" t="b">
        <v>0</v>
      </c>
      <c r="D1569" s="1">
        <v>38200</v>
      </c>
      <c r="E1569">
        <v>3</v>
      </c>
      <c r="F1569"/>
      <c r="G1569"/>
      <c r="H1569"/>
      <c r="I1569"/>
      <c r="J1569"/>
      <c r="K1569"/>
      <c r="L1569"/>
      <c r="M1569"/>
      <c r="N1569"/>
      <c r="O1569"/>
    </row>
    <row r="1570" spans="1:15" hidden="1" x14ac:dyDescent="0.25">
      <c r="A1570" t="s">
        <v>106</v>
      </c>
      <c r="B1570" t="s">
        <v>115</v>
      </c>
      <c r="C1570" t="b">
        <v>0</v>
      </c>
      <c r="D1570" s="1">
        <v>38200</v>
      </c>
      <c r="E1570">
        <v>3</v>
      </c>
      <c r="F1570"/>
      <c r="G1570"/>
      <c r="H1570"/>
      <c r="I1570"/>
      <c r="J1570"/>
      <c r="K1570"/>
      <c r="L1570"/>
      <c r="M1570"/>
      <c r="N1570"/>
      <c r="O1570"/>
    </row>
    <row r="1571" spans="1:15" hidden="1" x14ac:dyDescent="0.25">
      <c r="A1571" t="s">
        <v>106</v>
      </c>
      <c r="B1571" t="s">
        <v>115</v>
      </c>
      <c r="C1571" t="b">
        <v>0</v>
      </c>
      <c r="D1571" s="1">
        <v>38200</v>
      </c>
      <c r="E1571">
        <v>3</v>
      </c>
      <c r="F1571"/>
      <c r="G1571"/>
      <c r="H1571"/>
      <c r="I1571"/>
      <c r="J1571"/>
      <c r="K1571"/>
      <c r="L1571"/>
      <c r="M1571"/>
      <c r="N1571"/>
      <c r="O1571"/>
    </row>
    <row r="1572" spans="1:15" hidden="1" x14ac:dyDescent="0.25">
      <c r="A1572" t="s">
        <v>106</v>
      </c>
      <c r="B1572" t="s">
        <v>115</v>
      </c>
      <c r="C1572" t="b">
        <v>0</v>
      </c>
      <c r="D1572" s="1">
        <v>38200</v>
      </c>
      <c r="E1572">
        <v>3</v>
      </c>
      <c r="F1572"/>
      <c r="G1572"/>
      <c r="H1572"/>
      <c r="I1572"/>
      <c r="J1572"/>
      <c r="K1572"/>
      <c r="L1572"/>
      <c r="M1572"/>
      <c r="N1572"/>
      <c r="O1572"/>
    </row>
    <row r="1573" spans="1:15" hidden="1" x14ac:dyDescent="0.25">
      <c r="A1573" t="s">
        <v>106</v>
      </c>
      <c r="B1573" t="s">
        <v>115</v>
      </c>
      <c r="C1573" t="b">
        <v>0</v>
      </c>
      <c r="D1573" s="1">
        <v>38200</v>
      </c>
      <c r="E1573">
        <v>3</v>
      </c>
      <c r="F1573"/>
      <c r="G1573"/>
      <c r="H1573"/>
      <c r="I1573"/>
      <c r="J1573"/>
      <c r="K1573"/>
      <c r="L1573"/>
      <c r="M1573"/>
      <c r="N1573"/>
      <c r="O1573"/>
    </row>
    <row r="1574" spans="1:15" hidden="1" x14ac:dyDescent="0.25">
      <c r="A1574" t="s">
        <v>106</v>
      </c>
      <c r="B1574" t="s">
        <v>115</v>
      </c>
      <c r="C1574" t="b">
        <v>0</v>
      </c>
      <c r="D1574" s="1">
        <v>38200</v>
      </c>
      <c r="E1574">
        <v>3</v>
      </c>
      <c r="F1574"/>
      <c r="G1574"/>
      <c r="H1574"/>
      <c r="I1574"/>
      <c r="J1574"/>
      <c r="K1574"/>
      <c r="L1574"/>
      <c r="M1574"/>
      <c r="N1574"/>
      <c r="O1574"/>
    </row>
    <row r="1575" spans="1:15" hidden="1" x14ac:dyDescent="0.25">
      <c r="A1575" t="s">
        <v>106</v>
      </c>
      <c r="B1575" t="s">
        <v>115</v>
      </c>
      <c r="C1575" t="b">
        <v>0</v>
      </c>
      <c r="D1575" s="1">
        <v>38200</v>
      </c>
      <c r="E1575">
        <v>3</v>
      </c>
      <c r="F1575"/>
      <c r="G1575"/>
      <c r="H1575"/>
      <c r="I1575"/>
      <c r="J1575"/>
      <c r="K1575"/>
      <c r="L1575"/>
      <c r="M1575"/>
      <c r="N1575"/>
      <c r="O1575"/>
    </row>
    <row r="1576" spans="1:15" hidden="1" x14ac:dyDescent="0.25">
      <c r="A1576" t="s">
        <v>106</v>
      </c>
      <c r="B1576" t="s">
        <v>115</v>
      </c>
      <c r="C1576" t="b">
        <v>0</v>
      </c>
      <c r="D1576" s="1">
        <v>38200</v>
      </c>
      <c r="E1576">
        <v>3</v>
      </c>
      <c r="F1576"/>
      <c r="G1576"/>
      <c r="H1576"/>
      <c r="I1576"/>
      <c r="J1576"/>
      <c r="K1576"/>
      <c r="L1576"/>
      <c r="M1576"/>
      <c r="N1576"/>
      <c r="O1576"/>
    </row>
    <row r="1577" spans="1:15" hidden="1" x14ac:dyDescent="0.25">
      <c r="A1577" t="s">
        <v>106</v>
      </c>
      <c r="B1577" t="s">
        <v>115</v>
      </c>
      <c r="C1577" t="b">
        <v>0</v>
      </c>
      <c r="D1577" s="1">
        <v>38200</v>
      </c>
      <c r="E1577">
        <v>3</v>
      </c>
      <c r="F1577"/>
      <c r="G1577"/>
      <c r="H1577"/>
      <c r="I1577"/>
      <c r="J1577"/>
      <c r="K1577"/>
      <c r="L1577"/>
      <c r="M1577"/>
      <c r="N1577"/>
      <c r="O1577"/>
    </row>
    <row r="1578" spans="1:15" hidden="1" x14ac:dyDescent="0.25">
      <c r="A1578" t="s">
        <v>30</v>
      </c>
      <c r="B1578" t="s">
        <v>115</v>
      </c>
      <c r="C1578" t="b">
        <v>0</v>
      </c>
      <c r="D1578" s="1">
        <v>38200</v>
      </c>
      <c r="E1578">
        <v>3</v>
      </c>
      <c r="F1578"/>
      <c r="G1578"/>
      <c r="H1578"/>
      <c r="I1578"/>
      <c r="J1578"/>
      <c r="K1578"/>
      <c r="L1578"/>
      <c r="M1578"/>
      <c r="N1578"/>
      <c r="O1578"/>
    </row>
    <row r="1579" spans="1:15" hidden="1" x14ac:dyDescent="0.25">
      <c r="A1579" t="s">
        <v>39</v>
      </c>
      <c r="B1579" t="s">
        <v>115</v>
      </c>
      <c r="C1579" t="b">
        <v>0</v>
      </c>
      <c r="D1579" s="1">
        <v>38200</v>
      </c>
      <c r="E1579">
        <v>3</v>
      </c>
      <c r="F1579"/>
      <c r="G1579"/>
      <c r="H1579"/>
      <c r="I1579"/>
      <c r="J1579"/>
      <c r="K1579"/>
      <c r="L1579"/>
      <c r="M1579"/>
      <c r="N1579"/>
      <c r="O1579"/>
    </row>
    <row r="1580" spans="1:15" hidden="1" x14ac:dyDescent="0.25">
      <c r="A1580" t="s">
        <v>57</v>
      </c>
      <c r="B1580" t="s">
        <v>115</v>
      </c>
      <c r="C1580" t="b">
        <v>0</v>
      </c>
      <c r="D1580" s="1">
        <v>38200</v>
      </c>
      <c r="E1580">
        <v>3</v>
      </c>
      <c r="F1580"/>
      <c r="G1580"/>
      <c r="H1580"/>
      <c r="I1580"/>
      <c r="J1580"/>
      <c r="K1580"/>
      <c r="L1580"/>
      <c r="M1580"/>
      <c r="N1580"/>
      <c r="O1580"/>
    </row>
    <row r="1581" spans="1:15" hidden="1" x14ac:dyDescent="0.25">
      <c r="A1581" t="s">
        <v>69</v>
      </c>
      <c r="B1581" t="s">
        <v>115</v>
      </c>
      <c r="C1581" t="b">
        <v>0</v>
      </c>
      <c r="D1581" s="1">
        <v>38200</v>
      </c>
      <c r="E1581">
        <v>3</v>
      </c>
      <c r="F1581"/>
      <c r="G1581"/>
      <c r="H1581"/>
      <c r="I1581"/>
      <c r="J1581"/>
      <c r="K1581"/>
      <c r="L1581"/>
      <c r="M1581"/>
      <c r="N1581"/>
      <c r="O1581"/>
    </row>
    <row r="1582" spans="1:15" hidden="1" x14ac:dyDescent="0.25">
      <c r="A1582" t="s">
        <v>86</v>
      </c>
      <c r="B1582" t="s">
        <v>115</v>
      </c>
      <c r="C1582" t="b">
        <v>0</v>
      </c>
      <c r="D1582" s="1">
        <v>38200</v>
      </c>
      <c r="E1582">
        <v>3</v>
      </c>
      <c r="F1582"/>
      <c r="G1582"/>
      <c r="H1582"/>
      <c r="I1582"/>
      <c r="J1582"/>
      <c r="K1582"/>
      <c r="L1582"/>
      <c r="M1582"/>
      <c r="N1582"/>
      <c r="O1582"/>
    </row>
    <row r="1583" spans="1:15" hidden="1" x14ac:dyDescent="0.25">
      <c r="A1583" t="s">
        <v>99</v>
      </c>
      <c r="B1583" t="s">
        <v>114</v>
      </c>
      <c r="C1583" t="b">
        <v>0</v>
      </c>
      <c r="D1583" s="1">
        <v>38200</v>
      </c>
      <c r="E1583">
        <v>17.439999999999998</v>
      </c>
      <c r="F1583"/>
      <c r="G1583"/>
      <c r="H1583"/>
      <c r="I1583"/>
      <c r="J1583"/>
      <c r="K1583"/>
      <c r="L1583"/>
      <c r="M1583"/>
      <c r="N1583"/>
      <c r="O1583"/>
    </row>
    <row r="1584" spans="1:15" hidden="1" x14ac:dyDescent="0.25">
      <c r="A1584" t="s">
        <v>100</v>
      </c>
      <c r="B1584" t="s">
        <v>117</v>
      </c>
      <c r="C1584" t="b">
        <v>0</v>
      </c>
      <c r="D1584" s="1">
        <v>38231</v>
      </c>
      <c r="E1584" s="2">
        <v>-10</v>
      </c>
      <c r="F1584"/>
      <c r="G1584"/>
      <c r="H1584"/>
      <c r="I1584"/>
      <c r="J1584"/>
      <c r="K1584"/>
      <c r="L1584"/>
      <c r="M1584"/>
      <c r="N1584"/>
      <c r="O1584"/>
    </row>
    <row r="1585" spans="1:15" hidden="1" x14ac:dyDescent="0.25">
      <c r="A1585" t="s">
        <v>104</v>
      </c>
      <c r="B1585" t="s">
        <v>117</v>
      </c>
      <c r="C1585" t="b">
        <v>0</v>
      </c>
      <c r="D1585" s="1">
        <v>38231</v>
      </c>
      <c r="E1585" s="2">
        <v>-4</v>
      </c>
      <c r="F1585"/>
      <c r="G1585"/>
      <c r="H1585"/>
      <c r="I1585"/>
      <c r="J1585"/>
      <c r="K1585"/>
      <c r="L1585"/>
      <c r="M1585"/>
      <c r="N1585"/>
      <c r="O1585"/>
    </row>
    <row r="1586" spans="1:15" hidden="1" x14ac:dyDescent="0.25">
      <c r="A1586" t="s">
        <v>102</v>
      </c>
      <c r="B1586" t="s">
        <v>117</v>
      </c>
      <c r="C1586" t="b">
        <v>0</v>
      </c>
      <c r="D1586" s="1">
        <v>38231</v>
      </c>
      <c r="E1586" s="2">
        <v>-4</v>
      </c>
      <c r="F1586"/>
      <c r="G1586"/>
      <c r="H1586"/>
      <c r="I1586"/>
      <c r="J1586"/>
      <c r="K1586"/>
      <c r="L1586"/>
      <c r="M1586"/>
      <c r="N1586"/>
      <c r="O1586"/>
    </row>
    <row r="1587" spans="1:15" hidden="1" x14ac:dyDescent="0.25">
      <c r="A1587" t="s">
        <v>101</v>
      </c>
      <c r="B1587" t="s">
        <v>117</v>
      </c>
      <c r="C1587" t="b">
        <v>0</v>
      </c>
      <c r="D1587" s="1">
        <v>38231</v>
      </c>
      <c r="E1587" s="2">
        <v>-18</v>
      </c>
      <c r="F1587"/>
      <c r="G1587"/>
      <c r="H1587"/>
      <c r="I1587"/>
      <c r="J1587"/>
      <c r="K1587"/>
      <c r="L1587"/>
      <c r="M1587"/>
      <c r="N1587"/>
      <c r="O1587"/>
    </row>
    <row r="1588" spans="1:15" hidden="1" x14ac:dyDescent="0.25">
      <c r="A1588" t="s">
        <v>11</v>
      </c>
      <c r="B1588" t="s">
        <v>115</v>
      </c>
      <c r="C1588" t="b">
        <v>0</v>
      </c>
      <c r="D1588" s="1">
        <v>38231</v>
      </c>
      <c r="E1588">
        <v>3</v>
      </c>
      <c r="F1588"/>
      <c r="G1588"/>
      <c r="H1588"/>
      <c r="I1588"/>
      <c r="J1588"/>
      <c r="K1588"/>
      <c r="L1588"/>
      <c r="M1588"/>
      <c r="N1588"/>
      <c r="O1588"/>
    </row>
    <row r="1589" spans="1:15" hidden="1" x14ac:dyDescent="0.25">
      <c r="A1589" t="s">
        <v>18</v>
      </c>
      <c r="B1589" t="s">
        <v>115</v>
      </c>
      <c r="C1589" t="b">
        <v>0</v>
      </c>
      <c r="D1589" s="1">
        <v>38231</v>
      </c>
      <c r="E1589">
        <v>3</v>
      </c>
      <c r="F1589"/>
      <c r="G1589"/>
      <c r="H1589"/>
      <c r="I1589"/>
      <c r="J1589"/>
      <c r="K1589"/>
      <c r="L1589"/>
      <c r="M1589"/>
      <c r="N1589"/>
      <c r="O1589"/>
    </row>
    <row r="1590" spans="1:15" hidden="1" x14ac:dyDescent="0.25">
      <c r="A1590" t="s">
        <v>106</v>
      </c>
      <c r="B1590" t="s">
        <v>115</v>
      </c>
      <c r="C1590" t="b">
        <v>0</v>
      </c>
      <c r="D1590" s="1">
        <v>38231</v>
      </c>
      <c r="E1590">
        <v>3</v>
      </c>
      <c r="F1590"/>
      <c r="G1590"/>
      <c r="H1590"/>
      <c r="I1590"/>
      <c r="J1590"/>
      <c r="K1590"/>
      <c r="L1590"/>
      <c r="M1590"/>
      <c r="N1590"/>
      <c r="O1590"/>
    </row>
    <row r="1591" spans="1:15" hidden="1" x14ac:dyDescent="0.25">
      <c r="A1591" t="s">
        <v>106</v>
      </c>
      <c r="B1591" t="s">
        <v>115</v>
      </c>
      <c r="C1591" t="b">
        <v>0</v>
      </c>
      <c r="D1591" s="1">
        <v>38231</v>
      </c>
      <c r="E1591">
        <v>3</v>
      </c>
      <c r="F1591"/>
      <c r="G1591"/>
      <c r="H1591"/>
      <c r="I1591"/>
      <c r="J1591"/>
      <c r="K1591"/>
      <c r="L1591"/>
      <c r="M1591"/>
      <c r="N1591"/>
      <c r="O1591"/>
    </row>
    <row r="1592" spans="1:15" hidden="1" x14ac:dyDescent="0.25">
      <c r="A1592" t="s">
        <v>106</v>
      </c>
      <c r="B1592" t="s">
        <v>115</v>
      </c>
      <c r="C1592" t="b">
        <v>0</v>
      </c>
      <c r="D1592" s="1">
        <v>38231</v>
      </c>
      <c r="E1592">
        <v>3</v>
      </c>
      <c r="F1592"/>
      <c r="G1592"/>
      <c r="H1592"/>
      <c r="I1592"/>
      <c r="J1592"/>
      <c r="K1592"/>
      <c r="L1592"/>
      <c r="M1592"/>
      <c r="N1592"/>
      <c r="O1592"/>
    </row>
    <row r="1593" spans="1:15" hidden="1" x14ac:dyDescent="0.25">
      <c r="A1593" t="s">
        <v>106</v>
      </c>
      <c r="B1593" t="s">
        <v>115</v>
      </c>
      <c r="C1593" t="b">
        <v>0</v>
      </c>
      <c r="D1593" s="1">
        <v>38231</v>
      </c>
      <c r="E1593">
        <v>3</v>
      </c>
      <c r="F1593"/>
      <c r="G1593"/>
      <c r="H1593"/>
      <c r="I1593"/>
      <c r="J1593"/>
      <c r="K1593"/>
      <c r="L1593"/>
      <c r="M1593"/>
      <c r="N1593"/>
      <c r="O1593"/>
    </row>
    <row r="1594" spans="1:15" hidden="1" x14ac:dyDescent="0.25">
      <c r="A1594" t="s">
        <v>106</v>
      </c>
      <c r="B1594" t="s">
        <v>115</v>
      </c>
      <c r="C1594" t="b">
        <v>0</v>
      </c>
      <c r="D1594" s="1">
        <v>38231</v>
      </c>
      <c r="E1594">
        <v>3</v>
      </c>
      <c r="F1594"/>
      <c r="G1594"/>
      <c r="H1594"/>
      <c r="I1594"/>
      <c r="J1594"/>
      <c r="K1594"/>
      <c r="L1594"/>
      <c r="M1594"/>
      <c r="N1594"/>
      <c r="O1594"/>
    </row>
    <row r="1595" spans="1:15" hidden="1" x14ac:dyDescent="0.25">
      <c r="A1595" t="s">
        <v>106</v>
      </c>
      <c r="B1595" t="s">
        <v>115</v>
      </c>
      <c r="C1595" t="b">
        <v>0</v>
      </c>
      <c r="D1595" s="1">
        <v>38231</v>
      </c>
      <c r="E1595">
        <v>3</v>
      </c>
      <c r="F1595"/>
      <c r="G1595"/>
      <c r="H1595"/>
      <c r="I1595"/>
      <c r="J1595"/>
      <c r="K1595"/>
      <c r="L1595"/>
      <c r="M1595"/>
      <c r="N1595"/>
      <c r="O1595"/>
    </row>
    <row r="1596" spans="1:15" hidden="1" x14ac:dyDescent="0.25">
      <c r="A1596" t="s">
        <v>106</v>
      </c>
      <c r="B1596" t="s">
        <v>115</v>
      </c>
      <c r="C1596" t="b">
        <v>0</v>
      </c>
      <c r="D1596" s="1">
        <v>38231</v>
      </c>
      <c r="E1596">
        <v>3</v>
      </c>
      <c r="F1596"/>
      <c r="G1596"/>
      <c r="H1596"/>
      <c r="I1596"/>
      <c r="J1596"/>
      <c r="K1596"/>
      <c r="L1596"/>
      <c r="M1596"/>
      <c r="N1596"/>
      <c r="O1596"/>
    </row>
    <row r="1597" spans="1:15" hidden="1" x14ac:dyDescent="0.25">
      <c r="A1597" t="s">
        <v>106</v>
      </c>
      <c r="B1597" t="s">
        <v>115</v>
      </c>
      <c r="C1597" t="b">
        <v>0</v>
      </c>
      <c r="D1597" s="1">
        <v>38231</v>
      </c>
      <c r="E1597">
        <v>3</v>
      </c>
      <c r="F1597"/>
      <c r="G1597"/>
      <c r="H1597"/>
      <c r="I1597"/>
      <c r="J1597"/>
      <c r="K1597"/>
      <c r="L1597"/>
      <c r="M1597"/>
      <c r="N1597"/>
      <c r="O1597"/>
    </row>
    <row r="1598" spans="1:15" hidden="1" x14ac:dyDescent="0.25">
      <c r="A1598" t="s">
        <v>106</v>
      </c>
      <c r="B1598" t="s">
        <v>115</v>
      </c>
      <c r="C1598" t="b">
        <v>0</v>
      </c>
      <c r="D1598" s="1">
        <v>38231</v>
      </c>
      <c r="E1598">
        <v>3</v>
      </c>
      <c r="F1598"/>
      <c r="G1598"/>
      <c r="H1598"/>
      <c r="I1598"/>
      <c r="J1598"/>
      <c r="K1598"/>
      <c r="L1598"/>
      <c r="M1598"/>
      <c r="N1598"/>
      <c r="O1598"/>
    </row>
    <row r="1599" spans="1:15" hidden="1" x14ac:dyDescent="0.25">
      <c r="A1599" t="s">
        <v>106</v>
      </c>
      <c r="B1599" t="s">
        <v>115</v>
      </c>
      <c r="C1599" t="b">
        <v>0</v>
      </c>
      <c r="D1599" s="1">
        <v>38231</v>
      </c>
      <c r="E1599">
        <v>3</v>
      </c>
      <c r="F1599"/>
      <c r="G1599"/>
      <c r="H1599"/>
      <c r="I1599"/>
      <c r="J1599"/>
      <c r="K1599"/>
      <c r="L1599"/>
      <c r="M1599"/>
      <c r="N1599"/>
      <c r="O1599"/>
    </row>
    <row r="1600" spans="1:15" hidden="1" x14ac:dyDescent="0.25">
      <c r="A1600" t="s">
        <v>106</v>
      </c>
      <c r="B1600" t="s">
        <v>115</v>
      </c>
      <c r="C1600" t="b">
        <v>0</v>
      </c>
      <c r="D1600" s="1">
        <v>38231</v>
      </c>
      <c r="E1600">
        <v>3</v>
      </c>
      <c r="F1600"/>
      <c r="G1600"/>
      <c r="H1600"/>
      <c r="I1600"/>
      <c r="J1600"/>
      <c r="K1600"/>
      <c r="L1600"/>
      <c r="M1600"/>
      <c r="N1600"/>
      <c r="O1600"/>
    </row>
    <row r="1601" spans="1:15" hidden="1" x14ac:dyDescent="0.25">
      <c r="A1601" t="s">
        <v>106</v>
      </c>
      <c r="B1601" t="s">
        <v>115</v>
      </c>
      <c r="C1601" t="b">
        <v>0</v>
      </c>
      <c r="D1601" s="1">
        <v>38231</v>
      </c>
      <c r="E1601">
        <v>3</v>
      </c>
      <c r="F1601"/>
      <c r="G1601"/>
      <c r="H1601"/>
      <c r="I1601"/>
      <c r="J1601"/>
      <c r="K1601"/>
      <c r="L1601"/>
      <c r="M1601"/>
      <c r="N1601"/>
      <c r="O1601"/>
    </row>
    <row r="1602" spans="1:15" hidden="1" x14ac:dyDescent="0.25">
      <c r="A1602" t="s">
        <v>106</v>
      </c>
      <c r="B1602" t="s">
        <v>115</v>
      </c>
      <c r="C1602" t="b">
        <v>0</v>
      </c>
      <c r="D1602" s="1">
        <v>38231</v>
      </c>
      <c r="E1602">
        <v>3</v>
      </c>
      <c r="F1602"/>
      <c r="G1602"/>
      <c r="H1602"/>
      <c r="I1602"/>
      <c r="J1602"/>
      <c r="K1602"/>
      <c r="L1602"/>
      <c r="M1602"/>
      <c r="N1602"/>
      <c r="O1602"/>
    </row>
    <row r="1603" spans="1:15" hidden="1" x14ac:dyDescent="0.25">
      <c r="A1603" t="s">
        <v>106</v>
      </c>
      <c r="B1603" t="s">
        <v>115</v>
      </c>
      <c r="C1603" t="b">
        <v>0</v>
      </c>
      <c r="D1603" s="1">
        <v>38231</v>
      </c>
      <c r="E1603">
        <v>3</v>
      </c>
      <c r="F1603"/>
      <c r="G1603"/>
      <c r="H1603"/>
      <c r="I1603"/>
      <c r="J1603"/>
      <c r="K1603"/>
      <c r="L1603"/>
      <c r="M1603"/>
      <c r="N1603"/>
      <c r="O1603"/>
    </row>
    <row r="1604" spans="1:15" hidden="1" x14ac:dyDescent="0.25">
      <c r="A1604" t="s">
        <v>106</v>
      </c>
      <c r="B1604" t="s">
        <v>115</v>
      </c>
      <c r="C1604" t="b">
        <v>0</v>
      </c>
      <c r="D1604" s="1">
        <v>38231</v>
      </c>
      <c r="E1604">
        <v>3</v>
      </c>
      <c r="F1604"/>
      <c r="G1604"/>
      <c r="H1604"/>
      <c r="I1604"/>
      <c r="J1604"/>
      <c r="K1604"/>
      <c r="L1604"/>
      <c r="M1604"/>
      <c r="N1604"/>
      <c r="O1604"/>
    </row>
    <row r="1605" spans="1:15" hidden="1" x14ac:dyDescent="0.25">
      <c r="A1605" t="s">
        <v>106</v>
      </c>
      <c r="B1605" t="s">
        <v>115</v>
      </c>
      <c r="C1605" t="b">
        <v>0</v>
      </c>
      <c r="D1605" s="1">
        <v>38231</v>
      </c>
      <c r="E1605">
        <v>3</v>
      </c>
      <c r="F1605"/>
      <c r="G1605"/>
      <c r="H1605"/>
      <c r="I1605"/>
      <c r="J1605"/>
      <c r="K1605"/>
      <c r="L1605"/>
      <c r="M1605"/>
      <c r="N1605"/>
      <c r="O1605"/>
    </row>
    <row r="1606" spans="1:15" hidden="1" x14ac:dyDescent="0.25">
      <c r="A1606" t="s">
        <v>106</v>
      </c>
      <c r="B1606" t="s">
        <v>115</v>
      </c>
      <c r="C1606" t="b">
        <v>0</v>
      </c>
      <c r="D1606" s="1">
        <v>38231</v>
      </c>
      <c r="E1606">
        <v>3</v>
      </c>
      <c r="F1606"/>
      <c r="G1606"/>
      <c r="H1606"/>
      <c r="I1606"/>
      <c r="J1606"/>
      <c r="K1606"/>
      <c r="L1606"/>
      <c r="M1606"/>
      <c r="N1606"/>
      <c r="O1606"/>
    </row>
    <row r="1607" spans="1:15" hidden="1" x14ac:dyDescent="0.25">
      <c r="A1607" t="s">
        <v>106</v>
      </c>
      <c r="B1607" t="s">
        <v>115</v>
      </c>
      <c r="C1607" t="b">
        <v>0</v>
      </c>
      <c r="D1607" s="1">
        <v>38231</v>
      </c>
      <c r="E1607">
        <v>3</v>
      </c>
      <c r="F1607"/>
      <c r="G1607"/>
      <c r="H1607"/>
      <c r="I1607"/>
      <c r="J1607"/>
      <c r="K1607"/>
      <c r="L1607"/>
      <c r="M1607"/>
      <c r="N1607"/>
      <c r="O1607"/>
    </row>
    <row r="1608" spans="1:15" hidden="1" x14ac:dyDescent="0.25">
      <c r="A1608" t="s">
        <v>106</v>
      </c>
      <c r="B1608" t="s">
        <v>115</v>
      </c>
      <c r="C1608" t="b">
        <v>0</v>
      </c>
      <c r="D1608" s="1">
        <v>38231</v>
      </c>
      <c r="E1608">
        <v>3</v>
      </c>
      <c r="F1608"/>
      <c r="G1608"/>
      <c r="H1608"/>
      <c r="I1608"/>
      <c r="J1608"/>
      <c r="K1608"/>
      <c r="L1608"/>
      <c r="M1608"/>
      <c r="N1608"/>
      <c r="O1608"/>
    </row>
    <row r="1609" spans="1:15" hidden="1" x14ac:dyDescent="0.25">
      <c r="A1609" t="s">
        <v>106</v>
      </c>
      <c r="B1609" t="s">
        <v>115</v>
      </c>
      <c r="C1609" t="b">
        <v>0</v>
      </c>
      <c r="D1609" s="1">
        <v>38231</v>
      </c>
      <c r="E1609">
        <v>3</v>
      </c>
      <c r="F1609"/>
      <c r="G1609"/>
      <c r="H1609"/>
      <c r="I1609"/>
      <c r="J1609"/>
      <c r="K1609"/>
      <c r="L1609"/>
      <c r="M1609"/>
      <c r="N1609"/>
      <c r="O1609"/>
    </row>
    <row r="1610" spans="1:15" hidden="1" x14ac:dyDescent="0.25">
      <c r="A1610" t="s">
        <v>106</v>
      </c>
      <c r="B1610" t="s">
        <v>115</v>
      </c>
      <c r="C1610" t="b">
        <v>0</v>
      </c>
      <c r="D1610" s="1">
        <v>38231</v>
      </c>
      <c r="E1610">
        <v>3</v>
      </c>
      <c r="F1610"/>
      <c r="G1610"/>
      <c r="H1610"/>
      <c r="I1610"/>
      <c r="J1610"/>
      <c r="K1610"/>
      <c r="L1610"/>
      <c r="M1610"/>
      <c r="N1610"/>
      <c r="O1610"/>
    </row>
    <row r="1611" spans="1:15" hidden="1" x14ac:dyDescent="0.25">
      <c r="A1611" t="s">
        <v>30</v>
      </c>
      <c r="B1611" t="s">
        <v>115</v>
      </c>
      <c r="C1611" t="b">
        <v>0</v>
      </c>
      <c r="D1611" s="1">
        <v>38231</v>
      </c>
      <c r="E1611">
        <v>3</v>
      </c>
      <c r="F1611"/>
      <c r="G1611"/>
      <c r="H1611"/>
      <c r="I1611"/>
      <c r="J1611"/>
      <c r="K1611"/>
      <c r="L1611"/>
      <c r="M1611"/>
      <c r="N1611"/>
      <c r="O1611"/>
    </row>
    <row r="1612" spans="1:15" hidden="1" x14ac:dyDescent="0.25">
      <c r="A1612" t="s">
        <v>39</v>
      </c>
      <c r="B1612" t="s">
        <v>115</v>
      </c>
      <c r="C1612" t="b">
        <v>0</v>
      </c>
      <c r="D1612" s="1">
        <v>38231</v>
      </c>
      <c r="E1612">
        <v>3</v>
      </c>
      <c r="F1612"/>
      <c r="G1612"/>
      <c r="H1612"/>
      <c r="I1612"/>
      <c r="J1612"/>
      <c r="K1612"/>
      <c r="L1612"/>
      <c r="M1612"/>
      <c r="N1612"/>
      <c r="O1612"/>
    </row>
    <row r="1613" spans="1:15" hidden="1" x14ac:dyDescent="0.25">
      <c r="A1613" t="s">
        <v>57</v>
      </c>
      <c r="B1613" t="s">
        <v>115</v>
      </c>
      <c r="C1613" t="b">
        <v>0</v>
      </c>
      <c r="D1613" s="1">
        <v>38231</v>
      </c>
      <c r="E1613">
        <v>3</v>
      </c>
      <c r="F1613"/>
      <c r="G1613"/>
      <c r="H1613"/>
      <c r="I1613"/>
      <c r="J1613"/>
      <c r="K1613"/>
      <c r="L1613"/>
      <c r="M1613"/>
      <c r="N1613"/>
      <c r="O1613"/>
    </row>
    <row r="1614" spans="1:15" hidden="1" x14ac:dyDescent="0.25">
      <c r="A1614" t="s">
        <v>69</v>
      </c>
      <c r="B1614" t="s">
        <v>115</v>
      </c>
      <c r="C1614" t="b">
        <v>0</v>
      </c>
      <c r="D1614" s="1">
        <v>38231</v>
      </c>
      <c r="E1614">
        <v>3</v>
      </c>
      <c r="F1614"/>
      <c r="G1614"/>
      <c r="H1614"/>
      <c r="I1614"/>
      <c r="J1614"/>
      <c r="K1614"/>
      <c r="L1614"/>
      <c r="M1614"/>
      <c r="N1614"/>
      <c r="O1614"/>
    </row>
    <row r="1615" spans="1:15" hidden="1" x14ac:dyDescent="0.25">
      <c r="A1615" t="s">
        <v>86</v>
      </c>
      <c r="B1615" t="s">
        <v>115</v>
      </c>
      <c r="C1615" t="b">
        <v>0</v>
      </c>
      <c r="D1615" s="1">
        <v>38231</v>
      </c>
      <c r="E1615">
        <v>3</v>
      </c>
      <c r="F1615"/>
      <c r="G1615"/>
      <c r="H1615"/>
      <c r="I1615"/>
      <c r="J1615"/>
      <c r="K1615"/>
      <c r="L1615"/>
      <c r="M1615"/>
      <c r="N1615"/>
      <c r="O1615"/>
    </row>
    <row r="1616" spans="1:15" hidden="1" x14ac:dyDescent="0.25">
      <c r="A1616" t="s">
        <v>99</v>
      </c>
      <c r="B1616" t="s">
        <v>114</v>
      </c>
      <c r="C1616" t="b">
        <v>0</v>
      </c>
      <c r="D1616" s="1">
        <v>38231</v>
      </c>
      <c r="E1616">
        <v>10.07</v>
      </c>
      <c r="F1616"/>
      <c r="G1616"/>
      <c r="H1616"/>
      <c r="I1616"/>
      <c r="J1616"/>
      <c r="K1616"/>
      <c r="L1616"/>
      <c r="M1616"/>
      <c r="N1616"/>
      <c r="O1616"/>
    </row>
    <row r="1617" spans="1:15" hidden="1" x14ac:dyDescent="0.25">
      <c r="A1617" t="s">
        <v>102</v>
      </c>
      <c r="B1617" t="s">
        <v>117</v>
      </c>
      <c r="C1617" t="b">
        <v>0</v>
      </c>
      <c r="D1617" s="1">
        <v>38261</v>
      </c>
      <c r="E1617" s="2">
        <v>-17.11</v>
      </c>
      <c r="F1617"/>
      <c r="G1617"/>
      <c r="H1617"/>
      <c r="I1617"/>
      <c r="J1617"/>
      <c r="K1617"/>
      <c r="L1617"/>
      <c r="M1617"/>
      <c r="N1617"/>
      <c r="O1617"/>
    </row>
    <row r="1618" spans="1:15" hidden="1" x14ac:dyDescent="0.25">
      <c r="A1618" t="s">
        <v>101</v>
      </c>
      <c r="B1618" t="s">
        <v>117</v>
      </c>
      <c r="C1618" t="b">
        <v>0</v>
      </c>
      <c r="D1618" s="1">
        <v>38261</v>
      </c>
      <c r="E1618" s="2">
        <v>-21</v>
      </c>
      <c r="F1618"/>
      <c r="G1618"/>
      <c r="H1618"/>
      <c r="I1618"/>
      <c r="J1618"/>
      <c r="K1618"/>
      <c r="L1618"/>
      <c r="M1618"/>
      <c r="N1618"/>
      <c r="O1618"/>
    </row>
    <row r="1619" spans="1:15" hidden="1" x14ac:dyDescent="0.25">
      <c r="A1619" t="s">
        <v>14</v>
      </c>
      <c r="B1619" t="s">
        <v>115</v>
      </c>
      <c r="C1619" t="b">
        <v>0</v>
      </c>
      <c r="D1619" s="1">
        <v>38261</v>
      </c>
      <c r="E1619">
        <v>3</v>
      </c>
      <c r="F1619"/>
      <c r="G1619"/>
      <c r="H1619"/>
      <c r="I1619"/>
      <c r="J1619"/>
      <c r="K1619"/>
      <c r="L1619"/>
      <c r="M1619"/>
      <c r="N1619"/>
      <c r="O1619"/>
    </row>
    <row r="1620" spans="1:15" hidden="1" x14ac:dyDescent="0.25">
      <c r="A1620" t="s">
        <v>18</v>
      </c>
      <c r="B1620" t="s">
        <v>115</v>
      </c>
      <c r="C1620" t="b">
        <v>0</v>
      </c>
      <c r="D1620" s="1">
        <v>38261</v>
      </c>
      <c r="E1620">
        <v>3</v>
      </c>
      <c r="F1620"/>
      <c r="G1620"/>
      <c r="H1620"/>
      <c r="I1620"/>
      <c r="J1620"/>
      <c r="K1620"/>
      <c r="L1620"/>
      <c r="M1620"/>
      <c r="N1620"/>
      <c r="O1620"/>
    </row>
    <row r="1621" spans="1:15" hidden="1" x14ac:dyDescent="0.25">
      <c r="A1621" t="s">
        <v>106</v>
      </c>
      <c r="B1621" t="s">
        <v>115</v>
      </c>
      <c r="C1621" t="b">
        <v>0</v>
      </c>
      <c r="D1621" s="1">
        <v>38261</v>
      </c>
      <c r="E1621">
        <v>3</v>
      </c>
      <c r="F1621"/>
      <c r="G1621"/>
      <c r="H1621"/>
      <c r="I1621"/>
      <c r="J1621"/>
      <c r="K1621"/>
      <c r="L1621"/>
      <c r="M1621"/>
      <c r="N1621"/>
      <c r="O1621"/>
    </row>
    <row r="1622" spans="1:15" hidden="1" x14ac:dyDescent="0.25">
      <c r="A1622" t="s">
        <v>106</v>
      </c>
      <c r="B1622" t="s">
        <v>115</v>
      </c>
      <c r="C1622" t="b">
        <v>0</v>
      </c>
      <c r="D1622" s="1">
        <v>38261</v>
      </c>
      <c r="E1622">
        <v>3</v>
      </c>
      <c r="F1622"/>
      <c r="G1622"/>
      <c r="H1622"/>
      <c r="I1622"/>
      <c r="J1622"/>
      <c r="K1622"/>
      <c r="L1622"/>
      <c r="M1622"/>
      <c r="N1622"/>
      <c r="O1622"/>
    </row>
    <row r="1623" spans="1:15" hidden="1" x14ac:dyDescent="0.25">
      <c r="A1623" t="s">
        <v>106</v>
      </c>
      <c r="B1623" t="s">
        <v>115</v>
      </c>
      <c r="C1623" t="b">
        <v>0</v>
      </c>
      <c r="D1623" s="1">
        <v>38261</v>
      </c>
      <c r="E1623">
        <v>3</v>
      </c>
      <c r="F1623"/>
      <c r="G1623"/>
      <c r="H1623"/>
      <c r="I1623"/>
      <c r="J1623"/>
      <c r="K1623"/>
      <c r="L1623"/>
      <c r="M1623"/>
      <c r="N1623"/>
      <c r="O1623"/>
    </row>
    <row r="1624" spans="1:15" hidden="1" x14ac:dyDescent="0.25">
      <c r="A1624" t="s">
        <v>106</v>
      </c>
      <c r="B1624" t="s">
        <v>115</v>
      </c>
      <c r="C1624" t="b">
        <v>0</v>
      </c>
      <c r="D1624" s="1">
        <v>38261</v>
      </c>
      <c r="E1624">
        <v>3</v>
      </c>
      <c r="F1624"/>
      <c r="G1624"/>
      <c r="H1624"/>
      <c r="I1624"/>
      <c r="J1624"/>
      <c r="K1624"/>
      <c r="L1624"/>
      <c r="M1624"/>
      <c r="N1624"/>
      <c r="O1624"/>
    </row>
    <row r="1625" spans="1:15" hidden="1" x14ac:dyDescent="0.25">
      <c r="A1625" t="s">
        <v>106</v>
      </c>
      <c r="B1625" t="s">
        <v>115</v>
      </c>
      <c r="C1625" t="b">
        <v>0</v>
      </c>
      <c r="D1625" s="1">
        <v>38261</v>
      </c>
      <c r="E1625">
        <v>3</v>
      </c>
      <c r="F1625"/>
      <c r="G1625"/>
      <c r="H1625"/>
      <c r="I1625"/>
      <c r="J1625"/>
      <c r="K1625"/>
      <c r="L1625"/>
      <c r="M1625"/>
      <c r="N1625"/>
      <c r="O1625"/>
    </row>
    <row r="1626" spans="1:15" hidden="1" x14ac:dyDescent="0.25">
      <c r="A1626" t="s">
        <v>106</v>
      </c>
      <c r="B1626" t="s">
        <v>115</v>
      </c>
      <c r="C1626" t="b">
        <v>0</v>
      </c>
      <c r="D1626" s="1">
        <v>38261</v>
      </c>
      <c r="E1626">
        <v>3</v>
      </c>
      <c r="F1626"/>
      <c r="G1626"/>
      <c r="H1626"/>
      <c r="I1626"/>
      <c r="J1626"/>
      <c r="K1626"/>
      <c r="L1626"/>
      <c r="M1626"/>
      <c r="N1626"/>
      <c r="O1626"/>
    </row>
    <row r="1627" spans="1:15" hidden="1" x14ac:dyDescent="0.25">
      <c r="A1627" t="s">
        <v>106</v>
      </c>
      <c r="B1627" t="s">
        <v>115</v>
      </c>
      <c r="C1627" t="b">
        <v>0</v>
      </c>
      <c r="D1627" s="1">
        <v>38261</v>
      </c>
      <c r="E1627">
        <v>3</v>
      </c>
      <c r="F1627"/>
      <c r="G1627"/>
      <c r="H1627"/>
      <c r="I1627"/>
      <c r="J1627"/>
      <c r="K1627"/>
      <c r="L1627"/>
      <c r="M1627"/>
      <c r="N1627"/>
      <c r="O1627"/>
    </row>
    <row r="1628" spans="1:15" hidden="1" x14ac:dyDescent="0.25">
      <c r="A1628" t="s">
        <v>106</v>
      </c>
      <c r="B1628" t="s">
        <v>115</v>
      </c>
      <c r="C1628" t="b">
        <v>0</v>
      </c>
      <c r="D1628" s="1">
        <v>38261</v>
      </c>
      <c r="E1628">
        <v>3</v>
      </c>
      <c r="F1628"/>
      <c r="G1628"/>
      <c r="H1628"/>
      <c r="I1628"/>
      <c r="J1628"/>
      <c r="K1628"/>
      <c r="L1628"/>
      <c r="M1628"/>
      <c r="N1628"/>
      <c r="O1628"/>
    </row>
    <row r="1629" spans="1:15" hidden="1" x14ac:dyDescent="0.25">
      <c r="A1629" t="s">
        <v>106</v>
      </c>
      <c r="B1629" t="s">
        <v>115</v>
      </c>
      <c r="C1629" t="b">
        <v>0</v>
      </c>
      <c r="D1629" s="1">
        <v>38261</v>
      </c>
      <c r="E1629">
        <v>3</v>
      </c>
      <c r="F1629"/>
      <c r="G1629"/>
      <c r="H1629"/>
      <c r="I1629"/>
      <c r="J1629"/>
      <c r="K1629"/>
      <c r="L1629"/>
      <c r="M1629"/>
      <c r="N1629"/>
      <c r="O1629"/>
    </row>
    <row r="1630" spans="1:15" hidden="1" x14ac:dyDescent="0.25">
      <c r="A1630" t="s">
        <v>106</v>
      </c>
      <c r="B1630" t="s">
        <v>115</v>
      </c>
      <c r="C1630" t="b">
        <v>0</v>
      </c>
      <c r="D1630" s="1">
        <v>38261</v>
      </c>
      <c r="E1630">
        <v>3</v>
      </c>
      <c r="F1630"/>
      <c r="G1630"/>
      <c r="H1630"/>
      <c r="I1630"/>
      <c r="J1630"/>
      <c r="K1630"/>
      <c r="L1630"/>
      <c r="M1630"/>
      <c r="N1630"/>
      <c r="O1630"/>
    </row>
    <row r="1631" spans="1:15" hidden="1" x14ac:dyDescent="0.25">
      <c r="A1631" t="s">
        <v>106</v>
      </c>
      <c r="B1631" t="s">
        <v>115</v>
      </c>
      <c r="C1631" t="b">
        <v>0</v>
      </c>
      <c r="D1631" s="1">
        <v>38261</v>
      </c>
      <c r="E1631">
        <v>3</v>
      </c>
      <c r="F1631"/>
      <c r="G1631"/>
      <c r="H1631"/>
      <c r="I1631"/>
      <c r="J1631"/>
      <c r="K1631"/>
      <c r="L1631"/>
      <c r="M1631"/>
      <c r="N1631"/>
      <c r="O1631"/>
    </row>
    <row r="1632" spans="1:15" hidden="1" x14ac:dyDescent="0.25">
      <c r="A1632" t="s">
        <v>106</v>
      </c>
      <c r="B1632" t="s">
        <v>115</v>
      </c>
      <c r="C1632" t="b">
        <v>0</v>
      </c>
      <c r="D1632" s="1">
        <v>38261</v>
      </c>
      <c r="E1632">
        <v>3</v>
      </c>
      <c r="F1632"/>
      <c r="G1632"/>
      <c r="H1632"/>
      <c r="I1632"/>
      <c r="J1632"/>
      <c r="K1632"/>
      <c r="L1632"/>
      <c r="M1632"/>
      <c r="N1632"/>
      <c r="O1632"/>
    </row>
    <row r="1633" spans="1:15" hidden="1" x14ac:dyDescent="0.25">
      <c r="A1633" t="s">
        <v>106</v>
      </c>
      <c r="B1633" t="s">
        <v>115</v>
      </c>
      <c r="C1633" t="b">
        <v>0</v>
      </c>
      <c r="D1633" s="1">
        <v>38261</v>
      </c>
      <c r="E1633">
        <v>3</v>
      </c>
      <c r="F1633"/>
      <c r="G1633"/>
      <c r="H1633"/>
      <c r="I1633"/>
      <c r="J1633"/>
      <c r="K1633"/>
      <c r="L1633"/>
      <c r="M1633"/>
      <c r="N1633"/>
      <c r="O1633"/>
    </row>
    <row r="1634" spans="1:15" hidden="1" x14ac:dyDescent="0.25">
      <c r="A1634" t="s">
        <v>106</v>
      </c>
      <c r="B1634" t="s">
        <v>115</v>
      </c>
      <c r="C1634" t="b">
        <v>0</v>
      </c>
      <c r="D1634" s="1">
        <v>38261</v>
      </c>
      <c r="E1634">
        <v>3</v>
      </c>
      <c r="F1634"/>
      <c r="G1634"/>
      <c r="H1634"/>
      <c r="I1634"/>
      <c r="J1634"/>
      <c r="K1634"/>
      <c r="L1634"/>
      <c r="M1634"/>
      <c r="N1634"/>
      <c r="O1634"/>
    </row>
    <row r="1635" spans="1:15" hidden="1" x14ac:dyDescent="0.25">
      <c r="A1635" t="s">
        <v>106</v>
      </c>
      <c r="B1635" t="s">
        <v>115</v>
      </c>
      <c r="C1635" t="b">
        <v>0</v>
      </c>
      <c r="D1635" s="1">
        <v>38261</v>
      </c>
      <c r="E1635">
        <v>3</v>
      </c>
      <c r="F1635"/>
      <c r="G1635"/>
      <c r="H1635"/>
      <c r="I1635"/>
      <c r="J1635"/>
      <c r="K1635"/>
      <c r="L1635"/>
      <c r="M1635"/>
      <c r="N1635"/>
      <c r="O1635"/>
    </row>
    <row r="1636" spans="1:15" hidden="1" x14ac:dyDescent="0.25">
      <c r="A1636" t="s">
        <v>106</v>
      </c>
      <c r="B1636" t="s">
        <v>115</v>
      </c>
      <c r="C1636" t="b">
        <v>0</v>
      </c>
      <c r="D1636" s="1">
        <v>38261</v>
      </c>
      <c r="E1636">
        <v>3</v>
      </c>
      <c r="F1636"/>
      <c r="G1636"/>
      <c r="H1636"/>
      <c r="I1636"/>
      <c r="J1636"/>
      <c r="K1636"/>
      <c r="L1636"/>
      <c r="M1636"/>
      <c r="N1636"/>
      <c r="O1636"/>
    </row>
    <row r="1637" spans="1:15" hidden="1" x14ac:dyDescent="0.25">
      <c r="A1637" t="s">
        <v>106</v>
      </c>
      <c r="B1637" t="s">
        <v>115</v>
      </c>
      <c r="C1637" t="b">
        <v>0</v>
      </c>
      <c r="D1637" s="1">
        <v>38261</v>
      </c>
      <c r="E1637">
        <v>3</v>
      </c>
      <c r="F1637"/>
      <c r="G1637"/>
      <c r="H1637"/>
      <c r="I1637"/>
      <c r="J1637"/>
      <c r="K1637"/>
      <c r="L1637"/>
      <c r="M1637"/>
      <c r="N1637"/>
      <c r="O1637"/>
    </row>
    <row r="1638" spans="1:15" hidden="1" x14ac:dyDescent="0.25">
      <c r="A1638" t="s">
        <v>106</v>
      </c>
      <c r="B1638" t="s">
        <v>115</v>
      </c>
      <c r="C1638" t="b">
        <v>0</v>
      </c>
      <c r="D1638" s="1">
        <v>38261</v>
      </c>
      <c r="E1638">
        <v>3</v>
      </c>
      <c r="F1638"/>
      <c r="G1638"/>
      <c r="H1638"/>
      <c r="I1638"/>
      <c r="J1638"/>
      <c r="K1638"/>
      <c r="L1638"/>
      <c r="M1638"/>
      <c r="N1638"/>
      <c r="O1638"/>
    </row>
    <row r="1639" spans="1:15" hidden="1" x14ac:dyDescent="0.25">
      <c r="A1639" t="s">
        <v>106</v>
      </c>
      <c r="B1639" t="s">
        <v>115</v>
      </c>
      <c r="C1639" t="b">
        <v>0</v>
      </c>
      <c r="D1639" s="1">
        <v>38261</v>
      </c>
      <c r="E1639">
        <v>3</v>
      </c>
      <c r="F1639"/>
      <c r="G1639"/>
      <c r="H1639"/>
      <c r="I1639"/>
      <c r="J1639"/>
      <c r="K1639"/>
      <c r="L1639"/>
      <c r="M1639"/>
      <c r="N1639"/>
      <c r="O1639"/>
    </row>
    <row r="1640" spans="1:15" hidden="1" x14ac:dyDescent="0.25">
      <c r="A1640" t="s">
        <v>106</v>
      </c>
      <c r="B1640" t="s">
        <v>115</v>
      </c>
      <c r="C1640" t="b">
        <v>0</v>
      </c>
      <c r="D1640" s="1">
        <v>38261</v>
      </c>
      <c r="E1640">
        <v>3</v>
      </c>
      <c r="F1640"/>
      <c r="G1640"/>
      <c r="H1640"/>
      <c r="I1640"/>
      <c r="J1640"/>
      <c r="K1640"/>
      <c r="L1640"/>
      <c r="M1640"/>
      <c r="N1640"/>
      <c r="O1640"/>
    </row>
    <row r="1641" spans="1:15" hidden="1" x14ac:dyDescent="0.25">
      <c r="A1641" t="s">
        <v>30</v>
      </c>
      <c r="B1641" t="s">
        <v>115</v>
      </c>
      <c r="C1641" t="b">
        <v>0</v>
      </c>
      <c r="D1641" s="1">
        <v>38261</v>
      </c>
      <c r="E1641">
        <v>3</v>
      </c>
      <c r="F1641"/>
      <c r="G1641"/>
      <c r="H1641"/>
      <c r="I1641"/>
      <c r="J1641"/>
      <c r="K1641"/>
      <c r="L1641"/>
      <c r="M1641"/>
      <c r="N1641"/>
      <c r="O1641"/>
    </row>
    <row r="1642" spans="1:15" hidden="1" x14ac:dyDescent="0.25">
      <c r="A1642" t="s">
        <v>39</v>
      </c>
      <c r="B1642" t="s">
        <v>115</v>
      </c>
      <c r="C1642" t="b">
        <v>0</v>
      </c>
      <c r="D1642" s="1">
        <v>38261</v>
      </c>
      <c r="E1642">
        <v>3</v>
      </c>
      <c r="F1642"/>
      <c r="G1642"/>
      <c r="H1642"/>
      <c r="I1642"/>
      <c r="J1642"/>
      <c r="K1642"/>
      <c r="L1642"/>
      <c r="M1642"/>
      <c r="N1642"/>
      <c r="O1642"/>
    </row>
    <row r="1643" spans="1:15" hidden="1" x14ac:dyDescent="0.25">
      <c r="A1643" t="s">
        <v>57</v>
      </c>
      <c r="B1643" t="s">
        <v>115</v>
      </c>
      <c r="C1643" t="b">
        <v>0</v>
      </c>
      <c r="D1643" s="1">
        <v>38261</v>
      </c>
      <c r="E1643">
        <v>3</v>
      </c>
      <c r="F1643"/>
      <c r="G1643"/>
      <c r="H1643"/>
      <c r="I1643"/>
      <c r="J1643"/>
      <c r="K1643"/>
      <c r="L1643"/>
      <c r="M1643"/>
      <c r="N1643"/>
      <c r="O1643"/>
    </row>
    <row r="1644" spans="1:15" hidden="1" x14ac:dyDescent="0.25">
      <c r="A1644" t="s">
        <v>69</v>
      </c>
      <c r="B1644" t="s">
        <v>115</v>
      </c>
      <c r="C1644" t="b">
        <v>0</v>
      </c>
      <c r="D1644" s="1">
        <v>38261</v>
      </c>
      <c r="E1644">
        <v>3</v>
      </c>
      <c r="F1644"/>
      <c r="G1644"/>
      <c r="H1644"/>
      <c r="I1644"/>
      <c r="J1644"/>
      <c r="K1644"/>
      <c r="L1644"/>
      <c r="M1644"/>
      <c r="N1644"/>
      <c r="O1644"/>
    </row>
    <row r="1645" spans="1:15" hidden="1" x14ac:dyDescent="0.25">
      <c r="A1645" t="s">
        <v>86</v>
      </c>
      <c r="B1645" t="s">
        <v>115</v>
      </c>
      <c r="C1645" t="b">
        <v>0</v>
      </c>
      <c r="D1645" s="1">
        <v>38261</v>
      </c>
      <c r="E1645">
        <v>3</v>
      </c>
      <c r="F1645"/>
      <c r="G1645"/>
      <c r="H1645"/>
      <c r="I1645"/>
      <c r="J1645"/>
      <c r="K1645"/>
      <c r="L1645"/>
      <c r="M1645"/>
      <c r="N1645"/>
      <c r="O1645"/>
    </row>
    <row r="1646" spans="1:15" hidden="1" x14ac:dyDescent="0.25">
      <c r="A1646" t="s">
        <v>99</v>
      </c>
      <c r="B1646" t="s">
        <v>114</v>
      </c>
      <c r="C1646" t="b">
        <v>0</v>
      </c>
      <c r="D1646" s="1">
        <v>38261</v>
      </c>
      <c r="E1646">
        <v>13.16</v>
      </c>
      <c r="F1646"/>
      <c r="G1646"/>
      <c r="H1646"/>
      <c r="I1646"/>
      <c r="J1646"/>
      <c r="K1646"/>
      <c r="L1646"/>
      <c r="M1646"/>
      <c r="N1646"/>
      <c r="O1646"/>
    </row>
    <row r="1647" spans="1:15" hidden="1" x14ac:dyDescent="0.25">
      <c r="A1647" t="s">
        <v>100</v>
      </c>
      <c r="B1647" t="s">
        <v>117</v>
      </c>
      <c r="C1647" t="b">
        <v>0</v>
      </c>
      <c r="D1647" s="1">
        <v>38292</v>
      </c>
      <c r="E1647" s="2">
        <v>-152.06</v>
      </c>
      <c r="F1647"/>
      <c r="G1647"/>
      <c r="H1647"/>
      <c r="I1647"/>
      <c r="J1647"/>
      <c r="K1647"/>
      <c r="L1647"/>
      <c r="M1647"/>
      <c r="N1647"/>
      <c r="O1647"/>
    </row>
    <row r="1648" spans="1:15" hidden="1" x14ac:dyDescent="0.25">
      <c r="A1648" t="s">
        <v>102</v>
      </c>
      <c r="B1648" t="s">
        <v>117</v>
      </c>
      <c r="C1648" t="b">
        <v>0</v>
      </c>
      <c r="D1648" s="1">
        <v>38292</v>
      </c>
      <c r="E1648" s="2">
        <v>-2</v>
      </c>
      <c r="F1648"/>
      <c r="G1648"/>
      <c r="H1648"/>
      <c r="I1648"/>
      <c r="J1648"/>
      <c r="K1648"/>
      <c r="L1648"/>
      <c r="M1648"/>
      <c r="N1648"/>
      <c r="O1648"/>
    </row>
    <row r="1649" spans="1:15" hidden="1" x14ac:dyDescent="0.25">
      <c r="A1649" t="s">
        <v>103</v>
      </c>
      <c r="B1649" t="s">
        <v>117</v>
      </c>
      <c r="C1649" t="b">
        <v>0</v>
      </c>
      <c r="D1649" s="1">
        <v>38292</v>
      </c>
      <c r="E1649" s="2">
        <v>-1.89</v>
      </c>
      <c r="F1649"/>
      <c r="G1649"/>
      <c r="H1649"/>
      <c r="I1649"/>
      <c r="J1649"/>
      <c r="K1649"/>
      <c r="L1649"/>
      <c r="M1649"/>
      <c r="N1649"/>
      <c r="O1649"/>
    </row>
    <row r="1650" spans="1:15" hidden="1" x14ac:dyDescent="0.25">
      <c r="A1650" t="s">
        <v>11</v>
      </c>
      <c r="B1650" t="s">
        <v>115</v>
      </c>
      <c r="C1650" t="b">
        <v>0</v>
      </c>
      <c r="D1650" s="1">
        <v>38292</v>
      </c>
      <c r="E1650">
        <v>2</v>
      </c>
      <c r="F1650"/>
      <c r="G1650"/>
      <c r="H1650"/>
      <c r="I1650"/>
      <c r="J1650"/>
      <c r="K1650"/>
      <c r="L1650"/>
      <c r="M1650"/>
      <c r="N1650"/>
      <c r="O1650"/>
    </row>
    <row r="1651" spans="1:15" hidden="1" x14ac:dyDescent="0.25">
      <c r="A1651" t="s">
        <v>14</v>
      </c>
      <c r="B1651" t="s">
        <v>115</v>
      </c>
      <c r="C1651" t="b">
        <v>0</v>
      </c>
      <c r="D1651" s="1">
        <v>38292</v>
      </c>
      <c r="E1651">
        <v>3</v>
      </c>
      <c r="F1651"/>
      <c r="G1651"/>
      <c r="H1651"/>
      <c r="I1651"/>
      <c r="J1651"/>
      <c r="K1651"/>
      <c r="L1651"/>
      <c r="M1651"/>
      <c r="N1651"/>
      <c r="O1651"/>
    </row>
    <row r="1652" spans="1:15" hidden="1" x14ac:dyDescent="0.25">
      <c r="A1652" t="s">
        <v>18</v>
      </c>
      <c r="B1652" t="s">
        <v>115</v>
      </c>
      <c r="C1652" t="b">
        <v>0</v>
      </c>
      <c r="D1652" s="1">
        <v>38292</v>
      </c>
      <c r="E1652">
        <v>3</v>
      </c>
      <c r="F1652"/>
      <c r="G1652"/>
      <c r="H1652"/>
      <c r="I1652"/>
      <c r="J1652"/>
      <c r="K1652"/>
      <c r="L1652"/>
      <c r="M1652"/>
      <c r="N1652"/>
      <c r="O1652"/>
    </row>
    <row r="1653" spans="1:15" hidden="1" x14ac:dyDescent="0.25">
      <c r="A1653" t="s">
        <v>106</v>
      </c>
      <c r="B1653" t="s">
        <v>115</v>
      </c>
      <c r="C1653" t="b">
        <v>0</v>
      </c>
      <c r="D1653" s="1">
        <v>38292</v>
      </c>
      <c r="E1653">
        <v>3</v>
      </c>
      <c r="F1653"/>
      <c r="G1653"/>
      <c r="H1653"/>
      <c r="I1653"/>
      <c r="J1653"/>
      <c r="K1653"/>
      <c r="L1653"/>
      <c r="M1653"/>
      <c r="N1653"/>
      <c r="O1653"/>
    </row>
    <row r="1654" spans="1:15" hidden="1" x14ac:dyDescent="0.25">
      <c r="A1654" t="s">
        <v>106</v>
      </c>
      <c r="B1654" t="s">
        <v>115</v>
      </c>
      <c r="C1654" t="b">
        <v>0</v>
      </c>
      <c r="D1654" s="1">
        <v>38292</v>
      </c>
      <c r="E1654">
        <v>3</v>
      </c>
      <c r="F1654"/>
      <c r="G1654"/>
      <c r="H1654"/>
      <c r="I1654"/>
      <c r="J1654"/>
      <c r="K1654"/>
      <c r="L1654"/>
      <c r="M1654"/>
      <c r="N1654"/>
      <c r="O1654"/>
    </row>
    <row r="1655" spans="1:15" hidden="1" x14ac:dyDescent="0.25">
      <c r="A1655" t="s">
        <v>106</v>
      </c>
      <c r="B1655" t="s">
        <v>115</v>
      </c>
      <c r="C1655" t="b">
        <v>0</v>
      </c>
      <c r="D1655" s="1">
        <v>38292</v>
      </c>
      <c r="E1655">
        <v>3</v>
      </c>
      <c r="F1655"/>
      <c r="G1655"/>
      <c r="H1655"/>
      <c r="I1655"/>
      <c r="J1655"/>
      <c r="K1655"/>
      <c r="L1655"/>
      <c r="M1655"/>
      <c r="N1655"/>
      <c r="O1655"/>
    </row>
    <row r="1656" spans="1:15" hidden="1" x14ac:dyDescent="0.25">
      <c r="A1656" t="s">
        <v>106</v>
      </c>
      <c r="B1656" t="s">
        <v>115</v>
      </c>
      <c r="C1656" t="b">
        <v>0</v>
      </c>
      <c r="D1656" s="1">
        <v>38292</v>
      </c>
      <c r="E1656">
        <v>3</v>
      </c>
      <c r="F1656"/>
      <c r="G1656"/>
      <c r="H1656"/>
      <c r="I1656"/>
      <c r="J1656"/>
      <c r="K1656"/>
      <c r="L1656"/>
      <c r="M1656"/>
      <c r="N1656"/>
      <c r="O1656"/>
    </row>
    <row r="1657" spans="1:15" hidden="1" x14ac:dyDescent="0.25">
      <c r="A1657" t="s">
        <v>106</v>
      </c>
      <c r="B1657" t="s">
        <v>115</v>
      </c>
      <c r="C1657" t="b">
        <v>0</v>
      </c>
      <c r="D1657" s="1">
        <v>38292</v>
      </c>
      <c r="E1657">
        <v>3</v>
      </c>
      <c r="F1657"/>
      <c r="G1657"/>
      <c r="H1657"/>
      <c r="I1657"/>
      <c r="J1657"/>
      <c r="K1657"/>
      <c r="L1657"/>
      <c r="M1657"/>
      <c r="N1657"/>
      <c r="O1657"/>
    </row>
    <row r="1658" spans="1:15" hidden="1" x14ac:dyDescent="0.25">
      <c r="A1658" t="s">
        <v>106</v>
      </c>
      <c r="B1658" t="s">
        <v>115</v>
      </c>
      <c r="C1658" t="b">
        <v>0</v>
      </c>
      <c r="D1658" s="1">
        <v>38292</v>
      </c>
      <c r="E1658">
        <v>3</v>
      </c>
      <c r="F1658"/>
      <c r="G1658"/>
      <c r="H1658"/>
      <c r="I1658"/>
      <c r="J1658"/>
      <c r="K1658"/>
      <c r="L1658"/>
      <c r="M1658"/>
      <c r="N1658"/>
      <c r="O1658"/>
    </row>
    <row r="1659" spans="1:15" hidden="1" x14ac:dyDescent="0.25">
      <c r="A1659" t="s">
        <v>106</v>
      </c>
      <c r="B1659" t="s">
        <v>115</v>
      </c>
      <c r="C1659" t="b">
        <v>0</v>
      </c>
      <c r="D1659" s="1">
        <v>38292</v>
      </c>
      <c r="E1659">
        <v>3</v>
      </c>
      <c r="F1659"/>
      <c r="G1659"/>
      <c r="H1659"/>
      <c r="I1659"/>
      <c r="J1659"/>
      <c r="K1659"/>
      <c r="L1659"/>
      <c r="M1659"/>
      <c r="N1659"/>
      <c r="O1659"/>
    </row>
    <row r="1660" spans="1:15" hidden="1" x14ac:dyDescent="0.25">
      <c r="A1660" t="s">
        <v>106</v>
      </c>
      <c r="B1660" t="s">
        <v>115</v>
      </c>
      <c r="C1660" t="b">
        <v>0</v>
      </c>
      <c r="D1660" s="1">
        <v>38292</v>
      </c>
      <c r="E1660">
        <v>3</v>
      </c>
      <c r="F1660"/>
      <c r="G1660"/>
      <c r="H1660"/>
      <c r="I1660"/>
      <c r="J1660"/>
      <c r="K1660"/>
      <c r="L1660"/>
      <c r="M1660"/>
      <c r="N1660"/>
      <c r="O1660"/>
    </row>
    <row r="1661" spans="1:15" hidden="1" x14ac:dyDescent="0.25">
      <c r="A1661" t="s">
        <v>106</v>
      </c>
      <c r="B1661" t="s">
        <v>115</v>
      </c>
      <c r="C1661" t="b">
        <v>0</v>
      </c>
      <c r="D1661" s="1">
        <v>38292</v>
      </c>
      <c r="E1661">
        <v>3</v>
      </c>
      <c r="F1661"/>
      <c r="G1661"/>
      <c r="H1661"/>
      <c r="I1661"/>
      <c r="J1661"/>
      <c r="K1661"/>
      <c r="L1661"/>
      <c r="M1661"/>
      <c r="N1661"/>
      <c r="O1661"/>
    </row>
    <row r="1662" spans="1:15" hidden="1" x14ac:dyDescent="0.25">
      <c r="A1662" t="s">
        <v>106</v>
      </c>
      <c r="B1662" t="s">
        <v>115</v>
      </c>
      <c r="C1662" t="b">
        <v>0</v>
      </c>
      <c r="D1662" s="1">
        <v>38292</v>
      </c>
      <c r="E1662">
        <v>3</v>
      </c>
      <c r="F1662"/>
      <c r="G1662"/>
      <c r="H1662"/>
      <c r="I1662"/>
      <c r="J1662"/>
      <c r="K1662"/>
      <c r="L1662"/>
      <c r="M1662"/>
      <c r="N1662"/>
      <c r="O1662"/>
    </row>
    <row r="1663" spans="1:15" hidden="1" x14ac:dyDescent="0.25">
      <c r="A1663" t="s">
        <v>106</v>
      </c>
      <c r="B1663" t="s">
        <v>115</v>
      </c>
      <c r="C1663" t="b">
        <v>0</v>
      </c>
      <c r="D1663" s="1">
        <v>38292</v>
      </c>
      <c r="E1663">
        <v>3</v>
      </c>
      <c r="F1663"/>
      <c r="G1663"/>
      <c r="H1663"/>
      <c r="I1663"/>
      <c r="J1663"/>
      <c r="K1663"/>
      <c r="L1663"/>
      <c r="M1663"/>
      <c r="N1663"/>
      <c r="O1663"/>
    </row>
    <row r="1664" spans="1:15" hidden="1" x14ac:dyDescent="0.25">
      <c r="A1664" t="s">
        <v>106</v>
      </c>
      <c r="B1664" t="s">
        <v>115</v>
      </c>
      <c r="C1664" t="b">
        <v>0</v>
      </c>
      <c r="D1664" s="1">
        <v>38292</v>
      </c>
      <c r="E1664">
        <v>3</v>
      </c>
      <c r="F1664"/>
      <c r="G1664"/>
      <c r="H1664"/>
      <c r="I1664"/>
      <c r="J1664"/>
      <c r="K1664"/>
      <c r="L1664"/>
      <c r="M1664"/>
      <c r="N1664"/>
      <c r="O1664"/>
    </row>
    <row r="1665" spans="1:15" hidden="1" x14ac:dyDescent="0.25">
      <c r="A1665" t="s">
        <v>106</v>
      </c>
      <c r="B1665" t="s">
        <v>115</v>
      </c>
      <c r="C1665" t="b">
        <v>0</v>
      </c>
      <c r="D1665" s="1">
        <v>38292</v>
      </c>
      <c r="E1665">
        <v>3</v>
      </c>
      <c r="F1665"/>
      <c r="G1665"/>
      <c r="H1665"/>
      <c r="I1665"/>
      <c r="J1665"/>
      <c r="K1665"/>
      <c r="L1665"/>
      <c r="M1665"/>
      <c r="N1665"/>
      <c r="O1665"/>
    </row>
    <row r="1666" spans="1:15" hidden="1" x14ac:dyDescent="0.25">
      <c r="A1666" t="s">
        <v>106</v>
      </c>
      <c r="B1666" t="s">
        <v>115</v>
      </c>
      <c r="C1666" t="b">
        <v>0</v>
      </c>
      <c r="D1666" s="1">
        <v>38292</v>
      </c>
      <c r="E1666">
        <v>3</v>
      </c>
      <c r="F1666"/>
      <c r="G1666"/>
      <c r="H1666"/>
      <c r="I1666"/>
      <c r="J1666"/>
      <c r="K1666"/>
      <c r="L1666"/>
      <c r="M1666"/>
      <c r="N1666"/>
      <c r="O1666"/>
    </row>
    <row r="1667" spans="1:15" hidden="1" x14ac:dyDescent="0.25">
      <c r="A1667" t="s">
        <v>106</v>
      </c>
      <c r="B1667" t="s">
        <v>115</v>
      </c>
      <c r="C1667" t="b">
        <v>0</v>
      </c>
      <c r="D1667" s="1">
        <v>38292</v>
      </c>
      <c r="E1667">
        <v>3</v>
      </c>
      <c r="F1667"/>
      <c r="G1667"/>
      <c r="H1667"/>
      <c r="I1667"/>
      <c r="J1667"/>
      <c r="K1667"/>
      <c r="L1667"/>
      <c r="M1667"/>
      <c r="N1667"/>
      <c r="O1667"/>
    </row>
    <row r="1668" spans="1:15" hidden="1" x14ac:dyDescent="0.25">
      <c r="A1668" t="s">
        <v>106</v>
      </c>
      <c r="B1668" t="s">
        <v>115</v>
      </c>
      <c r="C1668" t="b">
        <v>0</v>
      </c>
      <c r="D1668" s="1">
        <v>38292</v>
      </c>
      <c r="E1668">
        <v>3</v>
      </c>
      <c r="F1668"/>
      <c r="G1668"/>
      <c r="H1668"/>
      <c r="I1668"/>
      <c r="J1668"/>
      <c r="K1668"/>
      <c r="L1668"/>
      <c r="M1668"/>
      <c r="N1668"/>
      <c r="O1668"/>
    </row>
    <row r="1669" spans="1:15" hidden="1" x14ac:dyDescent="0.25">
      <c r="A1669" t="s">
        <v>106</v>
      </c>
      <c r="B1669" t="s">
        <v>115</v>
      </c>
      <c r="C1669" t="b">
        <v>0</v>
      </c>
      <c r="D1669" s="1">
        <v>38292</v>
      </c>
      <c r="E1669">
        <v>3</v>
      </c>
      <c r="F1669"/>
      <c r="G1669"/>
      <c r="H1669"/>
      <c r="I1669"/>
      <c r="J1669"/>
      <c r="K1669"/>
      <c r="L1669"/>
      <c r="M1669"/>
      <c r="N1669"/>
      <c r="O1669"/>
    </row>
    <row r="1670" spans="1:15" hidden="1" x14ac:dyDescent="0.25">
      <c r="A1670" t="s">
        <v>106</v>
      </c>
      <c r="B1670" t="s">
        <v>115</v>
      </c>
      <c r="C1670" t="b">
        <v>0</v>
      </c>
      <c r="D1670" s="1">
        <v>38292</v>
      </c>
      <c r="E1670">
        <v>3</v>
      </c>
      <c r="F1670"/>
      <c r="G1670"/>
      <c r="H1670"/>
      <c r="I1670"/>
      <c r="J1670"/>
      <c r="K1670"/>
      <c r="L1670"/>
      <c r="M1670"/>
      <c r="N1670"/>
      <c r="O1670"/>
    </row>
    <row r="1671" spans="1:15" hidden="1" x14ac:dyDescent="0.25">
      <c r="A1671" t="s">
        <v>106</v>
      </c>
      <c r="B1671" t="s">
        <v>115</v>
      </c>
      <c r="C1671" t="b">
        <v>0</v>
      </c>
      <c r="D1671" s="1">
        <v>38292</v>
      </c>
      <c r="E1671">
        <v>3</v>
      </c>
      <c r="F1671"/>
      <c r="G1671"/>
      <c r="H1671"/>
      <c r="I1671"/>
      <c r="J1671"/>
      <c r="K1671"/>
      <c r="L1671"/>
      <c r="M1671"/>
      <c r="N1671"/>
      <c r="O1671"/>
    </row>
    <row r="1672" spans="1:15" hidden="1" x14ac:dyDescent="0.25">
      <c r="A1672" t="s">
        <v>106</v>
      </c>
      <c r="B1672" t="s">
        <v>115</v>
      </c>
      <c r="C1672" t="b">
        <v>0</v>
      </c>
      <c r="D1672" s="1">
        <v>38292</v>
      </c>
      <c r="E1672">
        <v>3</v>
      </c>
      <c r="F1672"/>
      <c r="G1672"/>
      <c r="H1672"/>
      <c r="I1672"/>
      <c r="J1672"/>
      <c r="K1672"/>
      <c r="L1672"/>
      <c r="M1672"/>
      <c r="N1672"/>
      <c r="O1672"/>
    </row>
    <row r="1673" spans="1:15" hidden="1" x14ac:dyDescent="0.25">
      <c r="A1673" t="s">
        <v>106</v>
      </c>
      <c r="B1673" t="s">
        <v>115</v>
      </c>
      <c r="C1673" t="b">
        <v>0</v>
      </c>
      <c r="D1673" s="1">
        <v>38292</v>
      </c>
      <c r="E1673">
        <v>3</v>
      </c>
      <c r="F1673"/>
      <c r="G1673"/>
      <c r="H1673"/>
      <c r="I1673"/>
      <c r="J1673"/>
      <c r="K1673"/>
      <c r="L1673"/>
      <c r="M1673"/>
      <c r="N1673"/>
      <c r="O1673"/>
    </row>
    <row r="1674" spans="1:15" hidden="1" x14ac:dyDescent="0.25">
      <c r="A1674" t="s">
        <v>30</v>
      </c>
      <c r="B1674" t="s">
        <v>115</v>
      </c>
      <c r="C1674" t="b">
        <v>0</v>
      </c>
      <c r="D1674" s="1">
        <v>38292</v>
      </c>
      <c r="E1674">
        <v>3</v>
      </c>
      <c r="F1674"/>
      <c r="G1674"/>
      <c r="H1674"/>
      <c r="I1674"/>
      <c r="J1674"/>
      <c r="K1674"/>
      <c r="L1674"/>
      <c r="M1674"/>
      <c r="N1674"/>
      <c r="O1674"/>
    </row>
    <row r="1675" spans="1:15" hidden="1" x14ac:dyDescent="0.25">
      <c r="A1675" t="s">
        <v>39</v>
      </c>
      <c r="B1675" t="s">
        <v>115</v>
      </c>
      <c r="C1675" t="b">
        <v>0</v>
      </c>
      <c r="D1675" s="1">
        <v>38292</v>
      </c>
      <c r="E1675">
        <v>3</v>
      </c>
      <c r="F1675"/>
      <c r="G1675"/>
      <c r="H1675"/>
      <c r="I1675"/>
      <c r="J1675"/>
      <c r="K1675"/>
      <c r="L1675"/>
      <c r="M1675"/>
      <c r="N1675"/>
      <c r="O1675"/>
    </row>
    <row r="1676" spans="1:15" hidden="1" x14ac:dyDescent="0.25">
      <c r="A1676" t="s">
        <v>57</v>
      </c>
      <c r="B1676" t="s">
        <v>115</v>
      </c>
      <c r="C1676" t="b">
        <v>0</v>
      </c>
      <c r="D1676" s="1">
        <v>38292</v>
      </c>
      <c r="E1676">
        <v>3</v>
      </c>
      <c r="F1676"/>
      <c r="G1676"/>
      <c r="H1676"/>
      <c r="I1676"/>
      <c r="J1676"/>
      <c r="K1676"/>
      <c r="L1676"/>
      <c r="M1676"/>
      <c r="N1676"/>
      <c r="O1676"/>
    </row>
    <row r="1677" spans="1:15" hidden="1" x14ac:dyDescent="0.25">
      <c r="A1677" t="s">
        <v>69</v>
      </c>
      <c r="B1677" t="s">
        <v>115</v>
      </c>
      <c r="C1677" t="b">
        <v>0</v>
      </c>
      <c r="D1677" s="1">
        <v>38292</v>
      </c>
      <c r="E1677">
        <v>3</v>
      </c>
      <c r="F1677"/>
      <c r="G1677"/>
      <c r="H1677"/>
      <c r="I1677"/>
      <c r="J1677"/>
      <c r="K1677"/>
      <c r="L1677"/>
      <c r="M1677"/>
      <c r="N1677"/>
      <c r="O1677"/>
    </row>
    <row r="1678" spans="1:15" hidden="1" x14ac:dyDescent="0.25">
      <c r="A1678" t="s">
        <v>86</v>
      </c>
      <c r="B1678" t="s">
        <v>115</v>
      </c>
      <c r="C1678" t="b">
        <v>0</v>
      </c>
      <c r="D1678" s="1">
        <v>38292</v>
      </c>
      <c r="E1678">
        <v>3</v>
      </c>
      <c r="F1678"/>
      <c r="G1678"/>
      <c r="H1678"/>
      <c r="I1678"/>
      <c r="J1678"/>
      <c r="K1678"/>
      <c r="L1678"/>
      <c r="M1678"/>
      <c r="N1678"/>
      <c r="O1678"/>
    </row>
    <row r="1679" spans="1:15" hidden="1" x14ac:dyDescent="0.25">
      <c r="A1679" t="s">
        <v>90</v>
      </c>
      <c r="B1679" t="s">
        <v>115</v>
      </c>
      <c r="C1679" t="b">
        <v>0</v>
      </c>
      <c r="D1679" s="1">
        <v>38292</v>
      </c>
      <c r="E1679">
        <v>3</v>
      </c>
      <c r="F1679"/>
      <c r="G1679"/>
      <c r="H1679"/>
      <c r="I1679"/>
      <c r="J1679"/>
      <c r="K1679"/>
      <c r="L1679"/>
      <c r="M1679"/>
      <c r="N1679"/>
      <c r="O1679"/>
    </row>
    <row r="1680" spans="1:15" hidden="1" x14ac:dyDescent="0.25">
      <c r="A1680" t="s">
        <v>99</v>
      </c>
      <c r="B1680" t="s">
        <v>114</v>
      </c>
      <c r="C1680" t="b">
        <v>0</v>
      </c>
      <c r="D1680" s="1">
        <v>38292</v>
      </c>
      <c r="E1680">
        <v>11.629999999999999</v>
      </c>
      <c r="F1680"/>
      <c r="G1680"/>
      <c r="H1680"/>
      <c r="I1680"/>
      <c r="J1680"/>
      <c r="K1680"/>
      <c r="L1680"/>
      <c r="M1680"/>
      <c r="N1680"/>
      <c r="O1680"/>
    </row>
    <row r="1681" spans="1:15" hidden="1" x14ac:dyDescent="0.25">
      <c r="A1681" t="s">
        <v>100</v>
      </c>
      <c r="B1681" t="s">
        <v>117</v>
      </c>
      <c r="C1681" t="b">
        <v>0</v>
      </c>
      <c r="D1681" s="1">
        <v>38322</v>
      </c>
      <c r="E1681" s="2">
        <v>-42</v>
      </c>
      <c r="F1681"/>
      <c r="G1681"/>
      <c r="H1681"/>
      <c r="I1681"/>
      <c r="J1681"/>
      <c r="K1681"/>
      <c r="L1681"/>
      <c r="M1681"/>
      <c r="N1681"/>
      <c r="O1681"/>
    </row>
    <row r="1682" spans="1:15" hidden="1" x14ac:dyDescent="0.25">
      <c r="A1682" t="s">
        <v>102</v>
      </c>
      <c r="B1682" t="s">
        <v>117</v>
      </c>
      <c r="C1682" t="b">
        <v>0</v>
      </c>
      <c r="D1682" s="1">
        <v>38322</v>
      </c>
      <c r="E1682" s="2">
        <v>-61</v>
      </c>
      <c r="F1682"/>
      <c r="G1682"/>
      <c r="H1682"/>
      <c r="I1682"/>
      <c r="J1682"/>
      <c r="K1682"/>
      <c r="L1682"/>
      <c r="M1682"/>
      <c r="N1682"/>
      <c r="O1682"/>
    </row>
    <row r="1683" spans="1:15" hidden="1" x14ac:dyDescent="0.25">
      <c r="A1683" t="s">
        <v>103</v>
      </c>
      <c r="B1683" t="s">
        <v>117</v>
      </c>
      <c r="C1683" t="b">
        <v>0</v>
      </c>
      <c r="D1683" s="1">
        <v>38322</v>
      </c>
      <c r="E1683" s="2">
        <v>-5</v>
      </c>
      <c r="F1683"/>
      <c r="G1683"/>
      <c r="H1683"/>
      <c r="I1683"/>
      <c r="J1683"/>
      <c r="K1683"/>
      <c r="L1683"/>
      <c r="M1683"/>
      <c r="N1683"/>
      <c r="O1683"/>
    </row>
    <row r="1684" spans="1:15" hidden="1" x14ac:dyDescent="0.25">
      <c r="A1684" t="s">
        <v>11</v>
      </c>
      <c r="B1684" t="s">
        <v>115</v>
      </c>
      <c r="C1684" t="b">
        <v>0</v>
      </c>
      <c r="D1684" s="1">
        <v>38322</v>
      </c>
      <c r="E1684">
        <v>3</v>
      </c>
      <c r="F1684"/>
      <c r="G1684"/>
      <c r="H1684"/>
      <c r="I1684"/>
      <c r="J1684"/>
      <c r="K1684"/>
      <c r="L1684"/>
      <c r="M1684"/>
      <c r="N1684"/>
      <c r="O1684"/>
    </row>
    <row r="1685" spans="1:15" hidden="1" x14ac:dyDescent="0.25">
      <c r="A1685" t="s">
        <v>14</v>
      </c>
      <c r="B1685" t="s">
        <v>115</v>
      </c>
      <c r="C1685" t="b">
        <v>0</v>
      </c>
      <c r="D1685" s="1">
        <v>38322</v>
      </c>
      <c r="E1685">
        <v>3</v>
      </c>
      <c r="F1685"/>
      <c r="G1685"/>
      <c r="H1685"/>
      <c r="I1685"/>
      <c r="J1685"/>
      <c r="K1685"/>
      <c r="L1685"/>
      <c r="M1685"/>
      <c r="N1685"/>
      <c r="O1685"/>
    </row>
    <row r="1686" spans="1:15" hidden="1" x14ac:dyDescent="0.25">
      <c r="A1686" t="s">
        <v>18</v>
      </c>
      <c r="B1686" t="s">
        <v>115</v>
      </c>
      <c r="C1686" t="b">
        <v>0</v>
      </c>
      <c r="D1686" s="1">
        <v>38322</v>
      </c>
      <c r="E1686">
        <v>3</v>
      </c>
      <c r="F1686"/>
      <c r="G1686"/>
      <c r="H1686"/>
      <c r="I1686"/>
      <c r="J1686"/>
      <c r="K1686"/>
      <c r="L1686"/>
      <c r="M1686"/>
      <c r="N1686"/>
      <c r="O1686"/>
    </row>
    <row r="1687" spans="1:15" hidden="1" x14ac:dyDescent="0.25">
      <c r="A1687" t="s">
        <v>106</v>
      </c>
      <c r="B1687" t="s">
        <v>115</v>
      </c>
      <c r="C1687" t="b">
        <v>0</v>
      </c>
      <c r="D1687" s="1">
        <v>38322</v>
      </c>
      <c r="E1687">
        <v>3</v>
      </c>
      <c r="F1687"/>
      <c r="G1687"/>
      <c r="H1687"/>
      <c r="I1687"/>
      <c r="J1687"/>
      <c r="K1687"/>
      <c r="L1687"/>
      <c r="M1687"/>
      <c r="N1687"/>
      <c r="O1687"/>
    </row>
    <row r="1688" spans="1:15" hidden="1" x14ac:dyDescent="0.25">
      <c r="A1688" t="s">
        <v>106</v>
      </c>
      <c r="B1688" t="s">
        <v>115</v>
      </c>
      <c r="C1688" t="b">
        <v>0</v>
      </c>
      <c r="D1688" s="1">
        <v>38322</v>
      </c>
      <c r="E1688">
        <v>3</v>
      </c>
      <c r="F1688"/>
      <c r="G1688"/>
      <c r="H1688"/>
      <c r="I1688"/>
      <c r="J1688"/>
      <c r="K1688"/>
      <c r="L1688"/>
      <c r="M1688"/>
      <c r="N1688"/>
      <c r="O1688"/>
    </row>
    <row r="1689" spans="1:15" hidden="1" x14ac:dyDescent="0.25">
      <c r="A1689" t="s">
        <v>106</v>
      </c>
      <c r="B1689" t="s">
        <v>115</v>
      </c>
      <c r="C1689" t="b">
        <v>0</v>
      </c>
      <c r="D1689" s="1">
        <v>38322</v>
      </c>
      <c r="E1689">
        <v>3</v>
      </c>
      <c r="F1689"/>
      <c r="G1689"/>
      <c r="H1689"/>
      <c r="I1689"/>
      <c r="J1689"/>
      <c r="K1689"/>
      <c r="L1689"/>
      <c r="M1689"/>
      <c r="N1689"/>
      <c r="O1689"/>
    </row>
    <row r="1690" spans="1:15" hidden="1" x14ac:dyDescent="0.25">
      <c r="A1690" t="s">
        <v>106</v>
      </c>
      <c r="B1690" t="s">
        <v>115</v>
      </c>
      <c r="C1690" t="b">
        <v>0</v>
      </c>
      <c r="D1690" s="1">
        <v>38322</v>
      </c>
      <c r="E1690">
        <v>3</v>
      </c>
      <c r="F1690"/>
      <c r="G1690"/>
      <c r="H1690"/>
      <c r="I1690"/>
      <c r="J1690"/>
      <c r="K1690"/>
      <c r="L1690"/>
      <c r="M1690"/>
      <c r="N1690"/>
      <c r="O1690"/>
    </row>
    <row r="1691" spans="1:15" hidden="1" x14ac:dyDescent="0.25">
      <c r="A1691" t="s">
        <v>106</v>
      </c>
      <c r="B1691" t="s">
        <v>115</v>
      </c>
      <c r="C1691" t="b">
        <v>0</v>
      </c>
      <c r="D1691" s="1">
        <v>38322</v>
      </c>
      <c r="E1691">
        <v>3</v>
      </c>
      <c r="F1691"/>
      <c r="G1691"/>
      <c r="H1691"/>
      <c r="I1691"/>
      <c r="J1691"/>
      <c r="K1691"/>
      <c r="L1691"/>
      <c r="M1691"/>
      <c r="N1691"/>
      <c r="O1691"/>
    </row>
    <row r="1692" spans="1:15" hidden="1" x14ac:dyDescent="0.25">
      <c r="A1692" t="s">
        <v>106</v>
      </c>
      <c r="B1692" t="s">
        <v>115</v>
      </c>
      <c r="C1692" t="b">
        <v>0</v>
      </c>
      <c r="D1692" s="1">
        <v>38322</v>
      </c>
      <c r="E1692">
        <v>3</v>
      </c>
      <c r="F1692"/>
      <c r="G1692"/>
      <c r="H1692"/>
      <c r="I1692"/>
      <c r="J1692"/>
      <c r="K1692"/>
      <c r="L1692"/>
      <c r="M1692"/>
      <c r="N1692"/>
      <c r="O1692"/>
    </row>
    <row r="1693" spans="1:15" hidden="1" x14ac:dyDescent="0.25">
      <c r="A1693" t="s">
        <v>106</v>
      </c>
      <c r="B1693" t="s">
        <v>115</v>
      </c>
      <c r="C1693" t="b">
        <v>0</v>
      </c>
      <c r="D1693" s="1">
        <v>38322</v>
      </c>
      <c r="E1693">
        <v>3</v>
      </c>
      <c r="F1693"/>
      <c r="G1693"/>
      <c r="H1693"/>
      <c r="I1693"/>
      <c r="J1693"/>
      <c r="K1693"/>
      <c r="L1693"/>
      <c r="M1693"/>
      <c r="N1693"/>
      <c r="O1693"/>
    </row>
    <row r="1694" spans="1:15" hidden="1" x14ac:dyDescent="0.25">
      <c r="A1694" t="s">
        <v>106</v>
      </c>
      <c r="B1694" t="s">
        <v>115</v>
      </c>
      <c r="C1694" t="b">
        <v>0</v>
      </c>
      <c r="D1694" s="1">
        <v>38322</v>
      </c>
      <c r="E1694">
        <v>3</v>
      </c>
      <c r="F1694"/>
      <c r="G1694"/>
      <c r="H1694"/>
      <c r="I1694"/>
      <c r="J1694"/>
      <c r="K1694"/>
      <c r="L1694"/>
      <c r="M1694"/>
      <c r="N1694"/>
      <c r="O1694"/>
    </row>
    <row r="1695" spans="1:15" hidden="1" x14ac:dyDescent="0.25">
      <c r="A1695" t="s">
        <v>106</v>
      </c>
      <c r="B1695" t="s">
        <v>115</v>
      </c>
      <c r="C1695" t="b">
        <v>0</v>
      </c>
      <c r="D1695" s="1">
        <v>38322</v>
      </c>
      <c r="E1695">
        <v>3</v>
      </c>
      <c r="F1695"/>
      <c r="G1695"/>
      <c r="H1695"/>
      <c r="I1695"/>
      <c r="J1695"/>
      <c r="K1695"/>
      <c r="L1695"/>
      <c r="M1695"/>
      <c r="N1695"/>
      <c r="O1695"/>
    </row>
    <row r="1696" spans="1:15" hidden="1" x14ac:dyDescent="0.25">
      <c r="A1696" t="s">
        <v>106</v>
      </c>
      <c r="B1696" t="s">
        <v>115</v>
      </c>
      <c r="C1696" t="b">
        <v>0</v>
      </c>
      <c r="D1696" s="1">
        <v>38322</v>
      </c>
      <c r="E1696">
        <v>3</v>
      </c>
      <c r="F1696"/>
      <c r="G1696"/>
      <c r="H1696"/>
      <c r="I1696"/>
      <c r="J1696"/>
      <c r="K1696"/>
      <c r="L1696"/>
      <c r="M1696"/>
      <c r="N1696"/>
      <c r="O1696"/>
    </row>
    <row r="1697" spans="1:15" hidden="1" x14ac:dyDescent="0.25">
      <c r="A1697" t="s">
        <v>106</v>
      </c>
      <c r="B1697" t="s">
        <v>115</v>
      </c>
      <c r="C1697" t="b">
        <v>0</v>
      </c>
      <c r="D1697" s="1">
        <v>38322</v>
      </c>
      <c r="E1697">
        <v>3</v>
      </c>
      <c r="F1697"/>
      <c r="G1697"/>
      <c r="H1697"/>
      <c r="I1697"/>
      <c r="J1697"/>
      <c r="K1697"/>
      <c r="L1697"/>
      <c r="M1697"/>
      <c r="N1697"/>
      <c r="O1697"/>
    </row>
    <row r="1698" spans="1:15" hidden="1" x14ac:dyDescent="0.25">
      <c r="A1698" t="s">
        <v>106</v>
      </c>
      <c r="B1698" t="s">
        <v>115</v>
      </c>
      <c r="C1698" t="b">
        <v>0</v>
      </c>
      <c r="D1698" s="1">
        <v>38322</v>
      </c>
      <c r="E1698">
        <v>3</v>
      </c>
      <c r="F1698"/>
      <c r="G1698"/>
      <c r="H1698"/>
      <c r="I1698"/>
      <c r="J1698"/>
      <c r="K1698"/>
      <c r="L1698"/>
      <c r="M1698"/>
      <c r="N1698"/>
      <c r="O1698"/>
    </row>
    <row r="1699" spans="1:15" hidden="1" x14ac:dyDescent="0.25">
      <c r="A1699" t="s">
        <v>106</v>
      </c>
      <c r="B1699" t="s">
        <v>115</v>
      </c>
      <c r="C1699" t="b">
        <v>0</v>
      </c>
      <c r="D1699" s="1">
        <v>38322</v>
      </c>
      <c r="E1699">
        <v>3</v>
      </c>
      <c r="F1699"/>
      <c r="G1699"/>
      <c r="H1699"/>
      <c r="I1699"/>
      <c r="J1699"/>
      <c r="K1699"/>
      <c r="L1699"/>
      <c r="M1699"/>
      <c r="N1699"/>
      <c r="O1699"/>
    </row>
    <row r="1700" spans="1:15" hidden="1" x14ac:dyDescent="0.25">
      <c r="A1700" t="s">
        <v>106</v>
      </c>
      <c r="B1700" t="s">
        <v>115</v>
      </c>
      <c r="C1700" t="b">
        <v>0</v>
      </c>
      <c r="D1700" s="1">
        <v>38322</v>
      </c>
      <c r="E1700">
        <v>3</v>
      </c>
      <c r="F1700"/>
      <c r="G1700"/>
      <c r="H1700"/>
      <c r="I1700"/>
      <c r="J1700"/>
      <c r="K1700"/>
      <c r="L1700"/>
      <c r="M1700"/>
      <c r="N1700"/>
      <c r="O1700"/>
    </row>
    <row r="1701" spans="1:15" hidden="1" x14ac:dyDescent="0.25">
      <c r="A1701" t="s">
        <v>106</v>
      </c>
      <c r="B1701" t="s">
        <v>115</v>
      </c>
      <c r="C1701" t="b">
        <v>0</v>
      </c>
      <c r="D1701" s="1">
        <v>38322</v>
      </c>
      <c r="E1701">
        <v>3</v>
      </c>
      <c r="F1701"/>
      <c r="G1701"/>
      <c r="H1701"/>
      <c r="I1701"/>
      <c r="J1701"/>
      <c r="K1701"/>
      <c r="L1701"/>
      <c r="M1701"/>
      <c r="N1701"/>
      <c r="O1701"/>
    </row>
    <row r="1702" spans="1:15" hidden="1" x14ac:dyDescent="0.25">
      <c r="A1702" t="s">
        <v>106</v>
      </c>
      <c r="B1702" t="s">
        <v>115</v>
      </c>
      <c r="C1702" t="b">
        <v>0</v>
      </c>
      <c r="D1702" s="1">
        <v>38322</v>
      </c>
      <c r="E1702">
        <v>3</v>
      </c>
      <c r="F1702"/>
      <c r="G1702"/>
      <c r="H1702"/>
      <c r="I1702"/>
      <c r="J1702"/>
      <c r="K1702"/>
      <c r="L1702"/>
      <c r="M1702"/>
      <c r="N1702"/>
      <c r="O1702"/>
    </row>
    <row r="1703" spans="1:15" hidden="1" x14ac:dyDescent="0.25">
      <c r="A1703" t="s">
        <v>106</v>
      </c>
      <c r="B1703" t="s">
        <v>115</v>
      </c>
      <c r="C1703" t="b">
        <v>0</v>
      </c>
      <c r="D1703" s="1">
        <v>38322</v>
      </c>
      <c r="E1703">
        <v>3</v>
      </c>
      <c r="F1703"/>
      <c r="G1703"/>
      <c r="H1703"/>
      <c r="I1703"/>
      <c r="J1703"/>
      <c r="K1703"/>
      <c r="L1703"/>
      <c r="M1703"/>
      <c r="N1703"/>
      <c r="O1703"/>
    </row>
    <row r="1704" spans="1:15" hidden="1" x14ac:dyDescent="0.25">
      <c r="A1704" t="s">
        <v>106</v>
      </c>
      <c r="B1704" t="s">
        <v>115</v>
      </c>
      <c r="C1704" t="b">
        <v>0</v>
      </c>
      <c r="D1704" s="1">
        <v>38322</v>
      </c>
      <c r="E1704">
        <v>3</v>
      </c>
      <c r="F1704"/>
      <c r="G1704"/>
      <c r="H1704"/>
      <c r="I1704"/>
      <c r="J1704"/>
      <c r="K1704"/>
      <c r="L1704"/>
      <c r="M1704"/>
      <c r="N1704"/>
      <c r="O1704"/>
    </row>
    <row r="1705" spans="1:15" hidden="1" x14ac:dyDescent="0.25">
      <c r="A1705" t="s">
        <v>106</v>
      </c>
      <c r="B1705" t="s">
        <v>115</v>
      </c>
      <c r="C1705" t="b">
        <v>0</v>
      </c>
      <c r="D1705" s="1">
        <v>38322</v>
      </c>
      <c r="E1705">
        <v>3</v>
      </c>
      <c r="F1705"/>
      <c r="G1705"/>
      <c r="H1705"/>
      <c r="I1705"/>
      <c r="J1705"/>
      <c r="K1705"/>
      <c r="L1705"/>
      <c r="M1705"/>
      <c r="N1705"/>
      <c r="O1705"/>
    </row>
    <row r="1706" spans="1:15" hidden="1" x14ac:dyDescent="0.25">
      <c r="A1706" t="s">
        <v>106</v>
      </c>
      <c r="B1706" t="s">
        <v>115</v>
      </c>
      <c r="C1706" t="b">
        <v>0</v>
      </c>
      <c r="D1706" s="1">
        <v>38322</v>
      </c>
      <c r="E1706">
        <v>3</v>
      </c>
      <c r="F1706"/>
      <c r="G1706"/>
      <c r="H1706"/>
      <c r="I1706"/>
      <c r="J1706"/>
      <c r="K1706"/>
      <c r="L1706"/>
      <c r="M1706"/>
      <c r="N1706"/>
      <c r="O1706"/>
    </row>
    <row r="1707" spans="1:15" hidden="1" x14ac:dyDescent="0.25">
      <c r="A1707" t="s">
        <v>30</v>
      </c>
      <c r="B1707" t="s">
        <v>115</v>
      </c>
      <c r="C1707" t="b">
        <v>0</v>
      </c>
      <c r="D1707" s="1">
        <v>38322</v>
      </c>
      <c r="E1707">
        <v>3</v>
      </c>
      <c r="F1707"/>
      <c r="G1707"/>
      <c r="H1707"/>
      <c r="I1707"/>
      <c r="J1707"/>
      <c r="K1707"/>
      <c r="L1707"/>
      <c r="M1707"/>
      <c r="N1707"/>
      <c r="O1707"/>
    </row>
    <row r="1708" spans="1:15" hidden="1" x14ac:dyDescent="0.25">
      <c r="A1708" t="s">
        <v>39</v>
      </c>
      <c r="B1708" t="s">
        <v>115</v>
      </c>
      <c r="C1708" t="b">
        <v>0</v>
      </c>
      <c r="D1708" s="1">
        <v>38322</v>
      </c>
      <c r="E1708">
        <v>3</v>
      </c>
      <c r="F1708"/>
      <c r="G1708"/>
      <c r="H1708"/>
      <c r="I1708"/>
      <c r="J1708"/>
      <c r="K1708"/>
      <c r="L1708"/>
      <c r="M1708"/>
      <c r="N1708"/>
      <c r="O1708"/>
    </row>
    <row r="1709" spans="1:15" hidden="1" x14ac:dyDescent="0.25">
      <c r="A1709" t="s">
        <v>57</v>
      </c>
      <c r="B1709" t="s">
        <v>115</v>
      </c>
      <c r="C1709" t="b">
        <v>0</v>
      </c>
      <c r="D1709" s="1">
        <v>38322</v>
      </c>
      <c r="E1709">
        <v>3</v>
      </c>
      <c r="F1709"/>
      <c r="G1709"/>
      <c r="H1709"/>
      <c r="I1709"/>
      <c r="J1709"/>
      <c r="K1709"/>
      <c r="L1709"/>
      <c r="M1709"/>
      <c r="N1709"/>
      <c r="O1709"/>
    </row>
    <row r="1710" spans="1:15" hidden="1" x14ac:dyDescent="0.25">
      <c r="A1710" t="s">
        <v>69</v>
      </c>
      <c r="B1710" t="s">
        <v>115</v>
      </c>
      <c r="C1710" t="b">
        <v>0</v>
      </c>
      <c r="D1710" s="1">
        <v>38322</v>
      </c>
      <c r="E1710">
        <v>3</v>
      </c>
      <c r="F1710"/>
      <c r="G1710"/>
      <c r="H1710"/>
      <c r="I1710"/>
      <c r="J1710"/>
      <c r="K1710"/>
      <c r="L1710"/>
      <c r="M1710"/>
      <c r="N1710"/>
      <c r="O1710"/>
    </row>
    <row r="1711" spans="1:15" hidden="1" x14ac:dyDescent="0.25">
      <c r="A1711" t="s">
        <v>86</v>
      </c>
      <c r="B1711" t="s">
        <v>115</v>
      </c>
      <c r="C1711" t="b">
        <v>0</v>
      </c>
      <c r="D1711" s="1">
        <v>38322</v>
      </c>
      <c r="E1711">
        <v>3</v>
      </c>
      <c r="F1711"/>
      <c r="G1711"/>
      <c r="H1711"/>
      <c r="I1711"/>
      <c r="J1711"/>
      <c r="K1711"/>
      <c r="L1711"/>
      <c r="M1711"/>
      <c r="N1711"/>
      <c r="O1711"/>
    </row>
    <row r="1712" spans="1:15" hidden="1" x14ac:dyDescent="0.25">
      <c r="A1712" t="s">
        <v>90</v>
      </c>
      <c r="B1712" t="s">
        <v>115</v>
      </c>
      <c r="C1712" t="b">
        <v>0</v>
      </c>
      <c r="D1712" s="1">
        <v>38322</v>
      </c>
      <c r="E1712">
        <v>3</v>
      </c>
      <c r="F1712"/>
      <c r="G1712"/>
      <c r="H1712"/>
      <c r="I1712"/>
      <c r="J1712"/>
      <c r="K1712"/>
      <c r="L1712"/>
      <c r="M1712"/>
      <c r="N1712"/>
      <c r="O1712"/>
    </row>
    <row r="1713" spans="1:15" hidden="1" x14ac:dyDescent="0.25">
      <c r="A1713" t="s">
        <v>99</v>
      </c>
      <c r="B1713" t="s">
        <v>114</v>
      </c>
      <c r="C1713" t="b">
        <v>0</v>
      </c>
      <c r="D1713" s="1">
        <v>38322</v>
      </c>
      <c r="E1713">
        <v>13.28</v>
      </c>
      <c r="F1713"/>
      <c r="G1713"/>
      <c r="H1713"/>
      <c r="I1713"/>
      <c r="J1713"/>
      <c r="K1713"/>
      <c r="L1713"/>
      <c r="M1713"/>
      <c r="N1713"/>
      <c r="O1713"/>
    </row>
    <row r="1714" spans="1:15" hidden="1" x14ac:dyDescent="0.25">
      <c r="A1714" t="s">
        <v>100</v>
      </c>
      <c r="B1714" t="s">
        <v>117</v>
      </c>
      <c r="C1714" t="b">
        <v>0</v>
      </c>
      <c r="D1714" s="1">
        <v>38353</v>
      </c>
      <c r="E1714" s="2">
        <v>-38</v>
      </c>
      <c r="F1714"/>
      <c r="G1714"/>
      <c r="H1714"/>
      <c r="I1714"/>
      <c r="J1714"/>
      <c r="K1714"/>
      <c r="L1714"/>
      <c r="M1714"/>
      <c r="N1714"/>
      <c r="O1714"/>
    </row>
    <row r="1715" spans="1:15" hidden="1" x14ac:dyDescent="0.25">
      <c r="A1715" t="s">
        <v>102</v>
      </c>
      <c r="B1715" t="s">
        <v>117</v>
      </c>
      <c r="C1715" t="b">
        <v>0</v>
      </c>
      <c r="D1715" s="1">
        <v>38353</v>
      </c>
      <c r="E1715" s="2">
        <v>-17</v>
      </c>
      <c r="F1715"/>
      <c r="G1715"/>
      <c r="H1715"/>
      <c r="I1715"/>
      <c r="J1715"/>
      <c r="K1715"/>
      <c r="L1715"/>
      <c r="M1715"/>
      <c r="N1715"/>
      <c r="O1715"/>
    </row>
    <row r="1716" spans="1:15" hidden="1" x14ac:dyDescent="0.25">
      <c r="A1716" t="s">
        <v>103</v>
      </c>
      <c r="B1716" t="s">
        <v>117</v>
      </c>
      <c r="C1716" t="b">
        <v>0</v>
      </c>
      <c r="D1716" s="1">
        <v>38353</v>
      </c>
      <c r="E1716" s="2">
        <v>-5</v>
      </c>
      <c r="F1716"/>
      <c r="G1716"/>
      <c r="H1716"/>
      <c r="I1716"/>
      <c r="J1716"/>
      <c r="K1716"/>
      <c r="L1716"/>
      <c r="M1716"/>
      <c r="N1716"/>
      <c r="O1716"/>
    </row>
    <row r="1717" spans="1:15" hidden="1" x14ac:dyDescent="0.25">
      <c r="A1717" t="s">
        <v>14</v>
      </c>
      <c r="B1717" t="s">
        <v>115</v>
      </c>
      <c r="C1717" t="b">
        <v>0</v>
      </c>
      <c r="D1717" s="1">
        <v>38353</v>
      </c>
      <c r="E1717">
        <v>3</v>
      </c>
      <c r="F1717"/>
      <c r="G1717"/>
      <c r="H1717"/>
      <c r="I1717"/>
      <c r="J1717"/>
      <c r="K1717"/>
      <c r="L1717"/>
      <c r="M1717"/>
      <c r="N1717"/>
      <c r="O1717"/>
    </row>
    <row r="1718" spans="1:15" hidden="1" x14ac:dyDescent="0.25">
      <c r="A1718" t="s">
        <v>18</v>
      </c>
      <c r="B1718" t="s">
        <v>115</v>
      </c>
      <c r="C1718" t="b">
        <v>0</v>
      </c>
      <c r="D1718" s="1">
        <v>38353</v>
      </c>
      <c r="E1718">
        <v>3</v>
      </c>
      <c r="F1718"/>
      <c r="G1718"/>
      <c r="H1718"/>
      <c r="I1718"/>
      <c r="J1718"/>
      <c r="K1718"/>
      <c r="L1718"/>
      <c r="M1718"/>
      <c r="N1718"/>
      <c r="O1718"/>
    </row>
    <row r="1719" spans="1:15" hidden="1" x14ac:dyDescent="0.25">
      <c r="A1719" t="s">
        <v>106</v>
      </c>
      <c r="B1719" t="s">
        <v>115</v>
      </c>
      <c r="C1719" t="b">
        <v>0</v>
      </c>
      <c r="D1719" s="1">
        <v>38353</v>
      </c>
      <c r="E1719">
        <v>3</v>
      </c>
      <c r="F1719"/>
      <c r="G1719"/>
      <c r="H1719"/>
      <c r="I1719"/>
      <c r="J1719"/>
      <c r="K1719"/>
      <c r="L1719"/>
      <c r="M1719"/>
      <c r="N1719"/>
      <c r="O1719"/>
    </row>
    <row r="1720" spans="1:15" hidden="1" x14ac:dyDescent="0.25">
      <c r="A1720" t="s">
        <v>106</v>
      </c>
      <c r="B1720" t="s">
        <v>115</v>
      </c>
      <c r="C1720" t="b">
        <v>0</v>
      </c>
      <c r="D1720" s="1">
        <v>38353</v>
      </c>
      <c r="E1720">
        <v>3</v>
      </c>
      <c r="F1720"/>
      <c r="G1720"/>
      <c r="H1720"/>
      <c r="I1720"/>
      <c r="J1720"/>
      <c r="K1720"/>
      <c r="L1720"/>
      <c r="M1720"/>
      <c r="N1720"/>
      <c r="O1720"/>
    </row>
    <row r="1721" spans="1:15" hidden="1" x14ac:dyDescent="0.25">
      <c r="A1721" t="s">
        <v>106</v>
      </c>
      <c r="B1721" t="s">
        <v>115</v>
      </c>
      <c r="C1721" t="b">
        <v>0</v>
      </c>
      <c r="D1721" s="1">
        <v>38353</v>
      </c>
      <c r="E1721">
        <v>3</v>
      </c>
      <c r="F1721"/>
      <c r="G1721"/>
      <c r="H1721"/>
      <c r="I1721"/>
      <c r="J1721"/>
      <c r="K1721"/>
      <c r="L1721"/>
      <c r="M1721"/>
      <c r="N1721"/>
      <c r="O1721"/>
    </row>
    <row r="1722" spans="1:15" hidden="1" x14ac:dyDescent="0.25">
      <c r="A1722" t="s">
        <v>106</v>
      </c>
      <c r="B1722" t="s">
        <v>115</v>
      </c>
      <c r="C1722" t="b">
        <v>0</v>
      </c>
      <c r="D1722" s="1">
        <v>38353</v>
      </c>
      <c r="E1722">
        <v>3</v>
      </c>
      <c r="F1722"/>
      <c r="G1722"/>
      <c r="H1722"/>
      <c r="I1722"/>
      <c r="J1722"/>
      <c r="K1722"/>
      <c r="L1722"/>
      <c r="M1722"/>
      <c r="N1722"/>
      <c r="O1722"/>
    </row>
    <row r="1723" spans="1:15" hidden="1" x14ac:dyDescent="0.25">
      <c r="A1723" t="s">
        <v>106</v>
      </c>
      <c r="B1723" t="s">
        <v>115</v>
      </c>
      <c r="C1723" t="b">
        <v>0</v>
      </c>
      <c r="D1723" s="1">
        <v>38353</v>
      </c>
      <c r="E1723">
        <v>3</v>
      </c>
      <c r="F1723"/>
      <c r="G1723"/>
      <c r="H1723"/>
      <c r="I1723"/>
      <c r="J1723"/>
      <c r="K1723"/>
      <c r="L1723"/>
      <c r="M1723"/>
      <c r="N1723"/>
      <c r="O1723"/>
    </row>
    <row r="1724" spans="1:15" hidden="1" x14ac:dyDescent="0.25">
      <c r="A1724" t="s">
        <v>106</v>
      </c>
      <c r="B1724" t="s">
        <v>115</v>
      </c>
      <c r="C1724" t="b">
        <v>0</v>
      </c>
      <c r="D1724" s="1">
        <v>38353</v>
      </c>
      <c r="E1724">
        <v>3</v>
      </c>
      <c r="F1724"/>
      <c r="G1724"/>
      <c r="H1724"/>
      <c r="I1724"/>
      <c r="J1724"/>
      <c r="K1724"/>
      <c r="L1724"/>
      <c r="M1724"/>
      <c r="N1724"/>
      <c r="O1724"/>
    </row>
    <row r="1725" spans="1:15" hidden="1" x14ac:dyDescent="0.25">
      <c r="A1725" t="s">
        <v>106</v>
      </c>
      <c r="B1725" t="s">
        <v>115</v>
      </c>
      <c r="C1725" t="b">
        <v>0</v>
      </c>
      <c r="D1725" s="1">
        <v>38353</v>
      </c>
      <c r="E1725">
        <v>3</v>
      </c>
      <c r="F1725"/>
      <c r="G1725"/>
      <c r="H1725"/>
      <c r="I1725"/>
      <c r="J1725"/>
      <c r="K1725"/>
      <c r="L1725"/>
      <c r="M1725"/>
      <c r="N1725"/>
      <c r="O1725"/>
    </row>
    <row r="1726" spans="1:15" hidden="1" x14ac:dyDescent="0.25">
      <c r="A1726" t="s">
        <v>106</v>
      </c>
      <c r="B1726" t="s">
        <v>115</v>
      </c>
      <c r="C1726" t="b">
        <v>0</v>
      </c>
      <c r="D1726" s="1">
        <v>38353</v>
      </c>
      <c r="E1726">
        <v>3</v>
      </c>
      <c r="F1726"/>
      <c r="G1726"/>
      <c r="H1726"/>
      <c r="I1726"/>
      <c r="J1726"/>
      <c r="K1726"/>
      <c r="L1726"/>
      <c r="M1726"/>
      <c r="N1726"/>
      <c r="O1726"/>
    </row>
    <row r="1727" spans="1:15" hidden="1" x14ac:dyDescent="0.25">
      <c r="A1727" t="s">
        <v>106</v>
      </c>
      <c r="B1727" t="s">
        <v>115</v>
      </c>
      <c r="C1727" t="b">
        <v>0</v>
      </c>
      <c r="D1727" s="1">
        <v>38353</v>
      </c>
      <c r="E1727">
        <v>3</v>
      </c>
      <c r="F1727"/>
      <c r="G1727"/>
      <c r="H1727"/>
      <c r="I1727"/>
      <c r="J1727"/>
      <c r="K1727"/>
      <c r="L1727"/>
      <c r="M1727"/>
      <c r="N1727"/>
      <c r="O1727"/>
    </row>
    <row r="1728" spans="1:15" hidden="1" x14ac:dyDescent="0.25">
      <c r="A1728" t="s">
        <v>106</v>
      </c>
      <c r="B1728" t="s">
        <v>115</v>
      </c>
      <c r="C1728" t="b">
        <v>0</v>
      </c>
      <c r="D1728" s="1">
        <v>38353</v>
      </c>
      <c r="E1728">
        <v>3</v>
      </c>
      <c r="F1728"/>
      <c r="G1728"/>
      <c r="H1728"/>
      <c r="I1728"/>
      <c r="J1728"/>
      <c r="K1728"/>
      <c r="L1728"/>
      <c r="M1728"/>
      <c r="N1728"/>
      <c r="O1728"/>
    </row>
    <row r="1729" spans="1:15" hidden="1" x14ac:dyDescent="0.25">
      <c r="A1729" t="s">
        <v>106</v>
      </c>
      <c r="B1729" t="s">
        <v>115</v>
      </c>
      <c r="C1729" t="b">
        <v>0</v>
      </c>
      <c r="D1729" s="1">
        <v>38353</v>
      </c>
      <c r="E1729">
        <v>3</v>
      </c>
      <c r="F1729"/>
      <c r="G1729"/>
      <c r="H1729"/>
      <c r="I1729"/>
      <c r="J1729"/>
      <c r="K1729"/>
      <c r="L1729"/>
      <c r="M1729"/>
      <c r="N1729"/>
      <c r="O1729"/>
    </row>
    <row r="1730" spans="1:15" hidden="1" x14ac:dyDescent="0.25">
      <c r="A1730" t="s">
        <v>106</v>
      </c>
      <c r="B1730" t="s">
        <v>115</v>
      </c>
      <c r="C1730" t="b">
        <v>0</v>
      </c>
      <c r="D1730" s="1">
        <v>38353</v>
      </c>
      <c r="E1730">
        <v>3</v>
      </c>
      <c r="F1730"/>
      <c r="G1730"/>
      <c r="H1730"/>
      <c r="I1730"/>
      <c r="J1730"/>
      <c r="K1730"/>
      <c r="L1730"/>
      <c r="M1730"/>
      <c r="N1730"/>
      <c r="O1730"/>
    </row>
    <row r="1731" spans="1:15" hidden="1" x14ac:dyDescent="0.25">
      <c r="A1731" t="s">
        <v>106</v>
      </c>
      <c r="B1731" t="s">
        <v>115</v>
      </c>
      <c r="C1731" t="b">
        <v>0</v>
      </c>
      <c r="D1731" s="1">
        <v>38353</v>
      </c>
      <c r="E1731">
        <v>3</v>
      </c>
      <c r="F1731"/>
      <c r="G1731"/>
      <c r="H1731"/>
      <c r="I1731"/>
      <c r="J1731"/>
      <c r="K1731"/>
      <c r="L1731"/>
      <c r="M1731"/>
      <c r="N1731"/>
      <c r="O1731"/>
    </row>
    <row r="1732" spans="1:15" hidden="1" x14ac:dyDescent="0.25">
      <c r="A1732" t="s">
        <v>106</v>
      </c>
      <c r="B1732" t="s">
        <v>115</v>
      </c>
      <c r="C1732" t="b">
        <v>0</v>
      </c>
      <c r="D1732" s="1">
        <v>38353</v>
      </c>
      <c r="E1732">
        <v>3</v>
      </c>
      <c r="F1732"/>
      <c r="G1732"/>
      <c r="H1732"/>
      <c r="I1732"/>
      <c r="J1732"/>
      <c r="K1732"/>
      <c r="L1732"/>
      <c r="M1732"/>
      <c r="N1732"/>
      <c r="O1732"/>
    </row>
    <row r="1733" spans="1:15" hidden="1" x14ac:dyDescent="0.25">
      <c r="A1733" t="s">
        <v>106</v>
      </c>
      <c r="B1733" t="s">
        <v>115</v>
      </c>
      <c r="C1733" t="b">
        <v>0</v>
      </c>
      <c r="D1733" s="1">
        <v>38353</v>
      </c>
      <c r="E1733">
        <v>3</v>
      </c>
      <c r="F1733"/>
      <c r="G1733"/>
      <c r="H1733"/>
      <c r="I1733"/>
      <c r="J1733"/>
      <c r="K1733"/>
      <c r="L1733"/>
      <c r="M1733"/>
      <c r="N1733"/>
      <c r="O1733"/>
    </row>
    <row r="1734" spans="1:15" hidden="1" x14ac:dyDescent="0.25">
      <c r="A1734" t="s">
        <v>106</v>
      </c>
      <c r="B1734" t="s">
        <v>115</v>
      </c>
      <c r="C1734" t="b">
        <v>0</v>
      </c>
      <c r="D1734" s="1">
        <v>38353</v>
      </c>
      <c r="E1734">
        <v>3</v>
      </c>
      <c r="F1734"/>
      <c r="G1734"/>
      <c r="H1734"/>
      <c r="I1734"/>
      <c r="J1734"/>
      <c r="K1734"/>
      <c r="L1734"/>
      <c r="M1734"/>
      <c r="N1734"/>
      <c r="O1734"/>
    </row>
    <row r="1735" spans="1:15" hidden="1" x14ac:dyDescent="0.25">
      <c r="A1735" t="s">
        <v>106</v>
      </c>
      <c r="B1735" t="s">
        <v>115</v>
      </c>
      <c r="C1735" t="b">
        <v>0</v>
      </c>
      <c r="D1735" s="1">
        <v>38353</v>
      </c>
      <c r="E1735">
        <v>3</v>
      </c>
      <c r="F1735"/>
      <c r="G1735"/>
      <c r="H1735"/>
      <c r="I1735"/>
      <c r="J1735"/>
      <c r="K1735"/>
      <c r="L1735"/>
      <c r="M1735"/>
      <c r="N1735"/>
      <c r="O1735"/>
    </row>
    <row r="1736" spans="1:15" hidden="1" x14ac:dyDescent="0.25">
      <c r="A1736" t="s">
        <v>106</v>
      </c>
      <c r="B1736" t="s">
        <v>115</v>
      </c>
      <c r="C1736" t="b">
        <v>0</v>
      </c>
      <c r="D1736" s="1">
        <v>38353</v>
      </c>
      <c r="E1736">
        <v>3</v>
      </c>
      <c r="F1736"/>
      <c r="G1736"/>
      <c r="H1736"/>
      <c r="I1736"/>
      <c r="J1736"/>
      <c r="K1736"/>
      <c r="L1736"/>
      <c r="M1736"/>
      <c r="N1736"/>
      <c r="O1736"/>
    </row>
    <row r="1737" spans="1:15" hidden="1" x14ac:dyDescent="0.25">
      <c r="A1737" t="s">
        <v>106</v>
      </c>
      <c r="B1737" t="s">
        <v>115</v>
      </c>
      <c r="C1737" t="b">
        <v>0</v>
      </c>
      <c r="D1737" s="1">
        <v>38353</v>
      </c>
      <c r="E1737">
        <v>3</v>
      </c>
      <c r="F1737"/>
      <c r="G1737"/>
      <c r="H1737"/>
      <c r="I1737"/>
      <c r="J1737"/>
      <c r="K1737"/>
      <c r="L1737"/>
      <c r="M1737"/>
      <c r="N1737"/>
      <c r="O1737"/>
    </row>
    <row r="1738" spans="1:15" hidden="1" x14ac:dyDescent="0.25">
      <c r="A1738" t="s">
        <v>106</v>
      </c>
      <c r="B1738" t="s">
        <v>115</v>
      </c>
      <c r="C1738" t="b">
        <v>0</v>
      </c>
      <c r="D1738" s="1">
        <v>38353</v>
      </c>
      <c r="E1738">
        <v>3</v>
      </c>
      <c r="F1738"/>
      <c r="G1738"/>
      <c r="H1738"/>
      <c r="I1738"/>
      <c r="J1738"/>
      <c r="K1738"/>
      <c r="L1738"/>
      <c r="M1738"/>
      <c r="N1738"/>
      <c r="O1738"/>
    </row>
    <row r="1739" spans="1:15" hidden="1" x14ac:dyDescent="0.25">
      <c r="A1739" t="s">
        <v>30</v>
      </c>
      <c r="B1739" t="s">
        <v>115</v>
      </c>
      <c r="C1739" t="b">
        <v>0</v>
      </c>
      <c r="D1739" s="1">
        <v>38353</v>
      </c>
      <c r="E1739">
        <v>3</v>
      </c>
      <c r="F1739"/>
      <c r="G1739"/>
      <c r="H1739"/>
      <c r="I1739"/>
      <c r="J1739"/>
      <c r="K1739"/>
      <c r="L1739"/>
      <c r="M1739"/>
      <c r="N1739"/>
      <c r="O1739"/>
    </row>
    <row r="1740" spans="1:15" hidden="1" x14ac:dyDescent="0.25">
      <c r="A1740" t="s">
        <v>39</v>
      </c>
      <c r="B1740" t="s">
        <v>115</v>
      </c>
      <c r="C1740" t="b">
        <v>0</v>
      </c>
      <c r="D1740" s="1">
        <v>38353</v>
      </c>
      <c r="E1740">
        <v>3</v>
      </c>
      <c r="F1740"/>
      <c r="G1740"/>
      <c r="H1740"/>
      <c r="I1740"/>
      <c r="J1740"/>
      <c r="K1740"/>
      <c r="L1740"/>
      <c r="M1740"/>
      <c r="N1740"/>
      <c r="O1740"/>
    </row>
    <row r="1741" spans="1:15" hidden="1" x14ac:dyDescent="0.25">
      <c r="A1741" t="s">
        <v>57</v>
      </c>
      <c r="B1741" t="s">
        <v>115</v>
      </c>
      <c r="C1741" t="b">
        <v>0</v>
      </c>
      <c r="D1741" s="1">
        <v>38353</v>
      </c>
      <c r="E1741">
        <v>3</v>
      </c>
      <c r="F1741"/>
      <c r="G1741"/>
      <c r="H1741"/>
      <c r="I1741"/>
      <c r="J1741"/>
      <c r="K1741"/>
      <c r="L1741"/>
      <c r="M1741"/>
      <c r="N1741"/>
      <c r="O1741"/>
    </row>
    <row r="1742" spans="1:15" hidden="1" x14ac:dyDescent="0.25">
      <c r="A1742" t="s">
        <v>69</v>
      </c>
      <c r="B1742" t="s">
        <v>115</v>
      </c>
      <c r="C1742" t="b">
        <v>0</v>
      </c>
      <c r="D1742" s="1">
        <v>38353</v>
      </c>
      <c r="E1742">
        <v>3</v>
      </c>
      <c r="F1742"/>
      <c r="G1742"/>
      <c r="H1742"/>
      <c r="I1742"/>
      <c r="J1742"/>
      <c r="K1742"/>
      <c r="L1742"/>
      <c r="M1742"/>
      <c r="N1742"/>
      <c r="O1742"/>
    </row>
    <row r="1743" spans="1:15" hidden="1" x14ac:dyDescent="0.25">
      <c r="A1743" t="s">
        <v>86</v>
      </c>
      <c r="B1743" t="s">
        <v>115</v>
      </c>
      <c r="C1743" t="b">
        <v>0</v>
      </c>
      <c r="D1743" s="1">
        <v>38353</v>
      </c>
      <c r="E1743">
        <v>3</v>
      </c>
      <c r="F1743"/>
      <c r="G1743"/>
      <c r="H1743"/>
      <c r="I1743"/>
      <c r="J1743"/>
      <c r="K1743"/>
      <c r="L1743"/>
      <c r="M1743"/>
      <c r="N1743"/>
      <c r="O1743"/>
    </row>
    <row r="1744" spans="1:15" hidden="1" x14ac:dyDescent="0.25">
      <c r="A1744" t="s">
        <v>90</v>
      </c>
      <c r="B1744" t="s">
        <v>115</v>
      </c>
      <c r="C1744" t="b">
        <v>0</v>
      </c>
      <c r="D1744" s="1">
        <v>38353</v>
      </c>
      <c r="E1744">
        <v>3</v>
      </c>
      <c r="F1744"/>
      <c r="G1744"/>
      <c r="H1744"/>
      <c r="I1744"/>
      <c r="J1744"/>
      <c r="K1744"/>
      <c r="L1744"/>
      <c r="M1744"/>
      <c r="N1744"/>
      <c r="O1744"/>
    </row>
    <row r="1745" spans="1:15" hidden="1" x14ac:dyDescent="0.25">
      <c r="A1745" t="s">
        <v>100</v>
      </c>
      <c r="B1745" t="s">
        <v>117</v>
      </c>
      <c r="C1745" t="b">
        <v>0</v>
      </c>
      <c r="D1745" s="1">
        <v>38384</v>
      </c>
      <c r="E1745" s="2">
        <v>-110</v>
      </c>
      <c r="F1745"/>
      <c r="G1745"/>
      <c r="H1745"/>
      <c r="I1745"/>
      <c r="J1745"/>
      <c r="K1745"/>
      <c r="L1745"/>
      <c r="M1745"/>
      <c r="N1745"/>
      <c r="O1745"/>
    </row>
    <row r="1746" spans="1:15" hidden="1" x14ac:dyDescent="0.25">
      <c r="A1746" t="s">
        <v>102</v>
      </c>
      <c r="B1746" t="s">
        <v>117</v>
      </c>
      <c r="C1746" t="b">
        <v>0</v>
      </c>
      <c r="D1746" s="1">
        <v>38384</v>
      </c>
      <c r="E1746" s="2">
        <v>-28</v>
      </c>
      <c r="F1746"/>
      <c r="G1746"/>
      <c r="H1746"/>
      <c r="I1746"/>
      <c r="J1746"/>
      <c r="K1746"/>
      <c r="L1746"/>
      <c r="M1746"/>
      <c r="N1746"/>
      <c r="O1746"/>
    </row>
    <row r="1747" spans="1:15" hidden="1" x14ac:dyDescent="0.25">
      <c r="A1747" t="s">
        <v>103</v>
      </c>
      <c r="B1747" t="s">
        <v>117</v>
      </c>
      <c r="C1747" t="b">
        <v>0</v>
      </c>
      <c r="D1747" s="1">
        <v>38384</v>
      </c>
      <c r="E1747" s="2">
        <v>-5</v>
      </c>
      <c r="F1747"/>
      <c r="G1747"/>
      <c r="H1747"/>
      <c r="I1747"/>
      <c r="J1747"/>
      <c r="K1747"/>
      <c r="L1747"/>
      <c r="M1747"/>
      <c r="N1747"/>
      <c r="O1747"/>
    </row>
    <row r="1748" spans="1:15" hidden="1" x14ac:dyDescent="0.25">
      <c r="A1748" t="s">
        <v>11</v>
      </c>
      <c r="B1748" t="s">
        <v>115</v>
      </c>
      <c r="C1748" t="b">
        <v>0</v>
      </c>
      <c r="D1748" s="1">
        <v>38384</v>
      </c>
      <c r="E1748">
        <v>3</v>
      </c>
      <c r="F1748"/>
      <c r="G1748"/>
      <c r="H1748"/>
      <c r="I1748"/>
      <c r="J1748"/>
      <c r="K1748"/>
      <c r="L1748"/>
      <c r="M1748"/>
      <c r="N1748"/>
      <c r="O1748"/>
    </row>
    <row r="1749" spans="1:15" hidden="1" x14ac:dyDescent="0.25">
      <c r="A1749" t="s">
        <v>14</v>
      </c>
      <c r="B1749" t="s">
        <v>115</v>
      </c>
      <c r="C1749" t="b">
        <v>0</v>
      </c>
      <c r="D1749" s="1">
        <v>38384</v>
      </c>
      <c r="E1749">
        <v>3</v>
      </c>
      <c r="F1749"/>
      <c r="G1749"/>
      <c r="H1749"/>
      <c r="I1749"/>
      <c r="J1749"/>
      <c r="K1749"/>
      <c r="L1749"/>
      <c r="M1749"/>
      <c r="N1749"/>
      <c r="O1749"/>
    </row>
    <row r="1750" spans="1:15" hidden="1" x14ac:dyDescent="0.25">
      <c r="A1750" t="s">
        <v>18</v>
      </c>
      <c r="B1750" t="s">
        <v>115</v>
      </c>
      <c r="C1750" t="b">
        <v>0</v>
      </c>
      <c r="D1750" s="1">
        <v>38384</v>
      </c>
      <c r="E1750">
        <v>3</v>
      </c>
      <c r="F1750"/>
      <c r="G1750"/>
      <c r="H1750"/>
      <c r="I1750"/>
      <c r="J1750"/>
      <c r="K1750"/>
      <c r="L1750"/>
      <c r="M1750"/>
      <c r="N1750"/>
      <c r="O1750"/>
    </row>
    <row r="1751" spans="1:15" hidden="1" x14ac:dyDescent="0.25">
      <c r="A1751" t="s">
        <v>106</v>
      </c>
      <c r="B1751" t="s">
        <v>115</v>
      </c>
      <c r="C1751" t="b">
        <v>0</v>
      </c>
      <c r="D1751" s="1">
        <v>38384</v>
      </c>
      <c r="E1751">
        <v>3</v>
      </c>
      <c r="F1751"/>
      <c r="G1751"/>
      <c r="H1751"/>
      <c r="I1751"/>
      <c r="J1751"/>
      <c r="K1751"/>
      <c r="L1751"/>
      <c r="M1751"/>
      <c r="N1751"/>
      <c r="O1751"/>
    </row>
    <row r="1752" spans="1:15" hidden="1" x14ac:dyDescent="0.25">
      <c r="A1752" t="s">
        <v>106</v>
      </c>
      <c r="B1752" t="s">
        <v>115</v>
      </c>
      <c r="C1752" t="b">
        <v>0</v>
      </c>
      <c r="D1752" s="1">
        <v>38384</v>
      </c>
      <c r="E1752">
        <v>3</v>
      </c>
      <c r="F1752"/>
      <c r="G1752"/>
      <c r="H1752"/>
      <c r="I1752"/>
      <c r="J1752"/>
      <c r="K1752"/>
      <c r="L1752"/>
      <c r="M1752"/>
      <c r="N1752"/>
      <c r="O1752"/>
    </row>
    <row r="1753" spans="1:15" hidden="1" x14ac:dyDescent="0.25">
      <c r="A1753" t="s">
        <v>106</v>
      </c>
      <c r="B1753" t="s">
        <v>115</v>
      </c>
      <c r="C1753" t="b">
        <v>0</v>
      </c>
      <c r="D1753" s="1">
        <v>38384</v>
      </c>
      <c r="E1753">
        <v>3</v>
      </c>
      <c r="F1753"/>
      <c r="G1753"/>
      <c r="H1753"/>
      <c r="I1753"/>
      <c r="J1753"/>
      <c r="K1753"/>
      <c r="L1753"/>
      <c r="M1753"/>
      <c r="N1753"/>
      <c r="O1753"/>
    </row>
    <row r="1754" spans="1:15" hidden="1" x14ac:dyDescent="0.25">
      <c r="A1754" t="s">
        <v>106</v>
      </c>
      <c r="B1754" t="s">
        <v>115</v>
      </c>
      <c r="C1754" t="b">
        <v>0</v>
      </c>
      <c r="D1754" s="1">
        <v>38384</v>
      </c>
      <c r="E1754">
        <v>3</v>
      </c>
      <c r="F1754"/>
      <c r="G1754"/>
      <c r="H1754"/>
      <c r="I1754"/>
      <c r="J1754"/>
      <c r="K1754"/>
      <c r="L1754"/>
      <c r="M1754"/>
      <c r="N1754"/>
      <c r="O1754"/>
    </row>
    <row r="1755" spans="1:15" hidden="1" x14ac:dyDescent="0.25">
      <c r="A1755" t="s">
        <v>106</v>
      </c>
      <c r="B1755" t="s">
        <v>115</v>
      </c>
      <c r="C1755" t="b">
        <v>0</v>
      </c>
      <c r="D1755" s="1">
        <v>38384</v>
      </c>
      <c r="E1755">
        <v>3</v>
      </c>
      <c r="F1755"/>
      <c r="G1755"/>
      <c r="H1755"/>
      <c r="I1755"/>
      <c r="J1755"/>
      <c r="K1755"/>
      <c r="L1755"/>
      <c r="M1755"/>
      <c r="N1755"/>
      <c r="O1755"/>
    </row>
    <row r="1756" spans="1:15" hidden="1" x14ac:dyDescent="0.25">
      <c r="A1756" t="s">
        <v>106</v>
      </c>
      <c r="B1756" t="s">
        <v>115</v>
      </c>
      <c r="C1756" t="b">
        <v>0</v>
      </c>
      <c r="D1756" s="1">
        <v>38384</v>
      </c>
      <c r="E1756">
        <v>2</v>
      </c>
      <c r="F1756"/>
      <c r="G1756"/>
      <c r="H1756"/>
      <c r="I1756"/>
      <c r="J1756"/>
      <c r="K1756"/>
      <c r="L1756"/>
      <c r="M1756"/>
      <c r="N1756"/>
      <c r="O1756"/>
    </row>
    <row r="1757" spans="1:15" hidden="1" x14ac:dyDescent="0.25">
      <c r="A1757" t="s">
        <v>106</v>
      </c>
      <c r="B1757" t="s">
        <v>115</v>
      </c>
      <c r="C1757" t="b">
        <v>0</v>
      </c>
      <c r="D1757" s="1">
        <v>38384</v>
      </c>
      <c r="E1757">
        <v>3</v>
      </c>
      <c r="F1757"/>
      <c r="G1757"/>
      <c r="H1757"/>
      <c r="I1757"/>
      <c r="J1757"/>
      <c r="K1757"/>
      <c r="L1757"/>
      <c r="M1757"/>
      <c r="N1757"/>
      <c r="O1757"/>
    </row>
    <row r="1758" spans="1:15" hidden="1" x14ac:dyDescent="0.25">
      <c r="A1758" t="s">
        <v>106</v>
      </c>
      <c r="B1758" t="s">
        <v>115</v>
      </c>
      <c r="C1758" t="b">
        <v>0</v>
      </c>
      <c r="D1758" s="1">
        <v>38384</v>
      </c>
      <c r="E1758">
        <v>3</v>
      </c>
      <c r="F1758"/>
      <c r="G1758"/>
      <c r="H1758"/>
      <c r="I1758"/>
      <c r="J1758"/>
      <c r="K1758"/>
      <c r="L1758"/>
      <c r="M1758"/>
      <c r="N1758"/>
      <c r="O1758"/>
    </row>
    <row r="1759" spans="1:15" hidden="1" x14ac:dyDescent="0.25">
      <c r="A1759" t="s">
        <v>106</v>
      </c>
      <c r="B1759" t="s">
        <v>115</v>
      </c>
      <c r="C1759" t="b">
        <v>0</v>
      </c>
      <c r="D1759" s="1">
        <v>38384</v>
      </c>
      <c r="E1759">
        <v>3</v>
      </c>
      <c r="F1759"/>
      <c r="G1759"/>
      <c r="H1759"/>
      <c r="I1759"/>
      <c r="J1759"/>
      <c r="K1759"/>
      <c r="L1759"/>
      <c r="M1759"/>
      <c r="N1759"/>
      <c r="O1759"/>
    </row>
    <row r="1760" spans="1:15" hidden="1" x14ac:dyDescent="0.25">
      <c r="A1760" t="s">
        <v>106</v>
      </c>
      <c r="B1760" t="s">
        <v>115</v>
      </c>
      <c r="C1760" t="b">
        <v>0</v>
      </c>
      <c r="D1760" s="1">
        <v>38384</v>
      </c>
      <c r="E1760">
        <v>1</v>
      </c>
      <c r="F1760"/>
      <c r="G1760"/>
      <c r="H1760"/>
      <c r="I1760"/>
      <c r="J1760"/>
      <c r="K1760"/>
      <c r="L1760"/>
      <c r="M1760"/>
      <c r="N1760"/>
      <c r="O1760"/>
    </row>
    <row r="1761" spans="1:15" hidden="1" x14ac:dyDescent="0.25">
      <c r="A1761" t="s">
        <v>106</v>
      </c>
      <c r="B1761" t="s">
        <v>115</v>
      </c>
      <c r="C1761" t="b">
        <v>0</v>
      </c>
      <c r="D1761" s="1">
        <v>38384</v>
      </c>
      <c r="E1761">
        <v>3</v>
      </c>
      <c r="F1761"/>
      <c r="G1761"/>
      <c r="H1761"/>
      <c r="I1761"/>
      <c r="J1761"/>
      <c r="K1761"/>
      <c r="L1761"/>
      <c r="M1761"/>
      <c r="N1761"/>
      <c r="O1761"/>
    </row>
    <row r="1762" spans="1:15" hidden="1" x14ac:dyDescent="0.25">
      <c r="A1762" t="s">
        <v>106</v>
      </c>
      <c r="B1762" t="s">
        <v>115</v>
      </c>
      <c r="C1762" t="b">
        <v>0</v>
      </c>
      <c r="D1762" s="1">
        <v>38384</v>
      </c>
      <c r="E1762">
        <v>3</v>
      </c>
      <c r="F1762"/>
      <c r="G1762"/>
      <c r="H1762"/>
      <c r="I1762"/>
      <c r="J1762"/>
      <c r="K1762"/>
      <c r="L1762"/>
      <c r="M1762"/>
      <c r="N1762"/>
      <c r="O1762"/>
    </row>
    <row r="1763" spans="1:15" hidden="1" x14ac:dyDescent="0.25">
      <c r="A1763" t="s">
        <v>106</v>
      </c>
      <c r="B1763" t="s">
        <v>115</v>
      </c>
      <c r="C1763" t="b">
        <v>0</v>
      </c>
      <c r="D1763" s="1">
        <v>38384</v>
      </c>
      <c r="E1763">
        <v>3</v>
      </c>
      <c r="F1763"/>
      <c r="G1763"/>
      <c r="H1763"/>
      <c r="I1763"/>
      <c r="J1763"/>
      <c r="K1763"/>
      <c r="L1763"/>
      <c r="M1763"/>
      <c r="N1763"/>
      <c r="O1763"/>
    </row>
    <row r="1764" spans="1:15" hidden="1" x14ac:dyDescent="0.25">
      <c r="A1764" t="s">
        <v>106</v>
      </c>
      <c r="B1764" t="s">
        <v>115</v>
      </c>
      <c r="C1764" t="b">
        <v>0</v>
      </c>
      <c r="D1764" s="1">
        <v>38384</v>
      </c>
      <c r="E1764">
        <v>3</v>
      </c>
      <c r="F1764"/>
      <c r="G1764"/>
      <c r="H1764"/>
      <c r="I1764"/>
      <c r="J1764"/>
      <c r="K1764"/>
      <c r="L1764"/>
      <c r="M1764"/>
      <c r="N1764"/>
      <c r="O1764"/>
    </row>
    <row r="1765" spans="1:15" hidden="1" x14ac:dyDescent="0.25">
      <c r="A1765" t="s">
        <v>106</v>
      </c>
      <c r="B1765" t="s">
        <v>115</v>
      </c>
      <c r="C1765" t="b">
        <v>0</v>
      </c>
      <c r="D1765" s="1">
        <v>38384</v>
      </c>
      <c r="E1765">
        <v>3</v>
      </c>
      <c r="F1765"/>
      <c r="G1765"/>
      <c r="H1765"/>
      <c r="I1765"/>
      <c r="J1765"/>
      <c r="K1765"/>
      <c r="L1765"/>
      <c r="M1765"/>
      <c r="N1765"/>
      <c r="O1765"/>
    </row>
    <row r="1766" spans="1:15" hidden="1" x14ac:dyDescent="0.25">
      <c r="A1766" t="s">
        <v>106</v>
      </c>
      <c r="B1766" t="s">
        <v>115</v>
      </c>
      <c r="C1766" t="b">
        <v>0</v>
      </c>
      <c r="D1766" s="1">
        <v>38384</v>
      </c>
      <c r="E1766">
        <v>3</v>
      </c>
      <c r="F1766"/>
      <c r="G1766"/>
      <c r="H1766"/>
      <c r="I1766"/>
      <c r="J1766"/>
      <c r="K1766"/>
      <c r="L1766"/>
      <c r="M1766"/>
      <c r="N1766"/>
      <c r="O1766"/>
    </row>
    <row r="1767" spans="1:15" hidden="1" x14ac:dyDescent="0.25">
      <c r="A1767" t="s">
        <v>106</v>
      </c>
      <c r="B1767" t="s">
        <v>115</v>
      </c>
      <c r="C1767" t="b">
        <v>0</v>
      </c>
      <c r="D1767" s="1">
        <v>38384</v>
      </c>
      <c r="E1767">
        <v>3</v>
      </c>
      <c r="F1767"/>
      <c r="G1767"/>
      <c r="H1767"/>
      <c r="I1767"/>
      <c r="J1767"/>
      <c r="K1767"/>
      <c r="L1767"/>
      <c r="M1767"/>
      <c r="N1767"/>
      <c r="O1767"/>
    </row>
    <row r="1768" spans="1:15" hidden="1" x14ac:dyDescent="0.25">
      <c r="A1768" t="s">
        <v>106</v>
      </c>
      <c r="B1768" t="s">
        <v>115</v>
      </c>
      <c r="C1768" t="b">
        <v>0</v>
      </c>
      <c r="D1768" s="1">
        <v>38384</v>
      </c>
      <c r="E1768">
        <v>3</v>
      </c>
      <c r="F1768"/>
      <c r="G1768"/>
      <c r="H1768"/>
      <c r="I1768"/>
      <c r="J1768"/>
      <c r="K1768"/>
      <c r="L1768"/>
      <c r="M1768"/>
      <c r="N1768"/>
      <c r="O1768"/>
    </row>
    <row r="1769" spans="1:15" hidden="1" x14ac:dyDescent="0.25">
      <c r="A1769" t="s">
        <v>106</v>
      </c>
      <c r="B1769" t="s">
        <v>115</v>
      </c>
      <c r="C1769" t="b">
        <v>0</v>
      </c>
      <c r="D1769" s="1">
        <v>38384</v>
      </c>
      <c r="E1769">
        <v>3</v>
      </c>
      <c r="F1769"/>
      <c r="G1769"/>
      <c r="H1769"/>
      <c r="I1769"/>
      <c r="J1769"/>
      <c r="K1769"/>
      <c r="L1769"/>
      <c r="M1769"/>
      <c r="N1769"/>
      <c r="O1769"/>
    </row>
    <row r="1770" spans="1:15" hidden="1" x14ac:dyDescent="0.25">
      <c r="A1770" t="s">
        <v>106</v>
      </c>
      <c r="B1770" t="s">
        <v>115</v>
      </c>
      <c r="C1770" t="b">
        <v>0</v>
      </c>
      <c r="D1770" s="1">
        <v>38384</v>
      </c>
      <c r="E1770">
        <v>3</v>
      </c>
      <c r="F1770"/>
      <c r="G1770"/>
      <c r="H1770"/>
      <c r="I1770"/>
      <c r="J1770"/>
      <c r="K1770"/>
      <c r="L1770"/>
      <c r="M1770"/>
      <c r="N1770"/>
      <c r="O1770"/>
    </row>
    <row r="1771" spans="1:15" hidden="1" x14ac:dyDescent="0.25">
      <c r="A1771" t="s">
        <v>106</v>
      </c>
      <c r="B1771" t="s">
        <v>115</v>
      </c>
      <c r="C1771" t="b">
        <v>0</v>
      </c>
      <c r="D1771" s="1">
        <v>38384</v>
      </c>
      <c r="E1771">
        <v>3</v>
      </c>
      <c r="F1771"/>
      <c r="G1771"/>
      <c r="H1771"/>
      <c r="I1771"/>
      <c r="J1771"/>
      <c r="K1771"/>
      <c r="L1771"/>
      <c r="M1771"/>
      <c r="N1771"/>
      <c r="O1771"/>
    </row>
    <row r="1772" spans="1:15" hidden="1" x14ac:dyDescent="0.25">
      <c r="A1772" t="s">
        <v>106</v>
      </c>
      <c r="B1772" t="s">
        <v>115</v>
      </c>
      <c r="C1772" t="b">
        <v>0</v>
      </c>
      <c r="D1772" s="1">
        <v>38384</v>
      </c>
      <c r="E1772">
        <v>3</v>
      </c>
      <c r="F1772"/>
      <c r="G1772"/>
      <c r="H1772"/>
      <c r="I1772"/>
      <c r="J1772"/>
      <c r="K1772"/>
      <c r="L1772"/>
      <c r="M1772"/>
      <c r="N1772"/>
      <c r="O1772"/>
    </row>
    <row r="1773" spans="1:15" hidden="1" x14ac:dyDescent="0.25">
      <c r="A1773" t="s">
        <v>30</v>
      </c>
      <c r="B1773" t="s">
        <v>115</v>
      </c>
      <c r="C1773" t="b">
        <v>0</v>
      </c>
      <c r="D1773" s="1">
        <v>38384</v>
      </c>
      <c r="E1773">
        <v>3</v>
      </c>
      <c r="F1773"/>
      <c r="G1773"/>
      <c r="H1773"/>
      <c r="I1773"/>
      <c r="J1773"/>
      <c r="K1773"/>
      <c r="L1773"/>
      <c r="M1773"/>
      <c r="N1773"/>
      <c r="O1773"/>
    </row>
    <row r="1774" spans="1:15" hidden="1" x14ac:dyDescent="0.25">
      <c r="A1774" t="s">
        <v>39</v>
      </c>
      <c r="B1774" t="s">
        <v>115</v>
      </c>
      <c r="C1774" t="b">
        <v>0</v>
      </c>
      <c r="D1774" s="1">
        <v>38384</v>
      </c>
      <c r="E1774">
        <v>3</v>
      </c>
      <c r="F1774"/>
      <c r="G1774"/>
      <c r="H1774"/>
      <c r="I1774"/>
      <c r="J1774"/>
      <c r="K1774"/>
      <c r="L1774"/>
      <c r="M1774"/>
      <c r="N1774"/>
      <c r="O1774"/>
    </row>
    <row r="1775" spans="1:15" hidden="1" x14ac:dyDescent="0.25">
      <c r="A1775" t="s">
        <v>57</v>
      </c>
      <c r="B1775" t="s">
        <v>115</v>
      </c>
      <c r="C1775" t="b">
        <v>0</v>
      </c>
      <c r="D1775" s="1">
        <v>38384</v>
      </c>
      <c r="E1775">
        <v>3</v>
      </c>
      <c r="F1775"/>
      <c r="G1775"/>
      <c r="H1775"/>
      <c r="I1775"/>
      <c r="J1775"/>
      <c r="K1775"/>
      <c r="L1775"/>
      <c r="M1775"/>
      <c r="N1775"/>
      <c r="O1775"/>
    </row>
    <row r="1776" spans="1:15" hidden="1" x14ac:dyDescent="0.25">
      <c r="A1776" t="s">
        <v>69</v>
      </c>
      <c r="B1776" t="s">
        <v>115</v>
      </c>
      <c r="C1776" t="b">
        <v>0</v>
      </c>
      <c r="D1776" s="1">
        <v>38384</v>
      </c>
      <c r="E1776">
        <v>3</v>
      </c>
      <c r="F1776"/>
      <c r="G1776"/>
      <c r="H1776"/>
      <c r="I1776"/>
      <c r="J1776"/>
      <c r="K1776"/>
      <c r="L1776"/>
      <c r="M1776"/>
      <c r="N1776"/>
      <c r="O1776"/>
    </row>
    <row r="1777" spans="1:15" hidden="1" x14ac:dyDescent="0.25">
      <c r="A1777" t="s">
        <v>86</v>
      </c>
      <c r="B1777" t="s">
        <v>115</v>
      </c>
      <c r="C1777" t="b">
        <v>0</v>
      </c>
      <c r="D1777" s="1">
        <v>38384</v>
      </c>
      <c r="E1777">
        <v>3</v>
      </c>
      <c r="F1777"/>
      <c r="G1777"/>
      <c r="H1777"/>
      <c r="I1777"/>
      <c r="J1777"/>
      <c r="K1777"/>
      <c r="L1777"/>
      <c r="M1777"/>
      <c r="N1777"/>
      <c r="O1777"/>
    </row>
    <row r="1778" spans="1:15" hidden="1" x14ac:dyDescent="0.25">
      <c r="A1778" t="s">
        <v>90</v>
      </c>
      <c r="B1778" t="s">
        <v>115</v>
      </c>
      <c r="C1778" t="b">
        <v>0</v>
      </c>
      <c r="D1778" s="1">
        <v>38384</v>
      </c>
      <c r="E1778">
        <v>3</v>
      </c>
      <c r="F1778"/>
      <c r="G1778"/>
      <c r="H1778"/>
      <c r="I1778"/>
      <c r="J1778"/>
      <c r="K1778"/>
      <c r="L1778"/>
      <c r="M1778"/>
      <c r="N1778"/>
      <c r="O1778"/>
    </row>
    <row r="1779" spans="1:15" hidden="1" x14ac:dyDescent="0.25">
      <c r="A1779" t="s">
        <v>99</v>
      </c>
      <c r="B1779" t="s">
        <v>114</v>
      </c>
      <c r="C1779" t="b">
        <v>0</v>
      </c>
      <c r="D1779" s="1">
        <v>38384</v>
      </c>
      <c r="E1779">
        <v>9.52</v>
      </c>
      <c r="F1779"/>
      <c r="G1779"/>
      <c r="H1779"/>
      <c r="I1779"/>
      <c r="J1779"/>
      <c r="K1779"/>
      <c r="L1779"/>
      <c r="M1779"/>
      <c r="N1779"/>
      <c r="O1779"/>
    </row>
    <row r="1780" spans="1:15" hidden="1" x14ac:dyDescent="0.25">
      <c r="A1780" t="s">
        <v>100</v>
      </c>
      <c r="B1780" t="s">
        <v>117</v>
      </c>
      <c r="C1780" t="b">
        <v>0</v>
      </c>
      <c r="D1780" s="1">
        <v>38412</v>
      </c>
      <c r="E1780" s="2">
        <v>-58.4</v>
      </c>
      <c r="F1780"/>
      <c r="G1780"/>
      <c r="H1780"/>
      <c r="I1780"/>
      <c r="J1780"/>
      <c r="K1780"/>
      <c r="L1780"/>
      <c r="M1780"/>
      <c r="N1780"/>
      <c r="O1780"/>
    </row>
    <row r="1781" spans="1:15" hidden="1" x14ac:dyDescent="0.25">
      <c r="A1781" t="s">
        <v>102</v>
      </c>
      <c r="B1781" t="s">
        <v>117</v>
      </c>
      <c r="C1781" t="b">
        <v>0</v>
      </c>
      <c r="D1781" s="1">
        <v>38412</v>
      </c>
      <c r="E1781" s="2">
        <v>-20</v>
      </c>
      <c r="F1781"/>
      <c r="G1781"/>
      <c r="H1781"/>
      <c r="I1781"/>
      <c r="J1781"/>
      <c r="K1781"/>
      <c r="L1781"/>
      <c r="M1781"/>
      <c r="N1781"/>
      <c r="O1781"/>
    </row>
    <row r="1782" spans="1:15" hidden="1" x14ac:dyDescent="0.25">
      <c r="A1782" t="s">
        <v>103</v>
      </c>
      <c r="B1782" t="s">
        <v>117</v>
      </c>
      <c r="C1782" t="b">
        <v>0</v>
      </c>
      <c r="D1782" s="1">
        <v>38412</v>
      </c>
      <c r="E1782" s="2">
        <v>-4.1399999999999997</v>
      </c>
      <c r="F1782"/>
      <c r="G1782"/>
      <c r="H1782"/>
      <c r="I1782"/>
      <c r="J1782"/>
      <c r="K1782"/>
      <c r="L1782"/>
      <c r="M1782"/>
      <c r="N1782"/>
      <c r="O1782"/>
    </row>
    <row r="1783" spans="1:15" hidden="1" x14ac:dyDescent="0.25">
      <c r="A1783" t="s">
        <v>11</v>
      </c>
      <c r="B1783" t="s">
        <v>115</v>
      </c>
      <c r="C1783" t="b">
        <v>0</v>
      </c>
      <c r="D1783" s="1">
        <v>38412</v>
      </c>
      <c r="E1783">
        <v>3</v>
      </c>
      <c r="F1783"/>
      <c r="G1783"/>
      <c r="H1783"/>
      <c r="I1783"/>
      <c r="J1783"/>
      <c r="K1783"/>
      <c r="L1783"/>
      <c r="M1783"/>
      <c r="N1783"/>
      <c r="O1783"/>
    </row>
    <row r="1784" spans="1:15" hidden="1" x14ac:dyDescent="0.25">
      <c r="A1784" t="s">
        <v>14</v>
      </c>
      <c r="B1784" t="s">
        <v>115</v>
      </c>
      <c r="C1784" t="b">
        <v>0</v>
      </c>
      <c r="D1784" s="1">
        <v>38412</v>
      </c>
      <c r="E1784">
        <v>3</v>
      </c>
      <c r="F1784"/>
      <c r="G1784"/>
      <c r="H1784"/>
      <c r="I1784"/>
      <c r="J1784"/>
      <c r="K1784"/>
      <c r="L1784"/>
      <c r="M1784"/>
      <c r="N1784"/>
      <c r="O1784"/>
    </row>
    <row r="1785" spans="1:15" hidden="1" x14ac:dyDescent="0.25">
      <c r="A1785" t="s">
        <v>18</v>
      </c>
      <c r="B1785" t="s">
        <v>115</v>
      </c>
      <c r="C1785" t="b">
        <v>0</v>
      </c>
      <c r="D1785" s="1">
        <v>38412</v>
      </c>
      <c r="E1785">
        <v>3</v>
      </c>
      <c r="F1785"/>
      <c r="G1785"/>
      <c r="H1785"/>
      <c r="I1785"/>
      <c r="J1785"/>
      <c r="K1785"/>
      <c r="L1785"/>
      <c r="M1785"/>
      <c r="N1785"/>
      <c r="O1785"/>
    </row>
    <row r="1786" spans="1:15" hidden="1" x14ac:dyDescent="0.25">
      <c r="A1786" t="s">
        <v>106</v>
      </c>
      <c r="B1786" t="s">
        <v>115</v>
      </c>
      <c r="C1786" t="b">
        <v>0</v>
      </c>
      <c r="D1786" s="1">
        <v>38412</v>
      </c>
      <c r="E1786">
        <v>3</v>
      </c>
      <c r="F1786"/>
      <c r="G1786"/>
      <c r="H1786"/>
      <c r="I1786"/>
      <c r="J1786"/>
      <c r="K1786"/>
      <c r="L1786"/>
      <c r="M1786"/>
      <c r="N1786"/>
      <c r="O1786"/>
    </row>
    <row r="1787" spans="1:15" hidden="1" x14ac:dyDescent="0.25">
      <c r="A1787" t="s">
        <v>106</v>
      </c>
      <c r="B1787" t="s">
        <v>115</v>
      </c>
      <c r="C1787" t="b">
        <v>0</v>
      </c>
      <c r="D1787" s="1">
        <v>38412</v>
      </c>
      <c r="E1787">
        <v>3</v>
      </c>
      <c r="F1787"/>
      <c r="G1787"/>
      <c r="H1787"/>
      <c r="I1787"/>
      <c r="J1787"/>
      <c r="K1787"/>
      <c r="L1787"/>
      <c r="M1787"/>
      <c r="N1787"/>
      <c r="O1787"/>
    </row>
    <row r="1788" spans="1:15" hidden="1" x14ac:dyDescent="0.25">
      <c r="A1788" t="s">
        <v>106</v>
      </c>
      <c r="B1788" t="s">
        <v>115</v>
      </c>
      <c r="C1788" t="b">
        <v>0</v>
      </c>
      <c r="D1788" s="1">
        <v>38412</v>
      </c>
      <c r="E1788">
        <v>3</v>
      </c>
      <c r="F1788"/>
      <c r="G1788"/>
      <c r="H1788"/>
      <c r="I1788"/>
      <c r="J1788"/>
      <c r="K1788"/>
      <c r="L1788"/>
      <c r="M1788"/>
      <c r="N1788"/>
      <c r="O1788"/>
    </row>
    <row r="1789" spans="1:15" hidden="1" x14ac:dyDescent="0.25">
      <c r="A1789" t="s">
        <v>106</v>
      </c>
      <c r="B1789" t="s">
        <v>115</v>
      </c>
      <c r="C1789" t="b">
        <v>0</v>
      </c>
      <c r="D1789" s="1">
        <v>38412</v>
      </c>
      <c r="E1789">
        <v>3</v>
      </c>
      <c r="F1789"/>
      <c r="G1789"/>
      <c r="H1789"/>
      <c r="I1789"/>
      <c r="J1789"/>
      <c r="K1789"/>
      <c r="L1789"/>
      <c r="M1789"/>
      <c r="N1789"/>
      <c r="O1789"/>
    </row>
    <row r="1790" spans="1:15" hidden="1" x14ac:dyDescent="0.25">
      <c r="A1790" t="s">
        <v>106</v>
      </c>
      <c r="B1790" t="s">
        <v>115</v>
      </c>
      <c r="C1790" t="b">
        <v>0</v>
      </c>
      <c r="D1790" s="1">
        <v>38412</v>
      </c>
      <c r="E1790">
        <v>3</v>
      </c>
      <c r="F1790"/>
      <c r="G1790"/>
      <c r="H1790"/>
      <c r="I1790"/>
      <c r="J1790"/>
      <c r="K1790"/>
      <c r="L1790"/>
      <c r="M1790"/>
      <c r="N1790"/>
      <c r="O1790"/>
    </row>
    <row r="1791" spans="1:15" hidden="1" x14ac:dyDescent="0.25">
      <c r="A1791" t="s">
        <v>106</v>
      </c>
      <c r="B1791" t="s">
        <v>115</v>
      </c>
      <c r="C1791" t="b">
        <v>0</v>
      </c>
      <c r="D1791" s="1">
        <v>38412</v>
      </c>
      <c r="E1791">
        <v>3</v>
      </c>
      <c r="F1791"/>
      <c r="G1791"/>
      <c r="H1791"/>
      <c r="I1791"/>
      <c r="J1791"/>
      <c r="K1791"/>
      <c r="L1791"/>
      <c r="M1791"/>
      <c r="N1791"/>
      <c r="O1791"/>
    </row>
    <row r="1792" spans="1:15" hidden="1" x14ac:dyDescent="0.25">
      <c r="A1792" t="s">
        <v>106</v>
      </c>
      <c r="B1792" t="s">
        <v>115</v>
      </c>
      <c r="C1792" t="b">
        <v>0</v>
      </c>
      <c r="D1792" s="1">
        <v>38412</v>
      </c>
      <c r="E1792">
        <v>3</v>
      </c>
      <c r="F1792"/>
      <c r="G1792"/>
      <c r="H1792"/>
      <c r="I1792"/>
      <c r="J1792"/>
      <c r="K1792"/>
      <c r="L1792"/>
      <c r="M1792"/>
      <c r="N1792"/>
      <c r="O1792"/>
    </row>
    <row r="1793" spans="1:15" hidden="1" x14ac:dyDescent="0.25">
      <c r="A1793" t="s">
        <v>106</v>
      </c>
      <c r="B1793" t="s">
        <v>115</v>
      </c>
      <c r="C1793" t="b">
        <v>0</v>
      </c>
      <c r="D1793" s="1">
        <v>38412</v>
      </c>
      <c r="E1793">
        <v>3</v>
      </c>
      <c r="F1793"/>
      <c r="G1793"/>
      <c r="H1793"/>
      <c r="I1793"/>
      <c r="J1793"/>
      <c r="K1793"/>
      <c r="L1793"/>
      <c r="M1793"/>
      <c r="N1793"/>
      <c r="O1793"/>
    </row>
    <row r="1794" spans="1:15" hidden="1" x14ac:dyDescent="0.25">
      <c r="A1794" t="s">
        <v>106</v>
      </c>
      <c r="B1794" t="s">
        <v>115</v>
      </c>
      <c r="C1794" t="b">
        <v>0</v>
      </c>
      <c r="D1794" s="1">
        <v>38412</v>
      </c>
      <c r="E1794">
        <v>3</v>
      </c>
      <c r="F1794"/>
      <c r="G1794"/>
      <c r="H1794"/>
      <c r="I1794"/>
      <c r="J1794"/>
      <c r="K1794"/>
      <c r="L1794"/>
      <c r="M1794"/>
      <c r="N1794"/>
      <c r="O1794"/>
    </row>
    <row r="1795" spans="1:15" hidden="1" x14ac:dyDescent="0.25">
      <c r="A1795" t="s">
        <v>106</v>
      </c>
      <c r="B1795" t="s">
        <v>115</v>
      </c>
      <c r="C1795" t="b">
        <v>0</v>
      </c>
      <c r="D1795" s="1">
        <v>38412</v>
      </c>
      <c r="E1795">
        <v>3</v>
      </c>
      <c r="F1795"/>
      <c r="G1795"/>
      <c r="H1795"/>
      <c r="I1795"/>
      <c r="J1795"/>
      <c r="K1795"/>
      <c r="L1795"/>
      <c r="M1795"/>
      <c r="N1795"/>
      <c r="O1795"/>
    </row>
    <row r="1796" spans="1:15" hidden="1" x14ac:dyDescent="0.25">
      <c r="A1796" t="s">
        <v>106</v>
      </c>
      <c r="B1796" t="s">
        <v>115</v>
      </c>
      <c r="C1796" t="b">
        <v>0</v>
      </c>
      <c r="D1796" s="1">
        <v>38412</v>
      </c>
      <c r="E1796">
        <v>3</v>
      </c>
      <c r="F1796"/>
      <c r="G1796"/>
      <c r="H1796"/>
      <c r="I1796"/>
      <c r="J1796"/>
      <c r="K1796"/>
      <c r="L1796"/>
      <c r="M1796"/>
      <c r="N1796"/>
      <c r="O1796"/>
    </row>
    <row r="1797" spans="1:15" hidden="1" x14ac:dyDescent="0.25">
      <c r="A1797" t="s">
        <v>106</v>
      </c>
      <c r="B1797" t="s">
        <v>115</v>
      </c>
      <c r="C1797" t="b">
        <v>0</v>
      </c>
      <c r="D1797" s="1">
        <v>38412</v>
      </c>
      <c r="E1797">
        <v>3</v>
      </c>
      <c r="F1797"/>
      <c r="G1797"/>
      <c r="H1797"/>
      <c r="I1797"/>
      <c r="J1797"/>
      <c r="K1797"/>
      <c r="L1797"/>
      <c r="M1797"/>
      <c r="N1797"/>
      <c r="O1797"/>
    </row>
    <row r="1798" spans="1:15" hidden="1" x14ac:dyDescent="0.25">
      <c r="A1798" t="s">
        <v>106</v>
      </c>
      <c r="B1798" t="s">
        <v>115</v>
      </c>
      <c r="C1798" t="b">
        <v>0</v>
      </c>
      <c r="D1798" s="1">
        <v>38412</v>
      </c>
      <c r="E1798">
        <v>3</v>
      </c>
      <c r="F1798"/>
      <c r="G1798"/>
      <c r="H1798"/>
      <c r="I1798"/>
      <c r="J1798"/>
      <c r="K1798"/>
      <c r="L1798"/>
      <c r="M1798"/>
      <c r="N1798"/>
      <c r="O1798"/>
    </row>
    <row r="1799" spans="1:15" hidden="1" x14ac:dyDescent="0.25">
      <c r="A1799" t="s">
        <v>106</v>
      </c>
      <c r="B1799" t="s">
        <v>115</v>
      </c>
      <c r="C1799" t="b">
        <v>0</v>
      </c>
      <c r="D1799" s="1">
        <v>38412</v>
      </c>
      <c r="E1799">
        <v>3</v>
      </c>
      <c r="F1799"/>
      <c r="G1799"/>
      <c r="H1799"/>
      <c r="I1799"/>
      <c r="J1799"/>
      <c r="K1799"/>
      <c r="L1799"/>
      <c r="M1799"/>
      <c r="N1799"/>
      <c r="O1799"/>
    </row>
    <row r="1800" spans="1:15" hidden="1" x14ac:dyDescent="0.25">
      <c r="A1800" t="s">
        <v>106</v>
      </c>
      <c r="B1800" t="s">
        <v>115</v>
      </c>
      <c r="C1800" t="b">
        <v>0</v>
      </c>
      <c r="D1800" s="1">
        <v>38412</v>
      </c>
      <c r="E1800">
        <v>3</v>
      </c>
      <c r="F1800"/>
      <c r="G1800"/>
      <c r="H1800"/>
      <c r="I1800"/>
      <c r="J1800"/>
      <c r="K1800"/>
      <c r="L1800"/>
      <c r="M1800"/>
      <c r="N1800"/>
      <c r="O1800"/>
    </row>
    <row r="1801" spans="1:15" hidden="1" x14ac:dyDescent="0.25">
      <c r="A1801" t="s">
        <v>106</v>
      </c>
      <c r="B1801" t="s">
        <v>115</v>
      </c>
      <c r="C1801" t="b">
        <v>0</v>
      </c>
      <c r="D1801" s="1">
        <v>38412</v>
      </c>
      <c r="E1801">
        <v>3</v>
      </c>
      <c r="F1801"/>
      <c r="G1801"/>
      <c r="H1801"/>
      <c r="I1801"/>
      <c r="J1801"/>
      <c r="K1801"/>
      <c r="L1801"/>
      <c r="M1801"/>
      <c r="N1801"/>
      <c r="O1801"/>
    </row>
    <row r="1802" spans="1:15" hidden="1" x14ac:dyDescent="0.25">
      <c r="A1802" t="s">
        <v>106</v>
      </c>
      <c r="B1802" t="s">
        <v>115</v>
      </c>
      <c r="C1802" t="b">
        <v>0</v>
      </c>
      <c r="D1802" s="1">
        <v>38412</v>
      </c>
      <c r="E1802">
        <v>3</v>
      </c>
      <c r="F1802"/>
      <c r="G1802"/>
      <c r="H1802"/>
      <c r="I1802"/>
      <c r="J1802"/>
      <c r="K1802"/>
      <c r="L1802"/>
      <c r="M1802"/>
      <c r="N1802"/>
      <c r="O1802"/>
    </row>
    <row r="1803" spans="1:15" hidden="1" x14ac:dyDescent="0.25">
      <c r="A1803" t="s">
        <v>106</v>
      </c>
      <c r="B1803" t="s">
        <v>115</v>
      </c>
      <c r="C1803" t="b">
        <v>0</v>
      </c>
      <c r="D1803" s="1">
        <v>38412</v>
      </c>
      <c r="E1803">
        <v>3</v>
      </c>
      <c r="F1803"/>
      <c r="G1803"/>
      <c r="H1803"/>
      <c r="I1803"/>
      <c r="J1803"/>
      <c r="K1803"/>
      <c r="L1803"/>
      <c r="M1803"/>
      <c r="N1803"/>
      <c r="O1803"/>
    </row>
    <row r="1804" spans="1:15" hidden="1" x14ac:dyDescent="0.25">
      <c r="A1804" t="s">
        <v>106</v>
      </c>
      <c r="B1804" t="s">
        <v>115</v>
      </c>
      <c r="C1804" t="b">
        <v>0</v>
      </c>
      <c r="D1804" s="1">
        <v>38412</v>
      </c>
      <c r="E1804">
        <v>3</v>
      </c>
      <c r="F1804"/>
      <c r="G1804"/>
      <c r="H1804"/>
      <c r="I1804"/>
      <c r="J1804"/>
      <c r="K1804"/>
      <c r="L1804"/>
      <c r="M1804"/>
      <c r="N1804"/>
      <c r="O1804"/>
    </row>
    <row r="1805" spans="1:15" hidden="1" x14ac:dyDescent="0.25">
      <c r="A1805" t="s">
        <v>106</v>
      </c>
      <c r="B1805" t="s">
        <v>115</v>
      </c>
      <c r="C1805" t="b">
        <v>0</v>
      </c>
      <c r="D1805" s="1">
        <v>38412</v>
      </c>
      <c r="E1805">
        <v>3</v>
      </c>
      <c r="F1805"/>
      <c r="G1805"/>
      <c r="H1805"/>
      <c r="I1805"/>
      <c r="J1805"/>
      <c r="K1805"/>
      <c r="L1805"/>
      <c r="M1805"/>
      <c r="N1805"/>
      <c r="O1805"/>
    </row>
    <row r="1806" spans="1:15" hidden="1" x14ac:dyDescent="0.25">
      <c r="A1806" t="s">
        <v>106</v>
      </c>
      <c r="B1806" t="s">
        <v>115</v>
      </c>
      <c r="C1806" t="b">
        <v>0</v>
      </c>
      <c r="D1806" s="1">
        <v>38412</v>
      </c>
      <c r="E1806">
        <v>3</v>
      </c>
      <c r="F1806"/>
      <c r="G1806"/>
      <c r="H1806"/>
      <c r="I1806"/>
      <c r="J1806"/>
      <c r="K1806"/>
      <c r="L1806"/>
      <c r="M1806"/>
      <c r="N1806"/>
      <c r="O1806"/>
    </row>
    <row r="1807" spans="1:15" hidden="1" x14ac:dyDescent="0.25">
      <c r="A1807" t="s">
        <v>30</v>
      </c>
      <c r="B1807" t="s">
        <v>115</v>
      </c>
      <c r="C1807" t="b">
        <v>0</v>
      </c>
      <c r="D1807" s="1">
        <v>38412</v>
      </c>
      <c r="E1807">
        <v>3</v>
      </c>
      <c r="F1807"/>
      <c r="G1807"/>
      <c r="H1807"/>
      <c r="I1807"/>
      <c r="J1807"/>
      <c r="K1807"/>
      <c r="L1807"/>
      <c r="M1807"/>
      <c r="N1807"/>
      <c r="O1807"/>
    </row>
    <row r="1808" spans="1:15" hidden="1" x14ac:dyDescent="0.25">
      <c r="A1808" t="s">
        <v>39</v>
      </c>
      <c r="B1808" t="s">
        <v>115</v>
      </c>
      <c r="C1808" t="b">
        <v>0</v>
      </c>
      <c r="D1808" s="1">
        <v>38412</v>
      </c>
      <c r="E1808">
        <v>3</v>
      </c>
      <c r="F1808"/>
      <c r="G1808"/>
      <c r="H1808"/>
      <c r="I1808"/>
      <c r="J1808"/>
      <c r="K1808"/>
      <c r="L1808"/>
      <c r="M1808"/>
      <c r="N1808"/>
      <c r="O1808"/>
    </row>
    <row r="1809" spans="1:15" hidden="1" x14ac:dyDescent="0.25">
      <c r="A1809" t="s">
        <v>57</v>
      </c>
      <c r="B1809" t="s">
        <v>115</v>
      </c>
      <c r="C1809" t="b">
        <v>0</v>
      </c>
      <c r="D1809" s="1">
        <v>38412</v>
      </c>
      <c r="E1809">
        <v>3</v>
      </c>
      <c r="F1809"/>
      <c r="G1809"/>
      <c r="H1809"/>
      <c r="I1809"/>
      <c r="J1809"/>
      <c r="K1809"/>
      <c r="L1809"/>
      <c r="M1809"/>
      <c r="N1809"/>
      <c r="O1809"/>
    </row>
    <row r="1810" spans="1:15" hidden="1" x14ac:dyDescent="0.25">
      <c r="A1810" t="s">
        <v>69</v>
      </c>
      <c r="B1810" t="s">
        <v>115</v>
      </c>
      <c r="C1810" t="b">
        <v>0</v>
      </c>
      <c r="D1810" s="1">
        <v>38412</v>
      </c>
      <c r="E1810">
        <v>3</v>
      </c>
      <c r="F1810"/>
      <c r="G1810"/>
      <c r="H1810"/>
      <c r="I1810"/>
      <c r="J1810"/>
      <c r="K1810"/>
      <c r="L1810"/>
      <c r="M1810"/>
      <c r="N1810"/>
      <c r="O1810"/>
    </row>
    <row r="1811" spans="1:15" hidden="1" x14ac:dyDescent="0.25">
      <c r="A1811" t="s">
        <v>86</v>
      </c>
      <c r="B1811" t="s">
        <v>115</v>
      </c>
      <c r="C1811" t="b">
        <v>0</v>
      </c>
      <c r="D1811" s="1">
        <v>38412</v>
      </c>
      <c r="E1811">
        <v>3</v>
      </c>
      <c r="F1811"/>
      <c r="G1811"/>
      <c r="H1811"/>
      <c r="I1811"/>
      <c r="J1811"/>
      <c r="K1811"/>
      <c r="L1811"/>
      <c r="M1811"/>
      <c r="N1811"/>
      <c r="O1811"/>
    </row>
    <row r="1812" spans="1:15" hidden="1" x14ac:dyDescent="0.25">
      <c r="A1812" t="s">
        <v>90</v>
      </c>
      <c r="B1812" t="s">
        <v>115</v>
      </c>
      <c r="C1812" t="b">
        <v>0</v>
      </c>
      <c r="D1812" s="1">
        <v>38412</v>
      </c>
      <c r="E1812">
        <v>3</v>
      </c>
      <c r="F1812"/>
      <c r="G1812"/>
      <c r="H1812"/>
      <c r="I1812"/>
      <c r="J1812"/>
      <c r="K1812"/>
      <c r="L1812"/>
      <c r="M1812"/>
      <c r="N1812"/>
      <c r="O1812"/>
    </row>
    <row r="1813" spans="1:15" hidden="1" x14ac:dyDescent="0.25">
      <c r="A1813" t="s">
        <v>100</v>
      </c>
      <c r="B1813" t="s">
        <v>117</v>
      </c>
      <c r="C1813" t="b">
        <v>0</v>
      </c>
      <c r="D1813" s="1">
        <v>38443</v>
      </c>
      <c r="E1813" s="2">
        <v>-208</v>
      </c>
      <c r="F1813"/>
      <c r="G1813"/>
      <c r="H1813"/>
      <c r="I1813"/>
      <c r="J1813"/>
      <c r="K1813"/>
      <c r="L1813"/>
      <c r="M1813"/>
      <c r="N1813"/>
      <c r="O1813"/>
    </row>
    <row r="1814" spans="1:15" hidden="1" x14ac:dyDescent="0.25">
      <c r="A1814" t="s">
        <v>102</v>
      </c>
      <c r="B1814" t="s">
        <v>117</v>
      </c>
      <c r="C1814" t="b">
        <v>0</v>
      </c>
      <c r="D1814" s="1">
        <v>38443</v>
      </c>
      <c r="E1814" s="2">
        <v>-28</v>
      </c>
      <c r="F1814"/>
      <c r="G1814"/>
      <c r="H1814"/>
      <c r="I1814"/>
      <c r="J1814"/>
      <c r="K1814"/>
      <c r="L1814"/>
      <c r="M1814"/>
      <c r="N1814"/>
      <c r="O1814"/>
    </row>
    <row r="1815" spans="1:15" hidden="1" x14ac:dyDescent="0.25">
      <c r="A1815" t="s">
        <v>103</v>
      </c>
      <c r="B1815" t="s">
        <v>117</v>
      </c>
      <c r="C1815" t="b">
        <v>0</v>
      </c>
      <c r="D1815" s="1">
        <v>38443</v>
      </c>
      <c r="E1815" s="2">
        <v>-5</v>
      </c>
      <c r="F1815"/>
      <c r="G1815"/>
      <c r="H1815"/>
      <c r="I1815"/>
      <c r="J1815"/>
      <c r="K1815"/>
      <c r="L1815"/>
      <c r="M1815"/>
      <c r="N1815"/>
      <c r="O1815"/>
    </row>
    <row r="1816" spans="1:15" hidden="1" x14ac:dyDescent="0.25">
      <c r="A1816" t="s">
        <v>11</v>
      </c>
      <c r="B1816" t="s">
        <v>115</v>
      </c>
      <c r="C1816" t="b">
        <v>0</v>
      </c>
      <c r="D1816" s="1">
        <v>38443</v>
      </c>
      <c r="E1816">
        <v>3</v>
      </c>
      <c r="F1816"/>
      <c r="G1816"/>
      <c r="H1816"/>
      <c r="I1816"/>
      <c r="J1816"/>
      <c r="K1816"/>
      <c r="L1816"/>
      <c r="M1816"/>
      <c r="N1816"/>
      <c r="O1816"/>
    </row>
    <row r="1817" spans="1:15" hidden="1" x14ac:dyDescent="0.25">
      <c r="A1817" t="s">
        <v>14</v>
      </c>
      <c r="B1817" t="s">
        <v>115</v>
      </c>
      <c r="C1817" t="b">
        <v>0</v>
      </c>
      <c r="D1817" s="1">
        <v>38443</v>
      </c>
      <c r="E1817">
        <v>3</v>
      </c>
      <c r="F1817"/>
      <c r="G1817"/>
      <c r="H1817"/>
      <c r="I1817"/>
      <c r="J1817"/>
      <c r="K1817"/>
      <c r="L1817"/>
      <c r="M1817"/>
      <c r="N1817"/>
      <c r="O1817"/>
    </row>
    <row r="1818" spans="1:15" hidden="1" x14ac:dyDescent="0.25">
      <c r="A1818" t="s">
        <v>18</v>
      </c>
      <c r="B1818" t="s">
        <v>115</v>
      </c>
      <c r="C1818" t="b">
        <v>0</v>
      </c>
      <c r="D1818" s="1">
        <v>38443</v>
      </c>
      <c r="E1818">
        <v>3</v>
      </c>
      <c r="F1818"/>
      <c r="G1818"/>
      <c r="H1818"/>
      <c r="I1818"/>
      <c r="J1818"/>
      <c r="K1818"/>
      <c r="L1818"/>
      <c r="M1818"/>
      <c r="N1818"/>
      <c r="O1818"/>
    </row>
    <row r="1819" spans="1:15" hidden="1" x14ac:dyDescent="0.25">
      <c r="A1819" t="s">
        <v>106</v>
      </c>
      <c r="B1819" t="s">
        <v>115</v>
      </c>
      <c r="C1819" t="b">
        <v>0</v>
      </c>
      <c r="D1819" s="1">
        <v>38443</v>
      </c>
      <c r="E1819">
        <v>3</v>
      </c>
      <c r="F1819"/>
      <c r="G1819"/>
      <c r="H1819"/>
      <c r="I1819"/>
      <c r="J1819"/>
      <c r="K1819"/>
      <c r="L1819"/>
      <c r="M1819"/>
      <c r="N1819"/>
      <c r="O1819"/>
    </row>
    <row r="1820" spans="1:15" hidden="1" x14ac:dyDescent="0.25">
      <c r="A1820" t="s">
        <v>106</v>
      </c>
      <c r="B1820" t="s">
        <v>115</v>
      </c>
      <c r="C1820" t="b">
        <v>0</v>
      </c>
      <c r="D1820" s="1">
        <v>38443</v>
      </c>
      <c r="E1820">
        <v>3</v>
      </c>
      <c r="F1820"/>
      <c r="G1820"/>
      <c r="H1820"/>
      <c r="I1820"/>
      <c r="J1820"/>
      <c r="K1820"/>
      <c r="L1820"/>
      <c r="M1820"/>
      <c r="N1820"/>
      <c r="O1820"/>
    </row>
    <row r="1821" spans="1:15" hidden="1" x14ac:dyDescent="0.25">
      <c r="A1821" t="s">
        <v>106</v>
      </c>
      <c r="B1821" t="s">
        <v>115</v>
      </c>
      <c r="C1821" t="b">
        <v>0</v>
      </c>
      <c r="D1821" s="1">
        <v>38443</v>
      </c>
      <c r="E1821">
        <v>3</v>
      </c>
      <c r="F1821"/>
      <c r="G1821"/>
      <c r="H1821"/>
      <c r="I1821"/>
      <c r="J1821"/>
      <c r="K1821"/>
      <c r="L1821"/>
      <c r="M1821"/>
      <c r="N1821"/>
      <c r="O1821"/>
    </row>
    <row r="1822" spans="1:15" hidden="1" x14ac:dyDescent="0.25">
      <c r="A1822" t="s">
        <v>106</v>
      </c>
      <c r="B1822" t="s">
        <v>115</v>
      </c>
      <c r="C1822" t="b">
        <v>0</v>
      </c>
      <c r="D1822" s="1">
        <v>38443</v>
      </c>
      <c r="E1822">
        <v>3</v>
      </c>
      <c r="F1822"/>
      <c r="G1822"/>
      <c r="H1822"/>
      <c r="I1822"/>
      <c r="J1822"/>
      <c r="K1822"/>
      <c r="L1822"/>
      <c r="M1822"/>
      <c r="N1822"/>
      <c r="O1822"/>
    </row>
    <row r="1823" spans="1:15" hidden="1" x14ac:dyDescent="0.25">
      <c r="A1823" t="s">
        <v>106</v>
      </c>
      <c r="B1823" t="s">
        <v>115</v>
      </c>
      <c r="C1823" t="b">
        <v>0</v>
      </c>
      <c r="D1823" s="1">
        <v>38443</v>
      </c>
      <c r="E1823">
        <v>3</v>
      </c>
      <c r="F1823"/>
      <c r="G1823"/>
      <c r="H1823"/>
      <c r="I1823"/>
      <c r="J1823"/>
      <c r="K1823"/>
      <c r="L1823"/>
      <c r="M1823"/>
      <c r="N1823"/>
      <c r="O1823"/>
    </row>
    <row r="1824" spans="1:15" hidden="1" x14ac:dyDescent="0.25">
      <c r="A1824" t="s">
        <v>106</v>
      </c>
      <c r="B1824" t="s">
        <v>115</v>
      </c>
      <c r="C1824" t="b">
        <v>0</v>
      </c>
      <c r="D1824" s="1">
        <v>38443</v>
      </c>
      <c r="E1824">
        <v>3</v>
      </c>
      <c r="F1824"/>
      <c r="G1824"/>
      <c r="H1824"/>
      <c r="I1824"/>
      <c r="J1824"/>
      <c r="K1824"/>
      <c r="L1824"/>
      <c r="M1824"/>
      <c r="N1824"/>
      <c r="O1824"/>
    </row>
    <row r="1825" spans="1:15" hidden="1" x14ac:dyDescent="0.25">
      <c r="A1825" t="s">
        <v>106</v>
      </c>
      <c r="B1825" t="s">
        <v>115</v>
      </c>
      <c r="C1825" t="b">
        <v>0</v>
      </c>
      <c r="D1825" s="1">
        <v>38443</v>
      </c>
      <c r="E1825">
        <v>3</v>
      </c>
      <c r="F1825"/>
      <c r="G1825"/>
      <c r="H1825"/>
      <c r="I1825"/>
      <c r="J1825"/>
      <c r="K1825"/>
      <c r="L1825"/>
      <c r="M1825"/>
      <c r="N1825"/>
      <c r="O1825"/>
    </row>
    <row r="1826" spans="1:15" hidden="1" x14ac:dyDescent="0.25">
      <c r="A1826" t="s">
        <v>106</v>
      </c>
      <c r="B1826" t="s">
        <v>115</v>
      </c>
      <c r="C1826" t="b">
        <v>0</v>
      </c>
      <c r="D1826" s="1">
        <v>38443</v>
      </c>
      <c r="E1826">
        <v>3</v>
      </c>
      <c r="F1826"/>
      <c r="G1826"/>
      <c r="H1826"/>
      <c r="I1826"/>
      <c r="J1826"/>
      <c r="K1826"/>
      <c r="L1826"/>
      <c r="M1826"/>
      <c r="N1826"/>
      <c r="O1826"/>
    </row>
    <row r="1827" spans="1:15" hidden="1" x14ac:dyDescent="0.25">
      <c r="A1827" t="s">
        <v>106</v>
      </c>
      <c r="B1827" t="s">
        <v>115</v>
      </c>
      <c r="C1827" t="b">
        <v>0</v>
      </c>
      <c r="D1827" s="1">
        <v>38443</v>
      </c>
      <c r="E1827">
        <v>3</v>
      </c>
      <c r="F1827"/>
      <c r="G1827"/>
      <c r="H1827"/>
      <c r="I1827"/>
      <c r="J1827"/>
      <c r="K1827"/>
      <c r="L1827"/>
      <c r="M1827"/>
      <c r="N1827"/>
      <c r="O1827"/>
    </row>
    <row r="1828" spans="1:15" hidden="1" x14ac:dyDescent="0.25">
      <c r="A1828" t="s">
        <v>106</v>
      </c>
      <c r="B1828" t="s">
        <v>115</v>
      </c>
      <c r="C1828" t="b">
        <v>0</v>
      </c>
      <c r="D1828" s="1">
        <v>38443</v>
      </c>
      <c r="E1828">
        <v>3</v>
      </c>
      <c r="F1828"/>
      <c r="G1828"/>
      <c r="H1828"/>
      <c r="I1828"/>
      <c r="J1828"/>
      <c r="K1828"/>
      <c r="L1828"/>
      <c r="M1828"/>
      <c r="N1828"/>
      <c r="O1828"/>
    </row>
    <row r="1829" spans="1:15" hidden="1" x14ac:dyDescent="0.25">
      <c r="A1829" t="s">
        <v>106</v>
      </c>
      <c r="B1829" t="s">
        <v>115</v>
      </c>
      <c r="C1829" t="b">
        <v>0</v>
      </c>
      <c r="D1829" s="1">
        <v>38443</v>
      </c>
      <c r="E1829">
        <v>3</v>
      </c>
      <c r="F1829"/>
      <c r="G1829"/>
      <c r="H1829"/>
      <c r="I1829"/>
      <c r="J1829"/>
      <c r="K1829"/>
      <c r="L1829"/>
      <c r="M1829"/>
      <c r="N1829"/>
      <c r="O1829"/>
    </row>
    <row r="1830" spans="1:15" hidden="1" x14ac:dyDescent="0.25">
      <c r="A1830" t="s">
        <v>106</v>
      </c>
      <c r="B1830" t="s">
        <v>115</v>
      </c>
      <c r="C1830" t="b">
        <v>0</v>
      </c>
      <c r="D1830" s="1">
        <v>38443</v>
      </c>
      <c r="E1830">
        <v>3</v>
      </c>
      <c r="F1830"/>
      <c r="G1830"/>
      <c r="H1830"/>
      <c r="I1830"/>
      <c r="J1830"/>
      <c r="K1830"/>
      <c r="L1830"/>
      <c r="M1830"/>
      <c r="N1830"/>
      <c r="O1830"/>
    </row>
    <row r="1831" spans="1:15" hidden="1" x14ac:dyDescent="0.25">
      <c r="A1831" t="s">
        <v>106</v>
      </c>
      <c r="B1831" t="s">
        <v>115</v>
      </c>
      <c r="C1831" t="b">
        <v>0</v>
      </c>
      <c r="D1831" s="1">
        <v>38443</v>
      </c>
      <c r="E1831">
        <v>3</v>
      </c>
      <c r="F1831"/>
      <c r="G1831"/>
      <c r="H1831"/>
      <c r="I1831"/>
      <c r="J1831"/>
      <c r="K1831"/>
      <c r="L1831"/>
      <c r="M1831"/>
      <c r="N1831"/>
      <c r="O1831"/>
    </row>
    <row r="1832" spans="1:15" hidden="1" x14ac:dyDescent="0.25">
      <c r="A1832" t="s">
        <v>106</v>
      </c>
      <c r="B1832" t="s">
        <v>115</v>
      </c>
      <c r="C1832" t="b">
        <v>0</v>
      </c>
      <c r="D1832" s="1">
        <v>38443</v>
      </c>
      <c r="E1832">
        <v>3</v>
      </c>
      <c r="F1832"/>
      <c r="G1832"/>
      <c r="H1832"/>
      <c r="I1832"/>
      <c r="J1832"/>
      <c r="K1832"/>
      <c r="L1832"/>
      <c r="M1832"/>
      <c r="N1832"/>
      <c r="O1832"/>
    </row>
    <row r="1833" spans="1:15" hidden="1" x14ac:dyDescent="0.25">
      <c r="A1833" t="s">
        <v>106</v>
      </c>
      <c r="B1833" t="s">
        <v>115</v>
      </c>
      <c r="C1833" t="b">
        <v>0</v>
      </c>
      <c r="D1833" s="1">
        <v>38443</v>
      </c>
      <c r="E1833">
        <v>3</v>
      </c>
      <c r="F1833"/>
      <c r="G1833"/>
      <c r="H1833"/>
      <c r="I1833"/>
      <c r="J1833"/>
      <c r="K1833"/>
      <c r="L1833"/>
      <c r="M1833"/>
      <c r="N1833"/>
      <c r="O1833"/>
    </row>
    <row r="1834" spans="1:15" hidden="1" x14ac:dyDescent="0.25">
      <c r="A1834" t="s">
        <v>106</v>
      </c>
      <c r="B1834" t="s">
        <v>115</v>
      </c>
      <c r="C1834" t="b">
        <v>0</v>
      </c>
      <c r="D1834" s="1">
        <v>38443</v>
      </c>
      <c r="E1834">
        <v>3</v>
      </c>
      <c r="F1834"/>
      <c r="G1834"/>
      <c r="H1834"/>
      <c r="I1834"/>
      <c r="J1834"/>
      <c r="K1834"/>
      <c r="L1834"/>
      <c r="M1834"/>
      <c r="N1834"/>
      <c r="O1834"/>
    </row>
    <row r="1835" spans="1:15" hidden="1" x14ac:dyDescent="0.25">
      <c r="A1835" t="s">
        <v>106</v>
      </c>
      <c r="B1835" t="s">
        <v>115</v>
      </c>
      <c r="C1835" t="b">
        <v>0</v>
      </c>
      <c r="D1835" s="1">
        <v>38443</v>
      </c>
      <c r="E1835">
        <v>3</v>
      </c>
      <c r="F1835"/>
      <c r="G1835"/>
      <c r="H1835"/>
      <c r="I1835"/>
      <c r="J1835"/>
      <c r="K1835"/>
      <c r="L1835"/>
      <c r="M1835"/>
      <c r="N1835"/>
      <c r="O1835"/>
    </row>
    <row r="1836" spans="1:15" hidden="1" x14ac:dyDescent="0.25">
      <c r="A1836" t="s">
        <v>106</v>
      </c>
      <c r="B1836" t="s">
        <v>115</v>
      </c>
      <c r="C1836" t="b">
        <v>0</v>
      </c>
      <c r="D1836" s="1">
        <v>38443</v>
      </c>
      <c r="E1836">
        <v>3</v>
      </c>
      <c r="F1836"/>
      <c r="G1836"/>
      <c r="H1836"/>
      <c r="I1836"/>
      <c r="J1836"/>
      <c r="K1836"/>
      <c r="L1836"/>
      <c r="M1836"/>
      <c r="N1836"/>
      <c r="O1836"/>
    </row>
    <row r="1837" spans="1:15" hidden="1" x14ac:dyDescent="0.25">
      <c r="A1837" t="s">
        <v>106</v>
      </c>
      <c r="B1837" t="s">
        <v>115</v>
      </c>
      <c r="C1837" t="b">
        <v>0</v>
      </c>
      <c r="D1837" s="1">
        <v>38443</v>
      </c>
      <c r="E1837">
        <v>3</v>
      </c>
      <c r="F1837"/>
      <c r="G1837"/>
      <c r="H1837"/>
      <c r="I1837"/>
      <c r="J1837"/>
      <c r="K1837"/>
      <c r="L1837"/>
      <c r="M1837"/>
      <c r="N1837"/>
      <c r="O1837"/>
    </row>
    <row r="1838" spans="1:15" hidden="1" x14ac:dyDescent="0.25">
      <c r="A1838" t="s">
        <v>24</v>
      </c>
      <c r="B1838" t="s">
        <v>115</v>
      </c>
      <c r="C1838" t="b">
        <v>0</v>
      </c>
      <c r="D1838" s="1">
        <v>38443</v>
      </c>
      <c r="E1838">
        <v>3</v>
      </c>
      <c r="F1838"/>
      <c r="G1838"/>
      <c r="H1838"/>
      <c r="I1838"/>
      <c r="J1838"/>
      <c r="K1838"/>
      <c r="L1838"/>
      <c r="M1838"/>
      <c r="N1838"/>
      <c r="O1838"/>
    </row>
    <row r="1839" spans="1:15" hidden="1" x14ac:dyDescent="0.25">
      <c r="A1839" t="s">
        <v>30</v>
      </c>
      <c r="B1839" t="s">
        <v>115</v>
      </c>
      <c r="C1839" t="b">
        <v>0</v>
      </c>
      <c r="D1839" s="1">
        <v>38443</v>
      </c>
      <c r="E1839">
        <v>3</v>
      </c>
      <c r="F1839"/>
      <c r="G1839"/>
      <c r="H1839"/>
      <c r="I1839"/>
      <c r="J1839"/>
      <c r="K1839"/>
      <c r="L1839"/>
      <c r="M1839"/>
      <c r="N1839"/>
      <c r="O1839"/>
    </row>
    <row r="1840" spans="1:15" hidden="1" x14ac:dyDescent="0.25">
      <c r="A1840" t="s">
        <v>39</v>
      </c>
      <c r="B1840" t="s">
        <v>115</v>
      </c>
      <c r="C1840" t="b">
        <v>0</v>
      </c>
      <c r="D1840" s="1">
        <v>38443</v>
      </c>
      <c r="E1840">
        <v>3</v>
      </c>
      <c r="F1840"/>
      <c r="G1840"/>
      <c r="H1840"/>
      <c r="I1840"/>
      <c r="J1840"/>
      <c r="K1840"/>
      <c r="L1840"/>
      <c r="M1840"/>
      <c r="N1840"/>
      <c r="O1840"/>
    </row>
    <row r="1841" spans="1:15" hidden="1" x14ac:dyDescent="0.25">
      <c r="A1841" t="s">
        <v>57</v>
      </c>
      <c r="B1841" t="s">
        <v>115</v>
      </c>
      <c r="C1841" t="b">
        <v>0</v>
      </c>
      <c r="D1841" s="1">
        <v>38443</v>
      </c>
      <c r="E1841">
        <v>3</v>
      </c>
      <c r="F1841"/>
      <c r="G1841"/>
      <c r="H1841"/>
      <c r="I1841"/>
      <c r="J1841"/>
      <c r="K1841"/>
      <c r="L1841"/>
      <c r="M1841"/>
      <c r="N1841"/>
      <c r="O1841"/>
    </row>
    <row r="1842" spans="1:15" hidden="1" x14ac:dyDescent="0.25">
      <c r="A1842" t="s">
        <v>69</v>
      </c>
      <c r="B1842" t="s">
        <v>115</v>
      </c>
      <c r="C1842" t="b">
        <v>0</v>
      </c>
      <c r="D1842" s="1">
        <v>38443</v>
      </c>
      <c r="E1842">
        <v>3</v>
      </c>
      <c r="F1842"/>
      <c r="G1842"/>
      <c r="H1842"/>
      <c r="I1842"/>
      <c r="J1842"/>
      <c r="K1842"/>
      <c r="L1842"/>
      <c r="M1842"/>
      <c r="N1842"/>
      <c r="O1842"/>
    </row>
    <row r="1843" spans="1:15" hidden="1" x14ac:dyDescent="0.25">
      <c r="A1843" t="s">
        <v>86</v>
      </c>
      <c r="B1843" t="s">
        <v>115</v>
      </c>
      <c r="C1843" t="b">
        <v>0</v>
      </c>
      <c r="D1843" s="1">
        <v>38443</v>
      </c>
      <c r="E1843">
        <v>3</v>
      </c>
      <c r="F1843"/>
      <c r="G1843"/>
      <c r="H1843"/>
      <c r="I1843"/>
      <c r="J1843"/>
      <c r="K1843"/>
      <c r="L1843"/>
      <c r="M1843"/>
      <c r="N1843"/>
      <c r="O1843"/>
    </row>
    <row r="1844" spans="1:15" hidden="1" x14ac:dyDescent="0.25">
      <c r="A1844" t="s">
        <v>90</v>
      </c>
      <c r="B1844" t="s">
        <v>115</v>
      </c>
      <c r="C1844" t="b">
        <v>0</v>
      </c>
      <c r="D1844" s="1">
        <v>38443</v>
      </c>
      <c r="E1844">
        <v>3</v>
      </c>
      <c r="F1844"/>
      <c r="G1844"/>
      <c r="H1844"/>
      <c r="I1844"/>
      <c r="J1844"/>
      <c r="K1844"/>
      <c r="L1844"/>
      <c r="M1844"/>
      <c r="N1844"/>
      <c r="O1844"/>
    </row>
    <row r="1845" spans="1:15" hidden="1" x14ac:dyDescent="0.25">
      <c r="A1845" t="s">
        <v>99</v>
      </c>
      <c r="B1845" t="s">
        <v>114</v>
      </c>
      <c r="C1845" t="b">
        <v>0</v>
      </c>
      <c r="D1845" s="1">
        <v>38443</v>
      </c>
      <c r="E1845">
        <v>17.59</v>
      </c>
      <c r="F1845"/>
      <c r="G1845"/>
      <c r="H1845"/>
      <c r="I1845"/>
      <c r="J1845"/>
      <c r="K1845"/>
      <c r="L1845"/>
      <c r="M1845"/>
      <c r="N1845"/>
      <c r="O1845"/>
    </row>
    <row r="1846" spans="1:15" hidden="1" x14ac:dyDescent="0.25">
      <c r="A1846" t="s">
        <v>104</v>
      </c>
      <c r="B1846" t="s">
        <v>117</v>
      </c>
      <c r="C1846" t="b">
        <v>0</v>
      </c>
      <c r="D1846" s="1">
        <v>38473</v>
      </c>
      <c r="E1846" s="2">
        <v>-22.71</v>
      </c>
      <c r="F1846"/>
      <c r="G1846"/>
      <c r="H1846"/>
      <c r="I1846"/>
      <c r="J1846"/>
      <c r="K1846"/>
      <c r="L1846"/>
      <c r="M1846"/>
      <c r="N1846"/>
      <c r="O1846"/>
    </row>
    <row r="1847" spans="1:15" hidden="1" x14ac:dyDescent="0.25">
      <c r="A1847" t="s">
        <v>11</v>
      </c>
      <c r="B1847" t="s">
        <v>115</v>
      </c>
      <c r="C1847" t="b">
        <v>0</v>
      </c>
      <c r="D1847" s="1">
        <v>38473</v>
      </c>
      <c r="E1847">
        <v>3</v>
      </c>
      <c r="F1847"/>
      <c r="G1847"/>
      <c r="H1847"/>
      <c r="I1847"/>
      <c r="J1847"/>
      <c r="K1847"/>
      <c r="L1847"/>
      <c r="M1847"/>
      <c r="N1847"/>
      <c r="O1847"/>
    </row>
    <row r="1848" spans="1:15" hidden="1" x14ac:dyDescent="0.25">
      <c r="A1848" t="s">
        <v>14</v>
      </c>
      <c r="B1848" t="s">
        <v>115</v>
      </c>
      <c r="C1848" t="b">
        <v>0</v>
      </c>
      <c r="D1848" s="1">
        <v>38473</v>
      </c>
      <c r="E1848">
        <v>3</v>
      </c>
      <c r="F1848"/>
      <c r="G1848"/>
      <c r="H1848"/>
      <c r="I1848"/>
      <c r="J1848"/>
      <c r="K1848"/>
      <c r="L1848"/>
      <c r="M1848"/>
      <c r="N1848"/>
      <c r="O1848"/>
    </row>
    <row r="1849" spans="1:15" hidden="1" x14ac:dyDescent="0.25">
      <c r="A1849" t="s">
        <v>18</v>
      </c>
      <c r="B1849" t="s">
        <v>115</v>
      </c>
      <c r="C1849" t="b">
        <v>0</v>
      </c>
      <c r="D1849" s="1">
        <v>38473</v>
      </c>
      <c r="E1849">
        <v>3</v>
      </c>
      <c r="F1849"/>
      <c r="G1849"/>
      <c r="H1849"/>
      <c r="I1849"/>
      <c r="J1849"/>
      <c r="K1849"/>
      <c r="L1849"/>
      <c r="M1849"/>
      <c r="N1849"/>
      <c r="O1849"/>
    </row>
    <row r="1850" spans="1:15" hidden="1" x14ac:dyDescent="0.25">
      <c r="A1850" t="s">
        <v>106</v>
      </c>
      <c r="B1850" t="s">
        <v>115</v>
      </c>
      <c r="C1850" t="b">
        <v>0</v>
      </c>
      <c r="D1850" s="1">
        <v>38473</v>
      </c>
      <c r="E1850">
        <v>3</v>
      </c>
      <c r="F1850"/>
      <c r="G1850"/>
      <c r="H1850"/>
      <c r="I1850"/>
      <c r="J1850"/>
      <c r="K1850"/>
      <c r="L1850"/>
      <c r="M1850"/>
      <c r="N1850"/>
      <c r="O1850"/>
    </row>
    <row r="1851" spans="1:15" hidden="1" x14ac:dyDescent="0.25">
      <c r="A1851" t="s">
        <v>106</v>
      </c>
      <c r="B1851" t="s">
        <v>115</v>
      </c>
      <c r="C1851" t="b">
        <v>0</v>
      </c>
      <c r="D1851" s="1">
        <v>38473</v>
      </c>
      <c r="E1851">
        <v>3</v>
      </c>
      <c r="F1851"/>
      <c r="G1851"/>
      <c r="H1851"/>
      <c r="I1851"/>
      <c r="J1851"/>
      <c r="K1851"/>
      <c r="L1851"/>
      <c r="M1851"/>
      <c r="N1851"/>
      <c r="O1851"/>
    </row>
    <row r="1852" spans="1:15" hidden="1" x14ac:dyDescent="0.25">
      <c r="A1852" t="s">
        <v>106</v>
      </c>
      <c r="B1852" t="s">
        <v>115</v>
      </c>
      <c r="C1852" t="b">
        <v>0</v>
      </c>
      <c r="D1852" s="1">
        <v>38473</v>
      </c>
      <c r="E1852">
        <v>3</v>
      </c>
      <c r="F1852"/>
      <c r="G1852"/>
      <c r="H1852"/>
      <c r="I1852"/>
      <c r="J1852"/>
      <c r="K1852"/>
      <c r="L1852"/>
      <c r="M1852"/>
      <c r="N1852"/>
      <c r="O1852"/>
    </row>
    <row r="1853" spans="1:15" hidden="1" x14ac:dyDescent="0.25">
      <c r="A1853" t="s">
        <v>106</v>
      </c>
      <c r="B1853" t="s">
        <v>115</v>
      </c>
      <c r="C1853" t="b">
        <v>0</v>
      </c>
      <c r="D1853" s="1">
        <v>38473</v>
      </c>
      <c r="E1853">
        <v>3</v>
      </c>
      <c r="F1853"/>
      <c r="G1853"/>
      <c r="H1853"/>
      <c r="I1853"/>
      <c r="J1853"/>
      <c r="K1853"/>
      <c r="L1853"/>
      <c r="M1853"/>
      <c r="N1853"/>
      <c r="O1853"/>
    </row>
    <row r="1854" spans="1:15" hidden="1" x14ac:dyDescent="0.25">
      <c r="A1854" t="s">
        <v>106</v>
      </c>
      <c r="B1854" t="s">
        <v>115</v>
      </c>
      <c r="C1854" t="b">
        <v>0</v>
      </c>
      <c r="D1854" s="1">
        <v>38473</v>
      </c>
      <c r="E1854">
        <v>3</v>
      </c>
      <c r="F1854"/>
      <c r="G1854"/>
      <c r="H1854"/>
      <c r="I1854"/>
      <c r="J1854"/>
      <c r="K1854"/>
      <c r="L1854"/>
      <c r="M1854"/>
      <c r="N1854"/>
      <c r="O1854"/>
    </row>
    <row r="1855" spans="1:15" hidden="1" x14ac:dyDescent="0.25">
      <c r="A1855" t="s">
        <v>106</v>
      </c>
      <c r="B1855" t="s">
        <v>115</v>
      </c>
      <c r="C1855" t="b">
        <v>0</v>
      </c>
      <c r="D1855" s="1">
        <v>38473</v>
      </c>
      <c r="E1855">
        <v>3</v>
      </c>
      <c r="F1855"/>
      <c r="G1855"/>
      <c r="H1855"/>
      <c r="I1855"/>
      <c r="J1855"/>
      <c r="K1855"/>
      <c r="L1855"/>
      <c r="M1855"/>
      <c r="N1855"/>
      <c r="O1855"/>
    </row>
    <row r="1856" spans="1:15" hidden="1" x14ac:dyDescent="0.25">
      <c r="A1856" t="s">
        <v>106</v>
      </c>
      <c r="B1856" t="s">
        <v>115</v>
      </c>
      <c r="C1856" t="b">
        <v>0</v>
      </c>
      <c r="D1856" s="1">
        <v>38473</v>
      </c>
      <c r="E1856">
        <v>3</v>
      </c>
      <c r="F1856"/>
      <c r="G1856"/>
      <c r="H1856"/>
      <c r="I1856"/>
      <c r="J1856"/>
      <c r="K1856"/>
      <c r="L1856"/>
      <c r="M1856"/>
      <c r="N1856"/>
      <c r="O1856"/>
    </row>
    <row r="1857" spans="1:15" hidden="1" x14ac:dyDescent="0.25">
      <c r="A1857" t="s">
        <v>106</v>
      </c>
      <c r="B1857" t="s">
        <v>115</v>
      </c>
      <c r="C1857" t="b">
        <v>0</v>
      </c>
      <c r="D1857" s="1">
        <v>38473</v>
      </c>
      <c r="E1857">
        <v>3</v>
      </c>
      <c r="F1857"/>
      <c r="G1857"/>
      <c r="H1857"/>
      <c r="I1857"/>
      <c r="J1857"/>
      <c r="K1857"/>
      <c r="L1857"/>
      <c r="M1857"/>
      <c r="N1857"/>
      <c r="O1857"/>
    </row>
    <row r="1858" spans="1:15" hidden="1" x14ac:dyDescent="0.25">
      <c r="A1858" t="s">
        <v>106</v>
      </c>
      <c r="B1858" t="s">
        <v>115</v>
      </c>
      <c r="C1858" t="b">
        <v>0</v>
      </c>
      <c r="D1858" s="1">
        <v>38473</v>
      </c>
      <c r="E1858">
        <v>3</v>
      </c>
      <c r="F1858"/>
      <c r="G1858"/>
      <c r="H1858"/>
      <c r="I1858"/>
      <c r="J1858"/>
      <c r="K1858"/>
      <c r="L1858"/>
      <c r="M1858"/>
      <c r="N1858"/>
      <c r="O1858"/>
    </row>
    <row r="1859" spans="1:15" hidden="1" x14ac:dyDescent="0.25">
      <c r="A1859" t="s">
        <v>106</v>
      </c>
      <c r="B1859" t="s">
        <v>115</v>
      </c>
      <c r="C1859" t="b">
        <v>0</v>
      </c>
      <c r="D1859" s="1">
        <v>38473</v>
      </c>
      <c r="E1859">
        <v>3</v>
      </c>
      <c r="F1859"/>
      <c r="G1859"/>
      <c r="H1859"/>
      <c r="I1859"/>
      <c r="J1859"/>
      <c r="K1859"/>
      <c r="L1859"/>
      <c r="M1859"/>
      <c r="N1859"/>
      <c r="O1859"/>
    </row>
    <row r="1860" spans="1:15" hidden="1" x14ac:dyDescent="0.25">
      <c r="A1860" t="s">
        <v>106</v>
      </c>
      <c r="B1860" t="s">
        <v>115</v>
      </c>
      <c r="C1860" t="b">
        <v>0</v>
      </c>
      <c r="D1860" s="1">
        <v>38473</v>
      </c>
      <c r="E1860">
        <v>3</v>
      </c>
      <c r="F1860"/>
      <c r="G1860"/>
      <c r="H1860"/>
      <c r="I1860"/>
      <c r="J1860"/>
      <c r="K1860"/>
      <c r="L1860"/>
      <c r="M1860"/>
      <c r="N1860"/>
      <c r="O1860"/>
    </row>
    <row r="1861" spans="1:15" hidden="1" x14ac:dyDescent="0.25">
      <c r="A1861" t="s">
        <v>106</v>
      </c>
      <c r="B1861" t="s">
        <v>115</v>
      </c>
      <c r="C1861" t="b">
        <v>0</v>
      </c>
      <c r="D1861" s="1">
        <v>38473</v>
      </c>
      <c r="E1861">
        <v>3</v>
      </c>
      <c r="F1861"/>
      <c r="G1861"/>
      <c r="H1861"/>
      <c r="I1861"/>
      <c r="J1861"/>
      <c r="K1861"/>
      <c r="L1861"/>
      <c r="M1861"/>
      <c r="N1861"/>
      <c r="O1861"/>
    </row>
    <row r="1862" spans="1:15" hidden="1" x14ac:dyDescent="0.25">
      <c r="A1862" t="s">
        <v>106</v>
      </c>
      <c r="B1862" t="s">
        <v>115</v>
      </c>
      <c r="C1862" t="b">
        <v>0</v>
      </c>
      <c r="D1862" s="1">
        <v>38473</v>
      </c>
      <c r="E1862">
        <v>3</v>
      </c>
      <c r="F1862"/>
      <c r="G1862"/>
      <c r="H1862"/>
      <c r="I1862"/>
      <c r="J1862"/>
      <c r="K1862"/>
      <c r="L1862"/>
      <c r="M1862"/>
      <c r="N1862"/>
      <c r="O1862"/>
    </row>
    <row r="1863" spans="1:15" hidden="1" x14ac:dyDescent="0.25">
      <c r="A1863" t="s">
        <v>106</v>
      </c>
      <c r="B1863" t="s">
        <v>115</v>
      </c>
      <c r="C1863" t="b">
        <v>0</v>
      </c>
      <c r="D1863" s="1">
        <v>38473</v>
      </c>
      <c r="E1863">
        <v>3</v>
      </c>
      <c r="F1863"/>
      <c r="G1863"/>
      <c r="H1863"/>
      <c r="I1863"/>
      <c r="J1863"/>
      <c r="K1863"/>
      <c r="L1863"/>
      <c r="M1863"/>
      <c r="N1863"/>
      <c r="O1863"/>
    </row>
    <row r="1864" spans="1:15" hidden="1" x14ac:dyDescent="0.25">
      <c r="A1864" t="s">
        <v>106</v>
      </c>
      <c r="B1864" t="s">
        <v>115</v>
      </c>
      <c r="C1864" t="b">
        <v>0</v>
      </c>
      <c r="D1864" s="1">
        <v>38473</v>
      </c>
      <c r="E1864">
        <v>3</v>
      </c>
      <c r="F1864"/>
      <c r="G1864"/>
      <c r="H1864"/>
      <c r="I1864"/>
      <c r="J1864"/>
      <c r="K1864"/>
      <c r="L1864"/>
      <c r="M1864"/>
      <c r="N1864"/>
      <c r="O1864"/>
    </row>
    <row r="1865" spans="1:15" hidden="1" x14ac:dyDescent="0.25">
      <c r="A1865" t="s">
        <v>106</v>
      </c>
      <c r="B1865" t="s">
        <v>115</v>
      </c>
      <c r="C1865" t="b">
        <v>0</v>
      </c>
      <c r="D1865" s="1">
        <v>38473</v>
      </c>
      <c r="E1865">
        <v>3</v>
      </c>
      <c r="F1865"/>
      <c r="G1865"/>
      <c r="H1865"/>
      <c r="I1865"/>
      <c r="J1865"/>
      <c r="K1865"/>
      <c r="L1865"/>
      <c r="M1865"/>
      <c r="N1865"/>
      <c r="O1865"/>
    </row>
    <row r="1866" spans="1:15" hidden="1" x14ac:dyDescent="0.25">
      <c r="A1866" t="s">
        <v>106</v>
      </c>
      <c r="B1866" t="s">
        <v>115</v>
      </c>
      <c r="C1866" t="b">
        <v>0</v>
      </c>
      <c r="D1866" s="1">
        <v>38473</v>
      </c>
      <c r="E1866">
        <v>3</v>
      </c>
      <c r="F1866"/>
      <c r="G1866"/>
      <c r="H1866"/>
      <c r="I1866"/>
      <c r="J1866"/>
      <c r="K1866"/>
      <c r="L1866"/>
      <c r="M1866"/>
      <c r="N1866"/>
      <c r="O1866"/>
    </row>
    <row r="1867" spans="1:15" hidden="1" x14ac:dyDescent="0.25">
      <c r="A1867" t="s">
        <v>106</v>
      </c>
      <c r="B1867" t="s">
        <v>115</v>
      </c>
      <c r="C1867" t="b">
        <v>0</v>
      </c>
      <c r="D1867" s="1">
        <v>38473</v>
      </c>
      <c r="E1867">
        <v>3</v>
      </c>
      <c r="F1867"/>
      <c r="G1867"/>
      <c r="H1867"/>
      <c r="I1867"/>
      <c r="J1867"/>
      <c r="K1867"/>
      <c r="L1867"/>
      <c r="M1867"/>
      <c r="N1867"/>
      <c r="O1867"/>
    </row>
    <row r="1868" spans="1:15" hidden="1" x14ac:dyDescent="0.25">
      <c r="A1868" t="s">
        <v>106</v>
      </c>
      <c r="B1868" t="s">
        <v>115</v>
      </c>
      <c r="C1868" t="b">
        <v>0</v>
      </c>
      <c r="D1868" s="1">
        <v>38473</v>
      </c>
      <c r="E1868">
        <v>3</v>
      </c>
      <c r="F1868"/>
      <c r="G1868"/>
      <c r="H1868"/>
      <c r="I1868"/>
      <c r="J1868"/>
      <c r="K1868"/>
      <c r="L1868"/>
      <c r="M1868"/>
      <c r="N1868"/>
      <c r="O1868"/>
    </row>
    <row r="1869" spans="1:15" hidden="1" x14ac:dyDescent="0.25">
      <c r="A1869" t="s">
        <v>24</v>
      </c>
      <c r="B1869" t="s">
        <v>115</v>
      </c>
      <c r="C1869" t="b">
        <v>0</v>
      </c>
      <c r="D1869" s="1">
        <v>38473</v>
      </c>
      <c r="E1869">
        <v>3</v>
      </c>
      <c r="F1869"/>
      <c r="G1869"/>
      <c r="H1869"/>
      <c r="I1869"/>
      <c r="J1869"/>
      <c r="K1869"/>
      <c r="L1869"/>
      <c r="M1869"/>
      <c r="N1869"/>
      <c r="O1869"/>
    </row>
    <row r="1870" spans="1:15" hidden="1" x14ac:dyDescent="0.25">
      <c r="A1870" t="s">
        <v>30</v>
      </c>
      <c r="B1870" t="s">
        <v>115</v>
      </c>
      <c r="C1870" t="b">
        <v>0</v>
      </c>
      <c r="D1870" s="1">
        <v>38473</v>
      </c>
      <c r="E1870">
        <v>3</v>
      </c>
      <c r="F1870"/>
      <c r="G1870"/>
      <c r="H1870"/>
      <c r="I1870"/>
      <c r="J1870"/>
      <c r="K1870"/>
      <c r="L1870"/>
      <c r="M1870"/>
      <c r="N1870"/>
      <c r="O1870"/>
    </row>
    <row r="1871" spans="1:15" hidden="1" x14ac:dyDescent="0.25">
      <c r="A1871" t="s">
        <v>39</v>
      </c>
      <c r="B1871" t="s">
        <v>115</v>
      </c>
      <c r="C1871" t="b">
        <v>0</v>
      </c>
      <c r="D1871" s="1">
        <v>38473</v>
      </c>
      <c r="E1871">
        <v>3</v>
      </c>
      <c r="F1871"/>
      <c r="G1871"/>
      <c r="H1871"/>
      <c r="I1871"/>
      <c r="J1871"/>
      <c r="K1871"/>
      <c r="L1871"/>
      <c r="M1871"/>
      <c r="N1871"/>
      <c r="O1871"/>
    </row>
    <row r="1872" spans="1:15" hidden="1" x14ac:dyDescent="0.25">
      <c r="A1872" t="s">
        <v>57</v>
      </c>
      <c r="B1872" t="s">
        <v>115</v>
      </c>
      <c r="C1872" t="b">
        <v>0</v>
      </c>
      <c r="D1872" s="1">
        <v>38473</v>
      </c>
      <c r="E1872">
        <v>3</v>
      </c>
      <c r="F1872"/>
      <c r="G1872"/>
      <c r="H1872"/>
      <c r="I1872"/>
      <c r="J1872"/>
      <c r="K1872"/>
      <c r="L1872"/>
      <c r="M1872"/>
      <c r="N1872"/>
      <c r="O1872"/>
    </row>
    <row r="1873" spans="1:15" hidden="1" x14ac:dyDescent="0.25">
      <c r="A1873" t="s">
        <v>69</v>
      </c>
      <c r="B1873" t="s">
        <v>115</v>
      </c>
      <c r="C1873" t="b">
        <v>0</v>
      </c>
      <c r="D1873" s="1">
        <v>38473</v>
      </c>
      <c r="E1873">
        <v>3</v>
      </c>
      <c r="F1873"/>
      <c r="G1873"/>
      <c r="H1873"/>
      <c r="I1873"/>
      <c r="J1873"/>
      <c r="K1873"/>
      <c r="L1873"/>
      <c r="M1873"/>
      <c r="N1873"/>
      <c r="O1873"/>
    </row>
    <row r="1874" spans="1:15" hidden="1" x14ac:dyDescent="0.25">
      <c r="A1874" t="s">
        <v>86</v>
      </c>
      <c r="B1874" t="s">
        <v>115</v>
      </c>
      <c r="C1874" t="b">
        <v>0</v>
      </c>
      <c r="D1874" s="1">
        <v>38473</v>
      </c>
      <c r="E1874">
        <v>3</v>
      </c>
      <c r="F1874"/>
      <c r="G1874"/>
      <c r="H1874"/>
      <c r="I1874"/>
      <c r="J1874"/>
      <c r="K1874"/>
      <c r="L1874"/>
      <c r="M1874"/>
      <c r="N1874"/>
      <c r="O1874"/>
    </row>
    <row r="1875" spans="1:15" hidden="1" x14ac:dyDescent="0.25">
      <c r="A1875" t="s">
        <v>99</v>
      </c>
      <c r="B1875" t="s">
        <v>114</v>
      </c>
      <c r="C1875" t="b">
        <v>0</v>
      </c>
      <c r="D1875" s="1">
        <v>38473</v>
      </c>
      <c r="E1875">
        <v>18.119999999999997</v>
      </c>
      <c r="F1875"/>
      <c r="G1875"/>
      <c r="H1875"/>
      <c r="I1875"/>
      <c r="J1875"/>
      <c r="K1875"/>
      <c r="L1875"/>
      <c r="M1875"/>
      <c r="N1875"/>
      <c r="O1875"/>
    </row>
    <row r="1876" spans="1:15" hidden="1" x14ac:dyDescent="0.25">
      <c r="A1876" t="s">
        <v>102</v>
      </c>
      <c r="B1876" t="s">
        <v>117</v>
      </c>
      <c r="C1876" t="b">
        <v>0</v>
      </c>
      <c r="D1876" s="1">
        <v>38504</v>
      </c>
      <c r="E1876" s="2">
        <v>-34.14</v>
      </c>
      <c r="F1876"/>
      <c r="G1876"/>
      <c r="H1876"/>
      <c r="I1876"/>
      <c r="J1876"/>
      <c r="K1876"/>
      <c r="L1876"/>
      <c r="M1876"/>
      <c r="N1876"/>
      <c r="O1876"/>
    </row>
    <row r="1877" spans="1:15" hidden="1" x14ac:dyDescent="0.25">
      <c r="A1877" t="s">
        <v>103</v>
      </c>
      <c r="B1877" t="s">
        <v>117</v>
      </c>
      <c r="C1877" t="b">
        <v>0</v>
      </c>
      <c r="D1877" s="1">
        <v>38504</v>
      </c>
      <c r="E1877" s="2">
        <v>-50.24</v>
      </c>
      <c r="F1877"/>
      <c r="G1877"/>
      <c r="H1877"/>
      <c r="I1877"/>
      <c r="J1877"/>
      <c r="K1877"/>
      <c r="L1877"/>
      <c r="M1877"/>
      <c r="N1877"/>
      <c r="O1877"/>
    </row>
    <row r="1878" spans="1:15" hidden="1" x14ac:dyDescent="0.25">
      <c r="A1878" t="s">
        <v>14</v>
      </c>
      <c r="B1878" t="s">
        <v>115</v>
      </c>
      <c r="C1878" t="b">
        <v>0</v>
      </c>
      <c r="D1878" s="1">
        <v>38504</v>
      </c>
      <c r="E1878">
        <v>3</v>
      </c>
      <c r="F1878"/>
      <c r="G1878"/>
      <c r="H1878"/>
      <c r="I1878"/>
      <c r="J1878"/>
      <c r="K1878"/>
      <c r="L1878"/>
      <c r="M1878"/>
      <c r="N1878"/>
      <c r="O1878"/>
    </row>
    <row r="1879" spans="1:15" hidden="1" x14ac:dyDescent="0.25">
      <c r="A1879" t="s">
        <v>18</v>
      </c>
      <c r="B1879" t="s">
        <v>115</v>
      </c>
      <c r="C1879" t="b">
        <v>0</v>
      </c>
      <c r="D1879" s="1">
        <v>38504</v>
      </c>
      <c r="E1879">
        <v>3</v>
      </c>
      <c r="F1879"/>
      <c r="G1879"/>
      <c r="H1879"/>
      <c r="I1879"/>
      <c r="J1879"/>
      <c r="K1879"/>
      <c r="L1879"/>
      <c r="M1879"/>
      <c r="N1879"/>
      <c r="O1879"/>
    </row>
    <row r="1880" spans="1:15" hidden="1" x14ac:dyDescent="0.25">
      <c r="A1880" t="s">
        <v>106</v>
      </c>
      <c r="B1880" t="s">
        <v>115</v>
      </c>
      <c r="C1880" t="b">
        <v>0</v>
      </c>
      <c r="D1880" s="1">
        <v>38504</v>
      </c>
      <c r="E1880">
        <v>3</v>
      </c>
      <c r="F1880"/>
      <c r="G1880"/>
      <c r="H1880"/>
      <c r="I1880"/>
      <c r="J1880"/>
      <c r="K1880"/>
      <c r="L1880"/>
      <c r="M1880"/>
      <c r="N1880"/>
      <c r="O1880"/>
    </row>
    <row r="1881" spans="1:15" hidden="1" x14ac:dyDescent="0.25">
      <c r="A1881" t="s">
        <v>106</v>
      </c>
      <c r="B1881" t="s">
        <v>115</v>
      </c>
      <c r="C1881" t="b">
        <v>0</v>
      </c>
      <c r="D1881" s="1">
        <v>38504</v>
      </c>
      <c r="E1881">
        <v>3</v>
      </c>
      <c r="F1881"/>
      <c r="G1881"/>
      <c r="H1881"/>
      <c r="I1881"/>
      <c r="J1881"/>
      <c r="K1881"/>
      <c r="L1881"/>
      <c r="M1881"/>
      <c r="N1881"/>
      <c r="O1881"/>
    </row>
    <row r="1882" spans="1:15" hidden="1" x14ac:dyDescent="0.25">
      <c r="A1882" t="s">
        <v>106</v>
      </c>
      <c r="B1882" t="s">
        <v>115</v>
      </c>
      <c r="C1882" t="b">
        <v>0</v>
      </c>
      <c r="D1882" s="1">
        <v>38504</v>
      </c>
      <c r="E1882">
        <v>3</v>
      </c>
      <c r="F1882"/>
      <c r="G1882"/>
      <c r="H1882"/>
      <c r="I1882"/>
      <c r="J1882"/>
      <c r="K1882"/>
      <c r="L1882"/>
      <c r="M1882"/>
      <c r="N1882"/>
      <c r="O1882"/>
    </row>
    <row r="1883" spans="1:15" hidden="1" x14ac:dyDescent="0.25">
      <c r="A1883" t="s">
        <v>106</v>
      </c>
      <c r="B1883" t="s">
        <v>115</v>
      </c>
      <c r="C1883" t="b">
        <v>0</v>
      </c>
      <c r="D1883" s="1">
        <v>38504</v>
      </c>
      <c r="E1883">
        <v>3</v>
      </c>
      <c r="F1883"/>
      <c r="G1883"/>
      <c r="H1883"/>
      <c r="I1883"/>
      <c r="J1883"/>
      <c r="K1883"/>
      <c r="L1883"/>
      <c r="M1883"/>
      <c r="N1883"/>
      <c r="O1883"/>
    </row>
    <row r="1884" spans="1:15" hidden="1" x14ac:dyDescent="0.25">
      <c r="A1884" t="s">
        <v>106</v>
      </c>
      <c r="B1884" t="s">
        <v>115</v>
      </c>
      <c r="C1884" t="b">
        <v>0</v>
      </c>
      <c r="D1884" s="1">
        <v>38504</v>
      </c>
      <c r="E1884">
        <v>3</v>
      </c>
      <c r="F1884"/>
      <c r="G1884"/>
      <c r="H1884"/>
      <c r="I1884"/>
      <c r="J1884"/>
      <c r="K1884"/>
      <c r="L1884"/>
      <c r="M1884"/>
      <c r="N1884"/>
      <c r="O1884"/>
    </row>
    <row r="1885" spans="1:15" hidden="1" x14ac:dyDescent="0.25">
      <c r="A1885" t="s">
        <v>106</v>
      </c>
      <c r="B1885" t="s">
        <v>115</v>
      </c>
      <c r="C1885" t="b">
        <v>0</v>
      </c>
      <c r="D1885" s="1">
        <v>38504</v>
      </c>
      <c r="E1885">
        <v>3</v>
      </c>
      <c r="F1885"/>
      <c r="G1885"/>
      <c r="H1885"/>
      <c r="I1885"/>
      <c r="J1885"/>
      <c r="K1885"/>
      <c r="L1885"/>
      <c r="M1885"/>
      <c r="N1885"/>
      <c r="O1885"/>
    </row>
    <row r="1886" spans="1:15" hidden="1" x14ac:dyDescent="0.25">
      <c r="A1886" t="s">
        <v>106</v>
      </c>
      <c r="B1886" t="s">
        <v>115</v>
      </c>
      <c r="C1886" t="b">
        <v>0</v>
      </c>
      <c r="D1886" s="1">
        <v>38504</v>
      </c>
      <c r="E1886">
        <v>3</v>
      </c>
      <c r="F1886"/>
      <c r="G1886"/>
      <c r="H1886"/>
      <c r="I1886"/>
      <c r="J1886"/>
      <c r="K1886"/>
      <c r="L1886"/>
      <c r="M1886"/>
      <c r="N1886"/>
      <c r="O1886"/>
    </row>
    <row r="1887" spans="1:15" hidden="1" x14ac:dyDescent="0.25">
      <c r="A1887" t="s">
        <v>106</v>
      </c>
      <c r="B1887" t="s">
        <v>115</v>
      </c>
      <c r="C1887" t="b">
        <v>0</v>
      </c>
      <c r="D1887" s="1">
        <v>38504</v>
      </c>
      <c r="E1887">
        <v>3</v>
      </c>
      <c r="F1887"/>
      <c r="G1887"/>
      <c r="H1887"/>
      <c r="I1887"/>
      <c r="J1887"/>
      <c r="K1887"/>
      <c r="L1887"/>
      <c r="M1887"/>
      <c r="N1887"/>
      <c r="O1887"/>
    </row>
    <row r="1888" spans="1:15" hidden="1" x14ac:dyDescent="0.25">
      <c r="A1888" t="s">
        <v>106</v>
      </c>
      <c r="B1888" t="s">
        <v>115</v>
      </c>
      <c r="C1888" t="b">
        <v>0</v>
      </c>
      <c r="D1888" s="1">
        <v>38504</v>
      </c>
      <c r="E1888">
        <v>3</v>
      </c>
      <c r="F1888"/>
      <c r="G1888"/>
      <c r="H1888"/>
      <c r="I1888"/>
      <c r="J1888"/>
      <c r="K1888"/>
      <c r="L1888"/>
      <c r="M1888"/>
      <c r="N1888"/>
      <c r="O1888"/>
    </row>
    <row r="1889" spans="1:15" hidden="1" x14ac:dyDescent="0.25">
      <c r="A1889" t="s">
        <v>106</v>
      </c>
      <c r="B1889" t="s">
        <v>115</v>
      </c>
      <c r="C1889" t="b">
        <v>0</v>
      </c>
      <c r="D1889" s="1">
        <v>38504</v>
      </c>
      <c r="E1889">
        <v>3</v>
      </c>
      <c r="F1889"/>
      <c r="G1889"/>
      <c r="H1889"/>
      <c r="I1889"/>
      <c r="J1889"/>
      <c r="K1889"/>
      <c r="L1889"/>
      <c r="M1889"/>
      <c r="N1889"/>
      <c r="O1889"/>
    </row>
    <row r="1890" spans="1:15" hidden="1" x14ac:dyDescent="0.25">
      <c r="A1890" t="s">
        <v>106</v>
      </c>
      <c r="B1890" t="s">
        <v>115</v>
      </c>
      <c r="C1890" t="b">
        <v>0</v>
      </c>
      <c r="D1890" s="1">
        <v>38504</v>
      </c>
      <c r="E1890">
        <v>3</v>
      </c>
      <c r="F1890"/>
      <c r="G1890"/>
      <c r="H1890"/>
      <c r="I1890"/>
      <c r="J1890"/>
      <c r="K1890"/>
      <c r="L1890"/>
      <c r="M1890"/>
      <c r="N1890"/>
      <c r="O1890"/>
    </row>
    <row r="1891" spans="1:15" hidden="1" x14ac:dyDescent="0.25">
      <c r="A1891" t="s">
        <v>106</v>
      </c>
      <c r="B1891" t="s">
        <v>115</v>
      </c>
      <c r="C1891" t="b">
        <v>0</v>
      </c>
      <c r="D1891" s="1">
        <v>38504</v>
      </c>
      <c r="E1891">
        <v>3</v>
      </c>
      <c r="F1891"/>
      <c r="G1891"/>
      <c r="H1891"/>
      <c r="I1891"/>
      <c r="J1891"/>
      <c r="K1891"/>
      <c r="L1891"/>
      <c r="M1891"/>
      <c r="N1891"/>
      <c r="O1891"/>
    </row>
    <row r="1892" spans="1:15" hidden="1" x14ac:dyDescent="0.25">
      <c r="A1892" t="s">
        <v>106</v>
      </c>
      <c r="B1892" t="s">
        <v>115</v>
      </c>
      <c r="C1892" t="b">
        <v>0</v>
      </c>
      <c r="D1892" s="1">
        <v>38504</v>
      </c>
      <c r="E1892">
        <v>3</v>
      </c>
      <c r="F1892"/>
      <c r="G1892"/>
      <c r="H1892"/>
      <c r="I1892"/>
      <c r="J1892"/>
      <c r="K1892"/>
      <c r="L1892"/>
      <c r="M1892"/>
      <c r="N1892"/>
      <c r="O1892"/>
    </row>
    <row r="1893" spans="1:15" hidden="1" x14ac:dyDescent="0.25">
      <c r="A1893" t="s">
        <v>106</v>
      </c>
      <c r="B1893" t="s">
        <v>115</v>
      </c>
      <c r="C1893" t="b">
        <v>0</v>
      </c>
      <c r="D1893" s="1">
        <v>38504</v>
      </c>
      <c r="E1893">
        <v>3</v>
      </c>
      <c r="F1893"/>
      <c r="G1893"/>
      <c r="H1893"/>
      <c r="I1893"/>
      <c r="J1893"/>
      <c r="K1893"/>
      <c r="L1893"/>
      <c r="M1893"/>
      <c r="N1893"/>
      <c r="O1893"/>
    </row>
    <row r="1894" spans="1:15" hidden="1" x14ac:dyDescent="0.25">
      <c r="A1894" t="s">
        <v>106</v>
      </c>
      <c r="B1894" t="s">
        <v>115</v>
      </c>
      <c r="C1894" t="b">
        <v>0</v>
      </c>
      <c r="D1894" s="1">
        <v>38504</v>
      </c>
      <c r="E1894">
        <v>3</v>
      </c>
      <c r="F1894"/>
      <c r="G1894"/>
      <c r="H1894"/>
      <c r="I1894"/>
      <c r="J1894"/>
      <c r="K1894"/>
      <c r="L1894"/>
      <c r="M1894"/>
      <c r="N1894"/>
      <c r="O1894"/>
    </row>
    <row r="1895" spans="1:15" hidden="1" x14ac:dyDescent="0.25">
      <c r="A1895" t="s">
        <v>106</v>
      </c>
      <c r="B1895" t="s">
        <v>115</v>
      </c>
      <c r="C1895" t="b">
        <v>0</v>
      </c>
      <c r="D1895" s="1">
        <v>38504</v>
      </c>
      <c r="E1895">
        <v>3</v>
      </c>
      <c r="F1895"/>
      <c r="G1895"/>
      <c r="H1895"/>
      <c r="I1895"/>
      <c r="J1895"/>
      <c r="K1895"/>
      <c r="L1895"/>
      <c r="M1895"/>
      <c r="N1895"/>
      <c r="O1895"/>
    </row>
    <row r="1896" spans="1:15" hidden="1" x14ac:dyDescent="0.25">
      <c r="A1896" t="s">
        <v>106</v>
      </c>
      <c r="B1896" t="s">
        <v>115</v>
      </c>
      <c r="C1896" t="b">
        <v>0</v>
      </c>
      <c r="D1896" s="1">
        <v>38504</v>
      </c>
      <c r="E1896">
        <v>3</v>
      </c>
      <c r="F1896"/>
      <c r="G1896"/>
      <c r="H1896"/>
      <c r="I1896"/>
      <c r="J1896"/>
      <c r="K1896"/>
      <c r="L1896"/>
      <c r="M1896"/>
      <c r="N1896"/>
      <c r="O1896"/>
    </row>
    <row r="1897" spans="1:15" hidden="1" x14ac:dyDescent="0.25">
      <c r="A1897" t="s">
        <v>106</v>
      </c>
      <c r="B1897" t="s">
        <v>115</v>
      </c>
      <c r="C1897" t="b">
        <v>0</v>
      </c>
      <c r="D1897" s="1">
        <v>38504</v>
      </c>
      <c r="E1897">
        <v>3</v>
      </c>
      <c r="F1897"/>
      <c r="G1897"/>
      <c r="H1897"/>
      <c r="I1897"/>
      <c r="J1897"/>
      <c r="K1897"/>
      <c r="L1897"/>
      <c r="M1897"/>
      <c r="N1897"/>
      <c r="O1897"/>
    </row>
    <row r="1898" spans="1:15" hidden="1" x14ac:dyDescent="0.25">
      <c r="A1898" t="s">
        <v>106</v>
      </c>
      <c r="B1898" t="s">
        <v>115</v>
      </c>
      <c r="C1898" t="b">
        <v>0</v>
      </c>
      <c r="D1898" s="1">
        <v>38504</v>
      </c>
      <c r="E1898">
        <v>3</v>
      </c>
      <c r="F1898"/>
      <c r="G1898"/>
      <c r="H1898"/>
      <c r="I1898"/>
      <c r="J1898"/>
      <c r="K1898"/>
      <c r="L1898"/>
      <c r="M1898"/>
      <c r="N1898"/>
      <c r="O1898"/>
    </row>
    <row r="1899" spans="1:15" hidden="1" x14ac:dyDescent="0.25">
      <c r="A1899" t="s">
        <v>24</v>
      </c>
      <c r="B1899" t="s">
        <v>115</v>
      </c>
      <c r="C1899" t="b">
        <v>0</v>
      </c>
      <c r="D1899" s="1">
        <v>38504</v>
      </c>
      <c r="E1899">
        <v>3</v>
      </c>
      <c r="F1899"/>
      <c r="G1899"/>
      <c r="H1899"/>
      <c r="I1899"/>
      <c r="J1899"/>
      <c r="K1899"/>
      <c r="L1899"/>
      <c r="M1899"/>
      <c r="N1899"/>
      <c r="O1899"/>
    </row>
    <row r="1900" spans="1:15" hidden="1" x14ac:dyDescent="0.25">
      <c r="A1900" t="s">
        <v>30</v>
      </c>
      <c r="B1900" t="s">
        <v>115</v>
      </c>
      <c r="C1900" t="b">
        <v>0</v>
      </c>
      <c r="D1900" s="1">
        <v>38504</v>
      </c>
      <c r="E1900">
        <v>3</v>
      </c>
      <c r="F1900"/>
      <c r="G1900"/>
      <c r="H1900"/>
      <c r="I1900"/>
      <c r="J1900"/>
      <c r="K1900"/>
      <c r="L1900"/>
      <c r="M1900"/>
      <c r="N1900"/>
      <c r="O1900"/>
    </row>
    <row r="1901" spans="1:15" hidden="1" x14ac:dyDescent="0.25">
      <c r="A1901" t="s">
        <v>39</v>
      </c>
      <c r="B1901" t="s">
        <v>115</v>
      </c>
      <c r="C1901" t="b">
        <v>0</v>
      </c>
      <c r="D1901" s="1">
        <v>38504</v>
      </c>
      <c r="E1901">
        <v>3</v>
      </c>
      <c r="F1901"/>
      <c r="G1901"/>
      <c r="H1901"/>
      <c r="I1901"/>
      <c r="J1901"/>
      <c r="K1901"/>
      <c r="L1901"/>
      <c r="M1901"/>
      <c r="N1901"/>
      <c r="O1901"/>
    </row>
    <row r="1902" spans="1:15" hidden="1" x14ac:dyDescent="0.25">
      <c r="A1902" t="s">
        <v>57</v>
      </c>
      <c r="B1902" t="s">
        <v>115</v>
      </c>
      <c r="C1902" t="b">
        <v>0</v>
      </c>
      <c r="D1902" s="1">
        <v>38504</v>
      </c>
      <c r="E1902">
        <v>3</v>
      </c>
      <c r="F1902"/>
      <c r="G1902"/>
      <c r="H1902"/>
      <c r="I1902"/>
      <c r="J1902"/>
      <c r="K1902"/>
      <c r="L1902"/>
      <c r="M1902"/>
      <c r="N1902"/>
      <c r="O1902"/>
    </row>
    <row r="1903" spans="1:15" hidden="1" x14ac:dyDescent="0.25">
      <c r="A1903" t="s">
        <v>69</v>
      </c>
      <c r="B1903" t="s">
        <v>115</v>
      </c>
      <c r="C1903" t="b">
        <v>0</v>
      </c>
      <c r="D1903" s="1">
        <v>38504</v>
      </c>
      <c r="E1903">
        <v>3</v>
      </c>
      <c r="F1903"/>
      <c r="G1903"/>
      <c r="H1903"/>
      <c r="I1903"/>
      <c r="J1903"/>
      <c r="K1903"/>
      <c r="L1903"/>
      <c r="M1903"/>
      <c r="N1903"/>
      <c r="O1903"/>
    </row>
    <row r="1904" spans="1:15" hidden="1" x14ac:dyDescent="0.25">
      <c r="A1904" t="s">
        <v>86</v>
      </c>
      <c r="B1904" t="s">
        <v>115</v>
      </c>
      <c r="C1904" t="b">
        <v>0</v>
      </c>
      <c r="D1904" s="1">
        <v>38504</v>
      </c>
      <c r="E1904">
        <v>3</v>
      </c>
      <c r="F1904"/>
      <c r="G1904"/>
      <c r="H1904"/>
      <c r="I1904"/>
      <c r="J1904"/>
      <c r="K1904"/>
      <c r="L1904"/>
      <c r="M1904"/>
      <c r="N1904"/>
      <c r="O1904"/>
    </row>
    <row r="1905" spans="1:15" hidden="1" x14ac:dyDescent="0.25">
      <c r="A1905" t="s">
        <v>99</v>
      </c>
      <c r="B1905" t="s">
        <v>114</v>
      </c>
      <c r="C1905" t="b">
        <v>0</v>
      </c>
      <c r="D1905" s="1">
        <v>38504</v>
      </c>
      <c r="E1905">
        <v>13.34</v>
      </c>
      <c r="F1905"/>
      <c r="G1905"/>
      <c r="H1905"/>
      <c r="I1905"/>
      <c r="J1905"/>
      <c r="K1905"/>
      <c r="L1905"/>
      <c r="M1905"/>
      <c r="N1905"/>
      <c r="O1905"/>
    </row>
    <row r="1906" spans="1:15" hidden="1" x14ac:dyDescent="0.25">
      <c r="A1906" t="s">
        <v>102</v>
      </c>
      <c r="B1906" t="s">
        <v>117</v>
      </c>
      <c r="C1906" t="b">
        <v>0</v>
      </c>
      <c r="D1906" s="1">
        <v>38534</v>
      </c>
      <c r="E1906" s="2">
        <v>-14.64</v>
      </c>
      <c r="F1906"/>
      <c r="G1906"/>
      <c r="H1906"/>
      <c r="I1906"/>
      <c r="J1906"/>
      <c r="K1906"/>
      <c r="L1906"/>
      <c r="M1906"/>
      <c r="N1906"/>
      <c r="O1906"/>
    </row>
    <row r="1907" spans="1:15" hidden="1" x14ac:dyDescent="0.25">
      <c r="A1907" t="s">
        <v>103</v>
      </c>
      <c r="B1907" t="s">
        <v>117</v>
      </c>
      <c r="C1907" t="b">
        <v>0</v>
      </c>
      <c r="D1907" s="1">
        <v>38534</v>
      </c>
      <c r="E1907" s="2">
        <v>-3.98</v>
      </c>
      <c r="F1907"/>
      <c r="G1907"/>
      <c r="H1907"/>
      <c r="I1907"/>
      <c r="J1907"/>
      <c r="K1907"/>
      <c r="L1907"/>
      <c r="M1907"/>
      <c r="N1907"/>
      <c r="O1907"/>
    </row>
    <row r="1908" spans="1:15" hidden="1" x14ac:dyDescent="0.25">
      <c r="A1908" t="s">
        <v>11</v>
      </c>
      <c r="B1908" t="s">
        <v>115</v>
      </c>
      <c r="C1908" t="b">
        <v>0</v>
      </c>
      <c r="D1908" s="1">
        <v>38534</v>
      </c>
      <c r="E1908">
        <v>3</v>
      </c>
      <c r="F1908"/>
      <c r="G1908"/>
      <c r="H1908"/>
      <c r="I1908"/>
      <c r="J1908"/>
      <c r="K1908"/>
      <c r="L1908"/>
      <c r="M1908"/>
      <c r="N1908"/>
      <c r="O1908"/>
    </row>
    <row r="1909" spans="1:15" hidden="1" x14ac:dyDescent="0.25">
      <c r="A1909" t="s">
        <v>14</v>
      </c>
      <c r="B1909" t="s">
        <v>115</v>
      </c>
      <c r="C1909" t="b">
        <v>0</v>
      </c>
      <c r="D1909" s="1">
        <v>38534</v>
      </c>
      <c r="E1909">
        <v>3</v>
      </c>
      <c r="F1909"/>
      <c r="G1909"/>
      <c r="H1909"/>
      <c r="I1909"/>
      <c r="J1909"/>
      <c r="K1909"/>
      <c r="L1909"/>
      <c r="M1909"/>
      <c r="N1909"/>
      <c r="O1909"/>
    </row>
    <row r="1910" spans="1:15" hidden="1" x14ac:dyDescent="0.25">
      <c r="A1910" t="s">
        <v>18</v>
      </c>
      <c r="B1910" t="s">
        <v>115</v>
      </c>
      <c r="C1910" t="b">
        <v>0</v>
      </c>
      <c r="D1910" s="1">
        <v>38534</v>
      </c>
      <c r="E1910">
        <v>3</v>
      </c>
      <c r="F1910"/>
      <c r="G1910"/>
      <c r="H1910"/>
      <c r="I1910"/>
      <c r="J1910"/>
      <c r="K1910"/>
      <c r="L1910"/>
      <c r="M1910"/>
      <c r="N1910"/>
      <c r="O1910"/>
    </row>
    <row r="1911" spans="1:15" hidden="1" x14ac:dyDescent="0.25">
      <c r="A1911" t="s">
        <v>106</v>
      </c>
      <c r="B1911" t="s">
        <v>115</v>
      </c>
      <c r="C1911" t="b">
        <v>0</v>
      </c>
      <c r="D1911" s="1">
        <v>38534</v>
      </c>
      <c r="E1911">
        <v>3</v>
      </c>
      <c r="F1911"/>
      <c r="G1911"/>
      <c r="H1911"/>
      <c r="I1911"/>
      <c r="J1911"/>
      <c r="K1911"/>
      <c r="L1911"/>
      <c r="M1911"/>
      <c r="N1911"/>
      <c r="O1911"/>
    </row>
    <row r="1912" spans="1:15" hidden="1" x14ac:dyDescent="0.25">
      <c r="A1912" t="s">
        <v>106</v>
      </c>
      <c r="B1912" t="s">
        <v>115</v>
      </c>
      <c r="C1912" t="b">
        <v>0</v>
      </c>
      <c r="D1912" s="1">
        <v>38534</v>
      </c>
      <c r="E1912">
        <v>3</v>
      </c>
      <c r="F1912"/>
      <c r="G1912"/>
      <c r="H1912"/>
      <c r="I1912"/>
      <c r="J1912"/>
      <c r="K1912"/>
      <c r="L1912"/>
      <c r="M1912"/>
      <c r="N1912"/>
      <c r="O1912"/>
    </row>
    <row r="1913" spans="1:15" hidden="1" x14ac:dyDescent="0.25">
      <c r="A1913" t="s">
        <v>106</v>
      </c>
      <c r="B1913" t="s">
        <v>115</v>
      </c>
      <c r="C1913" t="b">
        <v>0</v>
      </c>
      <c r="D1913" s="1">
        <v>38534</v>
      </c>
      <c r="E1913">
        <v>3</v>
      </c>
      <c r="F1913"/>
      <c r="G1913"/>
      <c r="H1913"/>
      <c r="I1913"/>
      <c r="J1913"/>
      <c r="K1913"/>
      <c r="L1913"/>
      <c r="M1913"/>
      <c r="N1913"/>
      <c r="O1913"/>
    </row>
    <row r="1914" spans="1:15" hidden="1" x14ac:dyDescent="0.25">
      <c r="A1914" t="s">
        <v>106</v>
      </c>
      <c r="B1914" t="s">
        <v>115</v>
      </c>
      <c r="C1914" t="b">
        <v>0</v>
      </c>
      <c r="D1914" s="1">
        <v>38534</v>
      </c>
      <c r="E1914">
        <v>3</v>
      </c>
      <c r="F1914"/>
      <c r="G1914"/>
      <c r="H1914"/>
      <c r="I1914"/>
      <c r="J1914"/>
      <c r="K1914"/>
      <c r="L1914"/>
      <c r="M1914"/>
      <c r="N1914"/>
      <c r="O1914"/>
    </row>
    <row r="1915" spans="1:15" hidden="1" x14ac:dyDescent="0.25">
      <c r="A1915" t="s">
        <v>106</v>
      </c>
      <c r="B1915" t="s">
        <v>115</v>
      </c>
      <c r="C1915" t="b">
        <v>0</v>
      </c>
      <c r="D1915" s="1">
        <v>38534</v>
      </c>
      <c r="E1915">
        <v>3</v>
      </c>
      <c r="F1915"/>
      <c r="G1915"/>
      <c r="H1915"/>
      <c r="I1915"/>
      <c r="J1915"/>
      <c r="K1915"/>
      <c r="L1915"/>
      <c r="M1915"/>
      <c r="N1915"/>
      <c r="O1915"/>
    </row>
    <row r="1916" spans="1:15" hidden="1" x14ac:dyDescent="0.25">
      <c r="A1916" t="s">
        <v>106</v>
      </c>
      <c r="B1916" t="s">
        <v>115</v>
      </c>
      <c r="C1916" t="b">
        <v>0</v>
      </c>
      <c r="D1916" s="1">
        <v>38534</v>
      </c>
      <c r="E1916">
        <v>3</v>
      </c>
      <c r="F1916"/>
      <c r="G1916"/>
      <c r="H1916"/>
      <c r="I1916"/>
      <c r="J1916"/>
      <c r="K1916"/>
      <c r="L1916"/>
      <c r="M1916"/>
      <c r="N1916"/>
      <c r="O1916"/>
    </row>
    <row r="1917" spans="1:15" hidden="1" x14ac:dyDescent="0.25">
      <c r="A1917" t="s">
        <v>106</v>
      </c>
      <c r="B1917" t="s">
        <v>115</v>
      </c>
      <c r="C1917" t="b">
        <v>0</v>
      </c>
      <c r="D1917" s="1">
        <v>38534</v>
      </c>
      <c r="E1917">
        <v>3</v>
      </c>
      <c r="F1917"/>
      <c r="G1917"/>
      <c r="H1917"/>
      <c r="I1917"/>
      <c r="J1917"/>
      <c r="K1917"/>
      <c r="L1917"/>
      <c r="M1917"/>
      <c r="N1917"/>
      <c r="O1917"/>
    </row>
    <row r="1918" spans="1:15" hidden="1" x14ac:dyDescent="0.25">
      <c r="A1918" t="s">
        <v>106</v>
      </c>
      <c r="B1918" t="s">
        <v>115</v>
      </c>
      <c r="C1918" t="b">
        <v>0</v>
      </c>
      <c r="D1918" s="1">
        <v>38534</v>
      </c>
      <c r="E1918">
        <v>3</v>
      </c>
      <c r="F1918"/>
      <c r="G1918"/>
      <c r="H1918"/>
      <c r="I1918"/>
      <c r="J1918"/>
      <c r="K1918"/>
      <c r="L1918"/>
      <c r="M1918"/>
      <c r="N1918"/>
      <c r="O1918"/>
    </row>
    <row r="1919" spans="1:15" hidden="1" x14ac:dyDescent="0.25">
      <c r="A1919" t="s">
        <v>106</v>
      </c>
      <c r="B1919" t="s">
        <v>115</v>
      </c>
      <c r="C1919" t="b">
        <v>0</v>
      </c>
      <c r="D1919" s="1">
        <v>38534</v>
      </c>
      <c r="E1919">
        <v>3</v>
      </c>
      <c r="F1919"/>
      <c r="G1919"/>
      <c r="H1919"/>
      <c r="I1919"/>
      <c r="J1919"/>
      <c r="K1919"/>
      <c r="L1919"/>
      <c r="M1919"/>
      <c r="N1919"/>
      <c r="O1919"/>
    </row>
    <row r="1920" spans="1:15" hidden="1" x14ac:dyDescent="0.25">
      <c r="A1920" t="s">
        <v>106</v>
      </c>
      <c r="B1920" t="s">
        <v>115</v>
      </c>
      <c r="C1920" t="b">
        <v>0</v>
      </c>
      <c r="D1920" s="1">
        <v>38534</v>
      </c>
      <c r="E1920">
        <v>3</v>
      </c>
      <c r="F1920"/>
      <c r="G1920"/>
      <c r="H1920"/>
      <c r="I1920"/>
      <c r="J1920"/>
      <c r="K1920"/>
      <c r="L1920"/>
      <c r="M1920"/>
      <c r="N1920"/>
      <c r="O1920"/>
    </row>
    <row r="1921" spans="1:15" hidden="1" x14ac:dyDescent="0.25">
      <c r="A1921" t="s">
        <v>106</v>
      </c>
      <c r="B1921" t="s">
        <v>115</v>
      </c>
      <c r="C1921" t="b">
        <v>0</v>
      </c>
      <c r="D1921" s="1">
        <v>38534</v>
      </c>
      <c r="E1921">
        <v>3</v>
      </c>
      <c r="F1921"/>
      <c r="G1921"/>
      <c r="H1921"/>
      <c r="I1921"/>
      <c r="J1921"/>
      <c r="K1921"/>
      <c r="L1921"/>
      <c r="M1921"/>
      <c r="N1921"/>
      <c r="O1921"/>
    </row>
    <row r="1922" spans="1:15" hidden="1" x14ac:dyDescent="0.25">
      <c r="A1922" t="s">
        <v>106</v>
      </c>
      <c r="B1922" t="s">
        <v>115</v>
      </c>
      <c r="C1922" t="b">
        <v>0</v>
      </c>
      <c r="D1922" s="1">
        <v>38534</v>
      </c>
      <c r="E1922">
        <v>3</v>
      </c>
      <c r="F1922"/>
      <c r="G1922"/>
      <c r="H1922"/>
      <c r="I1922"/>
      <c r="J1922"/>
      <c r="K1922"/>
      <c r="L1922"/>
      <c r="M1922"/>
      <c r="N1922"/>
      <c r="O1922"/>
    </row>
    <row r="1923" spans="1:15" hidden="1" x14ac:dyDescent="0.25">
      <c r="A1923" t="s">
        <v>106</v>
      </c>
      <c r="B1923" t="s">
        <v>115</v>
      </c>
      <c r="C1923" t="b">
        <v>0</v>
      </c>
      <c r="D1923" s="1">
        <v>38534</v>
      </c>
      <c r="E1923">
        <v>3</v>
      </c>
      <c r="F1923"/>
      <c r="G1923"/>
      <c r="H1923"/>
      <c r="I1923"/>
      <c r="J1923"/>
      <c r="K1923"/>
      <c r="L1923"/>
      <c r="M1923"/>
      <c r="N1923"/>
      <c r="O1923"/>
    </row>
    <row r="1924" spans="1:15" hidden="1" x14ac:dyDescent="0.25">
      <c r="A1924" t="s">
        <v>106</v>
      </c>
      <c r="B1924" t="s">
        <v>115</v>
      </c>
      <c r="C1924" t="b">
        <v>0</v>
      </c>
      <c r="D1924" s="1">
        <v>38534</v>
      </c>
      <c r="E1924">
        <v>3</v>
      </c>
      <c r="F1924"/>
      <c r="G1924"/>
      <c r="H1924"/>
      <c r="I1924"/>
      <c r="J1924"/>
      <c r="K1924"/>
      <c r="L1924"/>
      <c r="M1924"/>
      <c r="N1924"/>
      <c r="O1924"/>
    </row>
    <row r="1925" spans="1:15" hidden="1" x14ac:dyDescent="0.25">
      <c r="A1925" t="s">
        <v>106</v>
      </c>
      <c r="B1925" t="s">
        <v>115</v>
      </c>
      <c r="C1925" t="b">
        <v>0</v>
      </c>
      <c r="D1925" s="1">
        <v>38534</v>
      </c>
      <c r="E1925">
        <v>3</v>
      </c>
      <c r="F1925"/>
      <c r="G1925"/>
      <c r="H1925"/>
      <c r="I1925"/>
      <c r="J1925"/>
      <c r="K1925"/>
      <c r="L1925"/>
      <c r="M1925"/>
      <c r="N1925"/>
      <c r="O1925"/>
    </row>
    <row r="1926" spans="1:15" hidden="1" x14ac:dyDescent="0.25">
      <c r="A1926" t="s">
        <v>106</v>
      </c>
      <c r="B1926" t="s">
        <v>115</v>
      </c>
      <c r="C1926" t="b">
        <v>0</v>
      </c>
      <c r="D1926" s="1">
        <v>38534</v>
      </c>
      <c r="E1926">
        <v>3</v>
      </c>
      <c r="F1926"/>
      <c r="G1926"/>
      <c r="H1926"/>
      <c r="I1926"/>
      <c r="J1926"/>
      <c r="K1926"/>
      <c r="L1926"/>
      <c r="M1926"/>
      <c r="N1926"/>
      <c r="O1926"/>
    </row>
    <row r="1927" spans="1:15" hidden="1" x14ac:dyDescent="0.25">
      <c r="A1927" t="s">
        <v>106</v>
      </c>
      <c r="B1927" t="s">
        <v>115</v>
      </c>
      <c r="C1927" t="b">
        <v>0</v>
      </c>
      <c r="D1927" s="1">
        <v>38534</v>
      </c>
      <c r="E1927">
        <v>3</v>
      </c>
      <c r="F1927"/>
      <c r="G1927"/>
      <c r="H1927"/>
      <c r="I1927"/>
      <c r="J1927"/>
      <c r="K1927"/>
      <c r="L1927"/>
      <c r="M1927"/>
      <c r="N1927"/>
      <c r="O1927"/>
    </row>
    <row r="1928" spans="1:15" hidden="1" x14ac:dyDescent="0.25">
      <c r="A1928" t="s">
        <v>24</v>
      </c>
      <c r="B1928" t="s">
        <v>115</v>
      </c>
      <c r="C1928" t="b">
        <v>0</v>
      </c>
      <c r="D1928" s="1">
        <v>38534</v>
      </c>
      <c r="E1928">
        <v>3</v>
      </c>
      <c r="F1928"/>
      <c r="G1928"/>
      <c r="H1928"/>
      <c r="I1928"/>
      <c r="J1928"/>
      <c r="K1928"/>
      <c r="L1928"/>
      <c r="M1928"/>
      <c r="N1928"/>
      <c r="O1928"/>
    </row>
    <row r="1929" spans="1:15" hidden="1" x14ac:dyDescent="0.25">
      <c r="A1929" t="s">
        <v>30</v>
      </c>
      <c r="B1929" t="s">
        <v>115</v>
      </c>
      <c r="C1929" t="b">
        <v>0</v>
      </c>
      <c r="D1929" s="1">
        <v>38534</v>
      </c>
      <c r="E1929">
        <v>3</v>
      </c>
      <c r="F1929"/>
      <c r="G1929"/>
      <c r="H1929"/>
      <c r="I1929"/>
      <c r="J1929"/>
      <c r="K1929"/>
      <c r="L1929"/>
      <c r="M1929"/>
      <c r="N1929"/>
      <c r="O1929"/>
    </row>
    <row r="1930" spans="1:15" hidden="1" x14ac:dyDescent="0.25">
      <c r="A1930" t="s">
        <v>39</v>
      </c>
      <c r="B1930" t="s">
        <v>115</v>
      </c>
      <c r="C1930" t="b">
        <v>0</v>
      </c>
      <c r="D1930" s="1">
        <v>38534</v>
      </c>
      <c r="E1930">
        <v>3</v>
      </c>
      <c r="F1930"/>
      <c r="G1930"/>
      <c r="H1930"/>
      <c r="I1930"/>
      <c r="J1930"/>
      <c r="K1930"/>
      <c r="L1930"/>
      <c r="M1930"/>
      <c r="N1930"/>
      <c r="O1930"/>
    </row>
    <row r="1931" spans="1:15" hidden="1" x14ac:dyDescent="0.25">
      <c r="A1931" t="s">
        <v>57</v>
      </c>
      <c r="B1931" t="s">
        <v>115</v>
      </c>
      <c r="C1931" t="b">
        <v>0</v>
      </c>
      <c r="D1931" s="1">
        <v>38534</v>
      </c>
      <c r="E1931">
        <v>3</v>
      </c>
      <c r="F1931"/>
      <c r="G1931"/>
      <c r="H1931"/>
      <c r="I1931"/>
      <c r="J1931"/>
      <c r="K1931"/>
      <c r="L1931"/>
      <c r="M1931"/>
      <c r="N1931"/>
      <c r="O1931"/>
    </row>
    <row r="1932" spans="1:15" hidden="1" x14ac:dyDescent="0.25">
      <c r="A1932" t="s">
        <v>69</v>
      </c>
      <c r="B1932" t="s">
        <v>115</v>
      </c>
      <c r="C1932" t="b">
        <v>0</v>
      </c>
      <c r="D1932" s="1">
        <v>38534</v>
      </c>
      <c r="E1932">
        <v>3</v>
      </c>
      <c r="F1932"/>
      <c r="G1932"/>
      <c r="H1932"/>
      <c r="I1932"/>
      <c r="J1932"/>
      <c r="K1932"/>
      <c r="L1932"/>
      <c r="M1932"/>
      <c r="N1932"/>
      <c r="O1932"/>
    </row>
    <row r="1933" spans="1:15" hidden="1" x14ac:dyDescent="0.25">
      <c r="A1933" t="s">
        <v>86</v>
      </c>
      <c r="B1933" t="s">
        <v>115</v>
      </c>
      <c r="C1933" t="b">
        <v>0</v>
      </c>
      <c r="D1933" s="1">
        <v>38534</v>
      </c>
      <c r="E1933">
        <v>3</v>
      </c>
      <c r="F1933"/>
      <c r="G1933"/>
      <c r="H1933"/>
      <c r="I1933"/>
      <c r="J1933"/>
      <c r="K1933"/>
      <c r="L1933"/>
      <c r="M1933"/>
      <c r="N1933"/>
      <c r="O1933"/>
    </row>
    <row r="1934" spans="1:15" hidden="1" x14ac:dyDescent="0.25">
      <c r="A1934" t="s">
        <v>100</v>
      </c>
      <c r="B1934" t="s">
        <v>117</v>
      </c>
      <c r="C1934" t="b">
        <v>0</v>
      </c>
      <c r="D1934" s="1">
        <v>38565</v>
      </c>
      <c r="E1934" s="2">
        <v>-104.1</v>
      </c>
      <c r="F1934"/>
      <c r="G1934"/>
      <c r="H1934"/>
      <c r="I1934"/>
      <c r="J1934"/>
      <c r="K1934"/>
      <c r="L1934"/>
      <c r="M1934"/>
      <c r="N1934"/>
      <c r="O1934"/>
    </row>
    <row r="1935" spans="1:15" hidden="1" x14ac:dyDescent="0.25">
      <c r="A1935" t="s">
        <v>104</v>
      </c>
      <c r="B1935" t="s">
        <v>117</v>
      </c>
      <c r="C1935" t="b">
        <v>0</v>
      </c>
      <c r="D1935" s="1">
        <v>38565</v>
      </c>
      <c r="E1935" s="2">
        <v>-1.29</v>
      </c>
      <c r="F1935"/>
      <c r="G1935"/>
      <c r="H1935"/>
      <c r="I1935"/>
      <c r="J1935"/>
      <c r="K1935"/>
      <c r="L1935"/>
      <c r="M1935"/>
      <c r="N1935"/>
      <c r="O1935"/>
    </row>
    <row r="1936" spans="1:15" hidden="1" x14ac:dyDescent="0.25">
      <c r="A1936" t="s">
        <v>102</v>
      </c>
      <c r="B1936" t="s">
        <v>117</v>
      </c>
      <c r="C1936" t="b">
        <v>0</v>
      </c>
      <c r="D1936" s="1">
        <v>38565</v>
      </c>
      <c r="E1936" s="2">
        <v>-15.55</v>
      </c>
      <c r="F1936"/>
      <c r="G1936"/>
      <c r="H1936"/>
      <c r="I1936"/>
      <c r="J1936"/>
      <c r="K1936"/>
      <c r="L1936"/>
      <c r="M1936"/>
      <c r="N1936"/>
      <c r="O1936"/>
    </row>
    <row r="1937" spans="1:15" hidden="1" x14ac:dyDescent="0.25">
      <c r="A1937" t="s">
        <v>101</v>
      </c>
      <c r="B1937" t="s">
        <v>117</v>
      </c>
      <c r="C1937" t="b">
        <v>0</v>
      </c>
      <c r="D1937" s="1">
        <v>38565</v>
      </c>
      <c r="E1937" s="2">
        <v>-90</v>
      </c>
      <c r="F1937"/>
      <c r="G1937"/>
      <c r="H1937"/>
      <c r="I1937"/>
      <c r="J1937"/>
      <c r="K1937"/>
      <c r="L1937"/>
      <c r="M1937"/>
      <c r="N1937"/>
      <c r="O1937"/>
    </row>
    <row r="1938" spans="1:15" hidden="1" x14ac:dyDescent="0.25">
      <c r="A1938" t="s">
        <v>11</v>
      </c>
      <c r="B1938" t="s">
        <v>115</v>
      </c>
      <c r="C1938" t="b">
        <v>0</v>
      </c>
      <c r="D1938" s="1">
        <v>38565</v>
      </c>
      <c r="E1938">
        <v>3</v>
      </c>
      <c r="F1938"/>
      <c r="G1938"/>
      <c r="H1938"/>
      <c r="I1938"/>
      <c r="J1938"/>
      <c r="K1938"/>
      <c r="L1938"/>
      <c r="M1938"/>
      <c r="N1938"/>
      <c r="O1938"/>
    </row>
    <row r="1939" spans="1:15" hidden="1" x14ac:dyDescent="0.25">
      <c r="A1939" t="s">
        <v>14</v>
      </c>
      <c r="B1939" t="s">
        <v>115</v>
      </c>
      <c r="C1939" t="b">
        <v>0</v>
      </c>
      <c r="D1939" s="1">
        <v>38565</v>
      </c>
      <c r="E1939">
        <v>3</v>
      </c>
      <c r="F1939"/>
      <c r="G1939"/>
      <c r="H1939"/>
      <c r="I1939"/>
      <c r="J1939"/>
      <c r="K1939"/>
      <c r="L1939"/>
      <c r="M1939"/>
      <c r="N1939"/>
      <c r="O1939"/>
    </row>
    <row r="1940" spans="1:15" hidden="1" x14ac:dyDescent="0.25">
      <c r="A1940" t="s">
        <v>18</v>
      </c>
      <c r="B1940" t="s">
        <v>115</v>
      </c>
      <c r="C1940" t="b">
        <v>0</v>
      </c>
      <c r="D1940" s="1">
        <v>38565</v>
      </c>
      <c r="E1940">
        <v>3</v>
      </c>
      <c r="F1940"/>
      <c r="G1940"/>
      <c r="H1940"/>
      <c r="I1940"/>
      <c r="J1940"/>
      <c r="K1940"/>
      <c r="L1940"/>
      <c r="M1940"/>
      <c r="N1940"/>
      <c r="O1940"/>
    </row>
    <row r="1941" spans="1:15" hidden="1" x14ac:dyDescent="0.25">
      <c r="A1941" t="s">
        <v>106</v>
      </c>
      <c r="B1941" t="s">
        <v>115</v>
      </c>
      <c r="C1941" t="b">
        <v>0</v>
      </c>
      <c r="D1941" s="1">
        <v>38565</v>
      </c>
      <c r="E1941">
        <v>3</v>
      </c>
      <c r="F1941"/>
      <c r="G1941"/>
      <c r="H1941"/>
      <c r="I1941"/>
      <c r="J1941"/>
      <c r="K1941"/>
      <c r="L1941"/>
      <c r="M1941"/>
      <c r="N1941"/>
      <c r="O1941"/>
    </row>
    <row r="1942" spans="1:15" hidden="1" x14ac:dyDescent="0.25">
      <c r="A1942" t="s">
        <v>106</v>
      </c>
      <c r="B1942" t="s">
        <v>115</v>
      </c>
      <c r="C1942" t="b">
        <v>0</v>
      </c>
      <c r="D1942" s="1">
        <v>38565</v>
      </c>
      <c r="E1942">
        <v>3</v>
      </c>
      <c r="F1942"/>
      <c r="G1942"/>
      <c r="H1942"/>
      <c r="I1942"/>
      <c r="J1942"/>
      <c r="K1942"/>
      <c r="L1942"/>
      <c r="M1942"/>
      <c r="N1942"/>
      <c r="O1942"/>
    </row>
    <row r="1943" spans="1:15" hidden="1" x14ac:dyDescent="0.25">
      <c r="A1943" t="s">
        <v>106</v>
      </c>
      <c r="B1943" t="s">
        <v>115</v>
      </c>
      <c r="C1943" t="b">
        <v>0</v>
      </c>
      <c r="D1943" s="1">
        <v>38565</v>
      </c>
      <c r="E1943">
        <v>3</v>
      </c>
      <c r="F1943"/>
      <c r="G1943"/>
      <c r="H1943"/>
      <c r="I1943"/>
      <c r="J1943"/>
      <c r="K1943"/>
      <c r="L1943"/>
      <c r="M1943"/>
      <c r="N1943"/>
      <c r="O1943"/>
    </row>
    <row r="1944" spans="1:15" hidden="1" x14ac:dyDescent="0.25">
      <c r="A1944" t="s">
        <v>106</v>
      </c>
      <c r="B1944" t="s">
        <v>115</v>
      </c>
      <c r="C1944" t="b">
        <v>0</v>
      </c>
      <c r="D1944" s="1">
        <v>38565</v>
      </c>
      <c r="E1944">
        <v>3</v>
      </c>
      <c r="F1944"/>
      <c r="G1944"/>
      <c r="H1944"/>
      <c r="I1944"/>
      <c r="J1944"/>
      <c r="K1944"/>
      <c r="L1944"/>
      <c r="M1944"/>
      <c r="N1944"/>
      <c r="O1944"/>
    </row>
    <row r="1945" spans="1:15" hidden="1" x14ac:dyDescent="0.25">
      <c r="A1945" t="s">
        <v>106</v>
      </c>
      <c r="B1945" t="s">
        <v>115</v>
      </c>
      <c r="C1945" t="b">
        <v>0</v>
      </c>
      <c r="D1945" s="1">
        <v>38565</v>
      </c>
      <c r="E1945">
        <v>3</v>
      </c>
      <c r="F1945"/>
      <c r="G1945"/>
      <c r="H1945"/>
      <c r="I1945"/>
      <c r="J1945"/>
      <c r="K1945"/>
      <c r="L1945"/>
      <c r="M1945"/>
      <c r="N1945"/>
      <c r="O1945"/>
    </row>
    <row r="1946" spans="1:15" hidden="1" x14ac:dyDescent="0.25">
      <c r="A1946" t="s">
        <v>106</v>
      </c>
      <c r="B1946" t="s">
        <v>115</v>
      </c>
      <c r="C1946" t="b">
        <v>0</v>
      </c>
      <c r="D1946" s="1">
        <v>38565</v>
      </c>
      <c r="E1946">
        <v>3</v>
      </c>
      <c r="F1946"/>
      <c r="G1946"/>
      <c r="H1946"/>
      <c r="I1946"/>
      <c r="J1946"/>
      <c r="K1946"/>
      <c r="L1946"/>
      <c r="M1946"/>
      <c r="N1946"/>
      <c r="O1946"/>
    </row>
    <row r="1947" spans="1:15" hidden="1" x14ac:dyDescent="0.25">
      <c r="A1947" t="s">
        <v>106</v>
      </c>
      <c r="B1947" t="s">
        <v>115</v>
      </c>
      <c r="C1947" t="b">
        <v>0</v>
      </c>
      <c r="D1947" s="1">
        <v>38565</v>
      </c>
      <c r="E1947">
        <v>3</v>
      </c>
      <c r="F1947"/>
      <c r="G1947"/>
      <c r="H1947"/>
      <c r="I1947"/>
      <c r="J1947"/>
      <c r="K1947"/>
      <c r="L1947"/>
      <c r="M1947"/>
      <c r="N1947"/>
      <c r="O1947"/>
    </row>
    <row r="1948" spans="1:15" hidden="1" x14ac:dyDescent="0.25">
      <c r="A1948" t="s">
        <v>106</v>
      </c>
      <c r="B1948" t="s">
        <v>115</v>
      </c>
      <c r="C1948" t="b">
        <v>0</v>
      </c>
      <c r="D1948" s="1">
        <v>38565</v>
      </c>
      <c r="E1948">
        <v>3</v>
      </c>
      <c r="F1948"/>
      <c r="G1948"/>
      <c r="H1948"/>
      <c r="I1948"/>
      <c r="J1948"/>
      <c r="K1948"/>
      <c r="L1948"/>
      <c r="M1948"/>
      <c r="N1948"/>
      <c r="O1948"/>
    </row>
    <row r="1949" spans="1:15" hidden="1" x14ac:dyDescent="0.25">
      <c r="A1949" t="s">
        <v>106</v>
      </c>
      <c r="B1949" t="s">
        <v>115</v>
      </c>
      <c r="C1949" t="b">
        <v>0</v>
      </c>
      <c r="D1949" s="1">
        <v>38565</v>
      </c>
      <c r="E1949">
        <v>3</v>
      </c>
      <c r="F1949"/>
      <c r="G1949"/>
      <c r="H1949"/>
      <c r="I1949"/>
      <c r="J1949"/>
      <c r="K1949"/>
      <c r="L1949"/>
      <c r="M1949"/>
      <c r="N1949"/>
      <c r="O1949"/>
    </row>
    <row r="1950" spans="1:15" hidden="1" x14ac:dyDescent="0.25">
      <c r="A1950" t="s">
        <v>106</v>
      </c>
      <c r="B1950" t="s">
        <v>115</v>
      </c>
      <c r="C1950" t="b">
        <v>0</v>
      </c>
      <c r="D1950" s="1">
        <v>38565</v>
      </c>
      <c r="E1950">
        <v>3</v>
      </c>
      <c r="F1950"/>
      <c r="G1950"/>
      <c r="H1950"/>
      <c r="I1950"/>
      <c r="J1950"/>
      <c r="K1950"/>
      <c r="L1950"/>
      <c r="M1950"/>
      <c r="N1950"/>
      <c r="O1950"/>
    </row>
    <row r="1951" spans="1:15" hidden="1" x14ac:dyDescent="0.25">
      <c r="A1951" t="s">
        <v>106</v>
      </c>
      <c r="B1951" t="s">
        <v>115</v>
      </c>
      <c r="C1951" t="b">
        <v>0</v>
      </c>
      <c r="D1951" s="1">
        <v>38565</v>
      </c>
      <c r="E1951">
        <v>3</v>
      </c>
      <c r="F1951"/>
      <c r="G1951"/>
      <c r="H1951"/>
      <c r="I1951"/>
      <c r="J1951"/>
      <c r="K1951"/>
      <c r="L1951"/>
      <c r="M1951"/>
      <c r="N1951"/>
      <c r="O1951"/>
    </row>
    <row r="1952" spans="1:15" hidden="1" x14ac:dyDescent="0.25">
      <c r="A1952" t="s">
        <v>106</v>
      </c>
      <c r="B1952" t="s">
        <v>115</v>
      </c>
      <c r="C1952" t="b">
        <v>0</v>
      </c>
      <c r="D1952" s="1">
        <v>38565</v>
      </c>
      <c r="E1952">
        <v>3</v>
      </c>
      <c r="F1952"/>
      <c r="G1952"/>
      <c r="H1952"/>
      <c r="I1952"/>
      <c r="J1952"/>
      <c r="K1952"/>
      <c r="L1952"/>
      <c r="M1952"/>
      <c r="N1952"/>
      <c r="O1952"/>
    </row>
    <row r="1953" spans="1:15" hidden="1" x14ac:dyDescent="0.25">
      <c r="A1953" t="s">
        <v>106</v>
      </c>
      <c r="B1953" t="s">
        <v>115</v>
      </c>
      <c r="C1953" t="b">
        <v>0</v>
      </c>
      <c r="D1953" s="1">
        <v>38565</v>
      </c>
      <c r="E1953">
        <v>3</v>
      </c>
      <c r="F1953"/>
      <c r="G1953"/>
      <c r="H1953"/>
      <c r="I1953"/>
      <c r="J1953"/>
      <c r="K1953"/>
      <c r="L1953"/>
      <c r="M1953"/>
      <c r="N1953"/>
      <c r="O1953"/>
    </row>
    <row r="1954" spans="1:15" hidden="1" x14ac:dyDescent="0.25">
      <c r="A1954" t="s">
        <v>106</v>
      </c>
      <c r="B1954" t="s">
        <v>115</v>
      </c>
      <c r="C1954" t="b">
        <v>0</v>
      </c>
      <c r="D1954" s="1">
        <v>38565</v>
      </c>
      <c r="E1954">
        <v>3</v>
      </c>
      <c r="F1954"/>
      <c r="G1954"/>
      <c r="H1954"/>
      <c r="I1954"/>
      <c r="J1954"/>
      <c r="K1954"/>
      <c r="L1954"/>
      <c r="M1954"/>
      <c r="N1954"/>
      <c r="O1954"/>
    </row>
    <row r="1955" spans="1:15" hidden="1" x14ac:dyDescent="0.25">
      <c r="A1955" t="s">
        <v>106</v>
      </c>
      <c r="B1955" t="s">
        <v>115</v>
      </c>
      <c r="C1955" t="b">
        <v>0</v>
      </c>
      <c r="D1955" s="1">
        <v>38565</v>
      </c>
      <c r="E1955">
        <v>3</v>
      </c>
      <c r="F1955"/>
      <c r="G1955"/>
      <c r="H1955"/>
      <c r="I1955"/>
      <c r="J1955"/>
      <c r="K1955"/>
      <c r="L1955"/>
      <c r="M1955"/>
      <c r="N1955"/>
      <c r="O1955"/>
    </row>
    <row r="1956" spans="1:15" hidden="1" x14ac:dyDescent="0.25">
      <c r="A1956" t="s">
        <v>106</v>
      </c>
      <c r="B1956" t="s">
        <v>115</v>
      </c>
      <c r="C1956" t="b">
        <v>0</v>
      </c>
      <c r="D1956" s="1">
        <v>38565</v>
      </c>
      <c r="E1956">
        <v>3</v>
      </c>
      <c r="F1956"/>
      <c r="G1956"/>
      <c r="H1956"/>
      <c r="I1956"/>
      <c r="J1956"/>
      <c r="K1956"/>
      <c r="L1956"/>
      <c r="M1956"/>
      <c r="N1956"/>
      <c r="O1956"/>
    </row>
    <row r="1957" spans="1:15" hidden="1" x14ac:dyDescent="0.25">
      <c r="A1957" t="s">
        <v>106</v>
      </c>
      <c r="B1957" t="s">
        <v>115</v>
      </c>
      <c r="C1957" t="b">
        <v>0</v>
      </c>
      <c r="D1957" s="1">
        <v>38565</v>
      </c>
      <c r="E1957">
        <v>3</v>
      </c>
      <c r="F1957"/>
      <c r="G1957"/>
      <c r="H1957"/>
      <c r="I1957"/>
      <c r="J1957"/>
      <c r="K1957"/>
      <c r="L1957"/>
      <c r="M1957"/>
      <c r="N1957"/>
      <c r="O1957"/>
    </row>
    <row r="1958" spans="1:15" hidden="1" x14ac:dyDescent="0.25">
      <c r="A1958" t="s">
        <v>106</v>
      </c>
      <c r="B1958" t="s">
        <v>115</v>
      </c>
      <c r="C1958" t="b">
        <v>0</v>
      </c>
      <c r="D1958" s="1">
        <v>38565</v>
      </c>
      <c r="E1958">
        <v>3</v>
      </c>
      <c r="F1958"/>
      <c r="G1958"/>
      <c r="H1958"/>
      <c r="I1958"/>
      <c r="J1958"/>
      <c r="K1958"/>
      <c r="L1958"/>
      <c r="M1958"/>
      <c r="N1958"/>
      <c r="O1958"/>
    </row>
    <row r="1959" spans="1:15" hidden="1" x14ac:dyDescent="0.25">
      <c r="A1959" t="s">
        <v>106</v>
      </c>
      <c r="B1959" t="s">
        <v>115</v>
      </c>
      <c r="C1959" t="b">
        <v>0</v>
      </c>
      <c r="D1959" s="1">
        <v>38565</v>
      </c>
      <c r="E1959">
        <v>3</v>
      </c>
      <c r="F1959"/>
      <c r="G1959"/>
      <c r="H1959"/>
      <c r="I1959"/>
      <c r="J1959"/>
      <c r="K1959"/>
      <c r="L1959"/>
      <c r="M1959"/>
      <c r="N1959"/>
      <c r="O1959"/>
    </row>
    <row r="1960" spans="1:15" hidden="1" x14ac:dyDescent="0.25">
      <c r="A1960" t="s">
        <v>24</v>
      </c>
      <c r="B1960" t="s">
        <v>115</v>
      </c>
      <c r="C1960" t="b">
        <v>0</v>
      </c>
      <c r="D1960" s="1">
        <v>38565</v>
      </c>
      <c r="E1960">
        <v>3</v>
      </c>
      <c r="F1960"/>
      <c r="G1960"/>
      <c r="H1960"/>
      <c r="I1960"/>
      <c r="J1960"/>
      <c r="K1960"/>
      <c r="L1960"/>
      <c r="M1960"/>
      <c r="N1960"/>
      <c r="O1960"/>
    </row>
    <row r="1961" spans="1:15" hidden="1" x14ac:dyDescent="0.25">
      <c r="A1961" t="s">
        <v>30</v>
      </c>
      <c r="B1961" t="s">
        <v>115</v>
      </c>
      <c r="C1961" t="b">
        <v>0</v>
      </c>
      <c r="D1961" s="1">
        <v>38565</v>
      </c>
      <c r="E1961">
        <v>3</v>
      </c>
      <c r="F1961"/>
      <c r="G1961"/>
      <c r="H1961"/>
      <c r="I1961"/>
      <c r="J1961"/>
      <c r="K1961"/>
      <c r="L1961"/>
      <c r="M1961"/>
      <c r="N1961"/>
      <c r="O1961"/>
    </row>
    <row r="1962" spans="1:15" hidden="1" x14ac:dyDescent="0.25">
      <c r="A1962" t="s">
        <v>39</v>
      </c>
      <c r="B1962" t="s">
        <v>115</v>
      </c>
      <c r="C1962" t="b">
        <v>0</v>
      </c>
      <c r="D1962" s="1">
        <v>38565</v>
      </c>
      <c r="E1962">
        <v>3</v>
      </c>
      <c r="F1962"/>
      <c r="G1962"/>
      <c r="H1962"/>
      <c r="I1962"/>
      <c r="J1962"/>
      <c r="K1962"/>
      <c r="L1962"/>
      <c r="M1962"/>
      <c r="N1962"/>
      <c r="O1962"/>
    </row>
    <row r="1963" spans="1:15" hidden="1" x14ac:dyDescent="0.25">
      <c r="A1963" t="s">
        <v>57</v>
      </c>
      <c r="B1963" t="s">
        <v>115</v>
      </c>
      <c r="C1963" t="b">
        <v>0</v>
      </c>
      <c r="D1963" s="1">
        <v>38565</v>
      </c>
      <c r="E1963">
        <v>3</v>
      </c>
      <c r="F1963"/>
      <c r="G1963"/>
      <c r="H1963"/>
      <c r="I1963"/>
      <c r="J1963"/>
      <c r="K1963"/>
      <c r="L1963"/>
      <c r="M1963"/>
      <c r="N1963"/>
      <c r="O1963"/>
    </row>
    <row r="1964" spans="1:15" hidden="1" x14ac:dyDescent="0.25">
      <c r="A1964" t="s">
        <v>69</v>
      </c>
      <c r="B1964" t="s">
        <v>115</v>
      </c>
      <c r="C1964" t="b">
        <v>0</v>
      </c>
      <c r="D1964" s="1">
        <v>38565</v>
      </c>
      <c r="E1964">
        <v>3</v>
      </c>
      <c r="F1964"/>
      <c r="G1964"/>
      <c r="H1964"/>
      <c r="I1964"/>
      <c r="J1964"/>
      <c r="K1964"/>
      <c r="L1964"/>
      <c r="M1964"/>
      <c r="N1964"/>
      <c r="O1964"/>
    </row>
    <row r="1965" spans="1:15" hidden="1" x14ac:dyDescent="0.25">
      <c r="A1965" t="s">
        <v>86</v>
      </c>
      <c r="B1965" t="s">
        <v>115</v>
      </c>
      <c r="C1965" t="b">
        <v>0</v>
      </c>
      <c r="D1965" s="1">
        <v>38565</v>
      </c>
      <c r="E1965">
        <v>3</v>
      </c>
      <c r="F1965"/>
      <c r="G1965"/>
      <c r="H1965"/>
      <c r="I1965"/>
      <c r="J1965"/>
      <c r="K1965"/>
      <c r="L1965"/>
      <c r="M1965"/>
      <c r="N1965"/>
      <c r="O1965"/>
    </row>
    <row r="1966" spans="1:15" hidden="1" x14ac:dyDescent="0.25">
      <c r="A1966" t="s">
        <v>90</v>
      </c>
      <c r="B1966" t="s">
        <v>115</v>
      </c>
      <c r="C1966" t="b">
        <v>0</v>
      </c>
      <c r="D1966" s="1">
        <v>38565</v>
      </c>
      <c r="E1966">
        <v>3</v>
      </c>
      <c r="F1966"/>
      <c r="G1966"/>
      <c r="H1966"/>
      <c r="I1966"/>
      <c r="J1966"/>
      <c r="K1966"/>
      <c r="L1966"/>
      <c r="M1966"/>
      <c r="N1966"/>
      <c r="O1966"/>
    </row>
    <row r="1967" spans="1:15" hidden="1" x14ac:dyDescent="0.25">
      <c r="A1967" t="s">
        <v>99</v>
      </c>
      <c r="B1967" t="s">
        <v>114</v>
      </c>
      <c r="C1967" t="b">
        <v>0</v>
      </c>
      <c r="D1967" s="1">
        <v>38565</v>
      </c>
      <c r="E1967">
        <v>10.6</v>
      </c>
      <c r="F1967"/>
      <c r="G1967"/>
      <c r="H1967"/>
      <c r="I1967"/>
      <c r="J1967"/>
      <c r="K1967"/>
      <c r="L1967"/>
      <c r="M1967"/>
      <c r="N1967"/>
      <c r="O1967"/>
    </row>
    <row r="1968" spans="1:15" hidden="1" x14ac:dyDescent="0.25">
      <c r="A1968" t="s">
        <v>100</v>
      </c>
      <c r="B1968" t="s">
        <v>117</v>
      </c>
      <c r="C1968" t="b">
        <v>0</v>
      </c>
      <c r="D1968" s="1">
        <v>38596</v>
      </c>
      <c r="E1968" s="2">
        <v>-74.53</v>
      </c>
      <c r="F1968"/>
      <c r="G1968"/>
      <c r="H1968"/>
      <c r="I1968"/>
      <c r="J1968"/>
      <c r="K1968"/>
      <c r="L1968"/>
      <c r="M1968"/>
      <c r="N1968"/>
      <c r="O1968"/>
    </row>
    <row r="1969" spans="1:15" hidden="1" x14ac:dyDescent="0.25">
      <c r="A1969" t="s">
        <v>104</v>
      </c>
      <c r="B1969" t="s">
        <v>117</v>
      </c>
      <c r="C1969" t="b">
        <v>0</v>
      </c>
      <c r="D1969" s="1">
        <v>38596</v>
      </c>
      <c r="E1969" s="2">
        <v>-127.38</v>
      </c>
      <c r="F1969"/>
      <c r="G1969"/>
      <c r="H1969"/>
      <c r="I1969"/>
      <c r="J1969"/>
      <c r="K1969"/>
      <c r="L1969"/>
      <c r="M1969"/>
      <c r="N1969"/>
      <c r="O1969"/>
    </row>
    <row r="1970" spans="1:15" hidden="1" x14ac:dyDescent="0.25">
      <c r="A1970" t="s">
        <v>11</v>
      </c>
      <c r="B1970" t="s">
        <v>115</v>
      </c>
      <c r="C1970" t="b">
        <v>0</v>
      </c>
      <c r="D1970" s="1">
        <v>38596</v>
      </c>
      <c r="E1970">
        <v>7</v>
      </c>
      <c r="F1970"/>
      <c r="G1970"/>
      <c r="H1970"/>
      <c r="I1970"/>
      <c r="J1970"/>
      <c r="K1970"/>
      <c r="L1970"/>
      <c r="M1970"/>
      <c r="N1970"/>
      <c r="O1970"/>
    </row>
    <row r="1971" spans="1:15" hidden="1" x14ac:dyDescent="0.25">
      <c r="A1971" t="s">
        <v>14</v>
      </c>
      <c r="B1971" t="s">
        <v>115</v>
      </c>
      <c r="C1971" t="b">
        <v>0</v>
      </c>
      <c r="D1971" s="1">
        <v>38596</v>
      </c>
      <c r="E1971">
        <v>7</v>
      </c>
      <c r="F1971"/>
      <c r="G1971"/>
      <c r="H1971"/>
      <c r="I1971"/>
      <c r="J1971"/>
      <c r="K1971"/>
      <c r="L1971"/>
      <c r="M1971"/>
      <c r="N1971"/>
      <c r="O1971"/>
    </row>
    <row r="1972" spans="1:15" hidden="1" x14ac:dyDescent="0.25">
      <c r="A1972" t="s">
        <v>18</v>
      </c>
      <c r="B1972" t="s">
        <v>115</v>
      </c>
      <c r="C1972" t="b">
        <v>0</v>
      </c>
      <c r="D1972" s="1">
        <v>38596</v>
      </c>
      <c r="E1972">
        <v>7</v>
      </c>
      <c r="F1972"/>
      <c r="G1972"/>
      <c r="H1972"/>
      <c r="I1972"/>
      <c r="J1972"/>
      <c r="K1972"/>
      <c r="L1972"/>
      <c r="M1972"/>
      <c r="N1972"/>
      <c r="O1972"/>
    </row>
    <row r="1973" spans="1:15" hidden="1" x14ac:dyDescent="0.25">
      <c r="A1973" t="s">
        <v>106</v>
      </c>
      <c r="B1973" t="s">
        <v>115</v>
      </c>
      <c r="C1973" t="b">
        <v>0</v>
      </c>
      <c r="D1973" s="1">
        <v>38596</v>
      </c>
      <c r="E1973">
        <v>7</v>
      </c>
      <c r="F1973"/>
      <c r="G1973"/>
      <c r="H1973"/>
      <c r="I1973"/>
      <c r="J1973"/>
      <c r="K1973"/>
      <c r="L1973"/>
      <c r="M1973"/>
      <c r="N1973"/>
      <c r="O1973"/>
    </row>
    <row r="1974" spans="1:15" hidden="1" x14ac:dyDescent="0.25">
      <c r="A1974" t="s">
        <v>106</v>
      </c>
      <c r="B1974" t="s">
        <v>115</v>
      </c>
      <c r="C1974" t="b">
        <v>0</v>
      </c>
      <c r="D1974" s="1">
        <v>38596</v>
      </c>
      <c r="E1974">
        <v>7</v>
      </c>
      <c r="F1974"/>
      <c r="G1974"/>
      <c r="H1974"/>
      <c r="I1974"/>
      <c r="J1974"/>
      <c r="K1974"/>
      <c r="L1974"/>
      <c r="M1974"/>
      <c r="N1974"/>
      <c r="O1974"/>
    </row>
    <row r="1975" spans="1:15" hidden="1" x14ac:dyDescent="0.25">
      <c r="A1975" t="s">
        <v>106</v>
      </c>
      <c r="B1975" t="s">
        <v>115</v>
      </c>
      <c r="C1975" t="b">
        <v>0</v>
      </c>
      <c r="D1975" s="1">
        <v>38596</v>
      </c>
      <c r="E1975">
        <v>7</v>
      </c>
      <c r="F1975"/>
      <c r="G1975"/>
      <c r="H1975"/>
      <c r="I1975"/>
      <c r="J1975"/>
      <c r="K1975"/>
      <c r="L1975"/>
      <c r="M1975"/>
      <c r="N1975"/>
      <c r="O1975"/>
    </row>
    <row r="1976" spans="1:15" hidden="1" x14ac:dyDescent="0.25">
      <c r="A1976" t="s">
        <v>106</v>
      </c>
      <c r="B1976" t="s">
        <v>115</v>
      </c>
      <c r="C1976" t="b">
        <v>0</v>
      </c>
      <c r="D1976" s="1">
        <v>38596</v>
      </c>
      <c r="E1976">
        <v>7</v>
      </c>
      <c r="F1976"/>
      <c r="G1976"/>
      <c r="H1976"/>
      <c r="I1976"/>
      <c r="J1976"/>
      <c r="K1976"/>
      <c r="L1976"/>
      <c r="M1976"/>
      <c r="N1976"/>
      <c r="O1976"/>
    </row>
    <row r="1977" spans="1:15" hidden="1" x14ac:dyDescent="0.25">
      <c r="A1977" t="s">
        <v>106</v>
      </c>
      <c r="B1977" t="s">
        <v>115</v>
      </c>
      <c r="C1977" t="b">
        <v>0</v>
      </c>
      <c r="D1977" s="1">
        <v>38596</v>
      </c>
      <c r="E1977">
        <v>7</v>
      </c>
      <c r="F1977"/>
      <c r="G1977"/>
      <c r="H1977"/>
      <c r="I1977"/>
      <c r="J1977"/>
      <c r="K1977"/>
      <c r="L1977"/>
      <c r="M1977"/>
      <c r="N1977"/>
      <c r="O1977"/>
    </row>
    <row r="1978" spans="1:15" hidden="1" x14ac:dyDescent="0.25">
      <c r="A1978" t="s">
        <v>106</v>
      </c>
      <c r="B1978" t="s">
        <v>115</v>
      </c>
      <c r="C1978" t="b">
        <v>0</v>
      </c>
      <c r="D1978" s="1">
        <v>38596</v>
      </c>
      <c r="E1978">
        <v>3</v>
      </c>
      <c r="F1978"/>
      <c r="G1978"/>
      <c r="H1978"/>
      <c r="I1978"/>
      <c r="J1978"/>
      <c r="K1978"/>
      <c r="L1978"/>
      <c r="M1978"/>
      <c r="N1978"/>
      <c r="O1978"/>
    </row>
    <row r="1979" spans="1:15" hidden="1" x14ac:dyDescent="0.25">
      <c r="A1979" t="s">
        <v>106</v>
      </c>
      <c r="B1979" t="s">
        <v>115</v>
      </c>
      <c r="C1979" t="b">
        <v>0</v>
      </c>
      <c r="D1979" s="1">
        <v>38596</v>
      </c>
      <c r="E1979">
        <v>7</v>
      </c>
      <c r="F1979"/>
      <c r="G1979"/>
      <c r="H1979"/>
      <c r="I1979"/>
      <c r="J1979"/>
      <c r="K1979"/>
      <c r="L1979"/>
      <c r="M1979"/>
      <c r="N1979"/>
      <c r="O1979"/>
    </row>
    <row r="1980" spans="1:15" hidden="1" x14ac:dyDescent="0.25">
      <c r="A1980" t="s">
        <v>106</v>
      </c>
      <c r="B1980" t="s">
        <v>115</v>
      </c>
      <c r="C1980" t="b">
        <v>0</v>
      </c>
      <c r="D1980" s="1">
        <v>38596</v>
      </c>
      <c r="E1980">
        <v>3</v>
      </c>
      <c r="F1980"/>
      <c r="G1980"/>
      <c r="H1980"/>
      <c r="I1980"/>
      <c r="J1980"/>
      <c r="K1980"/>
      <c r="L1980"/>
      <c r="M1980"/>
      <c r="N1980"/>
      <c r="O1980"/>
    </row>
    <row r="1981" spans="1:15" hidden="1" x14ac:dyDescent="0.25">
      <c r="A1981" t="s">
        <v>106</v>
      </c>
      <c r="B1981" t="s">
        <v>115</v>
      </c>
      <c r="C1981" t="b">
        <v>0</v>
      </c>
      <c r="D1981" s="1">
        <v>38596</v>
      </c>
      <c r="E1981">
        <v>7</v>
      </c>
      <c r="F1981"/>
      <c r="G1981"/>
      <c r="H1981"/>
      <c r="I1981"/>
      <c r="J1981"/>
      <c r="K1981"/>
      <c r="L1981"/>
      <c r="M1981"/>
      <c r="N1981"/>
      <c r="O1981"/>
    </row>
    <row r="1982" spans="1:15" hidden="1" x14ac:dyDescent="0.25">
      <c r="A1982" t="s">
        <v>106</v>
      </c>
      <c r="B1982" t="s">
        <v>115</v>
      </c>
      <c r="C1982" t="b">
        <v>0</v>
      </c>
      <c r="D1982" s="1">
        <v>38596</v>
      </c>
      <c r="E1982">
        <v>7</v>
      </c>
      <c r="F1982"/>
      <c r="G1982"/>
      <c r="H1982"/>
      <c r="I1982"/>
      <c r="J1982"/>
      <c r="K1982"/>
      <c r="L1982"/>
      <c r="M1982"/>
      <c r="N1982"/>
      <c r="O1982"/>
    </row>
    <row r="1983" spans="1:15" hidden="1" x14ac:dyDescent="0.25">
      <c r="A1983" t="s">
        <v>106</v>
      </c>
      <c r="B1983" t="s">
        <v>115</v>
      </c>
      <c r="C1983" t="b">
        <v>0</v>
      </c>
      <c r="D1983" s="1">
        <v>38596</v>
      </c>
      <c r="E1983">
        <v>7</v>
      </c>
      <c r="F1983"/>
      <c r="G1983"/>
      <c r="H1983"/>
      <c r="I1983"/>
      <c r="J1983"/>
      <c r="K1983"/>
      <c r="L1983"/>
      <c r="M1983"/>
      <c r="N1983"/>
      <c r="O1983"/>
    </row>
    <row r="1984" spans="1:15" hidden="1" x14ac:dyDescent="0.25">
      <c r="A1984" t="s">
        <v>106</v>
      </c>
      <c r="B1984" t="s">
        <v>115</v>
      </c>
      <c r="C1984" t="b">
        <v>0</v>
      </c>
      <c r="D1984" s="1">
        <v>38596</v>
      </c>
      <c r="E1984">
        <v>7</v>
      </c>
      <c r="F1984"/>
      <c r="G1984"/>
      <c r="H1984"/>
      <c r="I1984"/>
      <c r="J1984"/>
      <c r="K1984"/>
      <c r="L1984"/>
      <c r="M1984"/>
      <c r="N1984"/>
      <c r="O1984"/>
    </row>
    <row r="1985" spans="1:15" hidden="1" x14ac:dyDescent="0.25">
      <c r="A1985" t="s">
        <v>106</v>
      </c>
      <c r="B1985" t="s">
        <v>115</v>
      </c>
      <c r="C1985" t="b">
        <v>0</v>
      </c>
      <c r="D1985" s="1">
        <v>38596</v>
      </c>
      <c r="E1985">
        <v>7</v>
      </c>
      <c r="F1985"/>
      <c r="G1985"/>
      <c r="H1985"/>
      <c r="I1985"/>
      <c r="J1985"/>
      <c r="K1985"/>
      <c r="L1985"/>
      <c r="M1985"/>
      <c r="N1985"/>
      <c r="O1985"/>
    </row>
    <row r="1986" spans="1:15" hidden="1" x14ac:dyDescent="0.25">
      <c r="A1986" t="s">
        <v>106</v>
      </c>
      <c r="B1986" t="s">
        <v>115</v>
      </c>
      <c r="C1986" t="b">
        <v>0</v>
      </c>
      <c r="D1986" s="1">
        <v>38596</v>
      </c>
      <c r="E1986">
        <v>7</v>
      </c>
      <c r="F1986"/>
      <c r="G1986"/>
      <c r="H1986"/>
      <c r="I1986"/>
      <c r="J1986"/>
      <c r="K1986"/>
      <c r="L1986"/>
      <c r="M1986"/>
      <c r="N1986"/>
      <c r="O1986"/>
    </row>
    <row r="1987" spans="1:15" hidden="1" x14ac:dyDescent="0.25">
      <c r="A1987" t="s">
        <v>106</v>
      </c>
      <c r="B1987" t="s">
        <v>115</v>
      </c>
      <c r="C1987" t="b">
        <v>0</v>
      </c>
      <c r="D1987" s="1">
        <v>38596</v>
      </c>
      <c r="E1987">
        <v>7</v>
      </c>
      <c r="F1987"/>
      <c r="G1987"/>
      <c r="H1987"/>
      <c r="I1987"/>
      <c r="J1987"/>
      <c r="K1987"/>
      <c r="L1987"/>
      <c r="M1987"/>
      <c r="N1987"/>
      <c r="O1987"/>
    </row>
    <row r="1988" spans="1:15" hidden="1" x14ac:dyDescent="0.25">
      <c r="A1988" t="s">
        <v>106</v>
      </c>
      <c r="B1988" t="s">
        <v>115</v>
      </c>
      <c r="C1988" t="b">
        <v>0</v>
      </c>
      <c r="D1988" s="1">
        <v>38596</v>
      </c>
      <c r="E1988">
        <v>7</v>
      </c>
      <c r="F1988"/>
      <c r="G1988"/>
      <c r="H1988"/>
      <c r="I1988"/>
      <c r="J1988"/>
      <c r="K1988"/>
      <c r="L1988"/>
      <c r="M1988"/>
      <c r="N1988"/>
      <c r="O1988"/>
    </row>
    <row r="1989" spans="1:15" hidden="1" x14ac:dyDescent="0.25">
      <c r="A1989" t="s">
        <v>106</v>
      </c>
      <c r="B1989" t="s">
        <v>115</v>
      </c>
      <c r="C1989" t="b">
        <v>0</v>
      </c>
      <c r="D1989" s="1">
        <v>38596</v>
      </c>
      <c r="E1989">
        <v>7</v>
      </c>
      <c r="F1989"/>
      <c r="G1989"/>
      <c r="H1989"/>
      <c r="I1989"/>
      <c r="J1989"/>
      <c r="K1989"/>
      <c r="L1989"/>
      <c r="M1989"/>
      <c r="N1989"/>
      <c r="O1989"/>
    </row>
    <row r="1990" spans="1:15" hidden="1" x14ac:dyDescent="0.25">
      <c r="A1990" t="s">
        <v>106</v>
      </c>
      <c r="B1990" t="s">
        <v>115</v>
      </c>
      <c r="C1990" t="b">
        <v>0</v>
      </c>
      <c r="D1990" s="1">
        <v>38596</v>
      </c>
      <c r="E1990">
        <v>7</v>
      </c>
      <c r="F1990"/>
      <c r="G1990"/>
      <c r="H1990"/>
      <c r="I1990"/>
      <c r="J1990"/>
      <c r="K1990"/>
      <c r="L1990"/>
      <c r="M1990"/>
      <c r="N1990"/>
      <c r="O1990"/>
    </row>
    <row r="1991" spans="1:15" hidden="1" x14ac:dyDescent="0.25">
      <c r="A1991" t="s">
        <v>106</v>
      </c>
      <c r="B1991" t="s">
        <v>115</v>
      </c>
      <c r="C1991" t="b">
        <v>0</v>
      </c>
      <c r="D1991" s="1">
        <v>38596</v>
      </c>
      <c r="E1991">
        <v>7</v>
      </c>
      <c r="F1991"/>
      <c r="G1991"/>
      <c r="H1991"/>
      <c r="I1991"/>
      <c r="J1991"/>
      <c r="K1991"/>
      <c r="L1991"/>
      <c r="M1991"/>
      <c r="N1991"/>
      <c r="O1991"/>
    </row>
    <row r="1992" spans="1:15" hidden="1" x14ac:dyDescent="0.25">
      <c r="A1992" t="s">
        <v>106</v>
      </c>
      <c r="B1992" t="s">
        <v>115</v>
      </c>
      <c r="C1992" t="b">
        <v>0</v>
      </c>
      <c r="D1992" s="1">
        <v>38596</v>
      </c>
      <c r="E1992">
        <v>7</v>
      </c>
      <c r="F1992"/>
      <c r="G1992"/>
      <c r="H1992"/>
      <c r="I1992"/>
      <c r="J1992"/>
      <c r="K1992"/>
      <c r="L1992"/>
      <c r="M1992"/>
      <c r="N1992"/>
      <c r="O1992"/>
    </row>
    <row r="1993" spans="1:15" hidden="1" x14ac:dyDescent="0.25">
      <c r="A1993" t="s">
        <v>106</v>
      </c>
      <c r="B1993" t="s">
        <v>115</v>
      </c>
      <c r="C1993" t="b">
        <v>0</v>
      </c>
      <c r="D1993" s="1">
        <v>38596</v>
      </c>
      <c r="E1993">
        <v>7</v>
      </c>
      <c r="F1993"/>
      <c r="G1993"/>
      <c r="H1993"/>
      <c r="I1993"/>
      <c r="J1993"/>
      <c r="K1993"/>
      <c r="L1993"/>
      <c r="M1993"/>
      <c r="N1993"/>
      <c r="O1993"/>
    </row>
    <row r="1994" spans="1:15" hidden="1" x14ac:dyDescent="0.25">
      <c r="A1994" t="s">
        <v>24</v>
      </c>
      <c r="B1994" t="s">
        <v>115</v>
      </c>
      <c r="C1994" t="b">
        <v>0</v>
      </c>
      <c r="D1994" s="1">
        <v>38596</v>
      </c>
      <c r="E1994">
        <v>7</v>
      </c>
      <c r="F1994"/>
      <c r="G1994"/>
      <c r="H1994"/>
      <c r="I1994"/>
      <c r="J1994"/>
      <c r="K1994"/>
      <c r="L1994"/>
      <c r="M1994"/>
      <c r="N1994"/>
      <c r="O1994"/>
    </row>
    <row r="1995" spans="1:15" hidden="1" x14ac:dyDescent="0.25">
      <c r="A1995" t="s">
        <v>30</v>
      </c>
      <c r="B1995" t="s">
        <v>115</v>
      </c>
      <c r="C1995" t="b">
        <v>0</v>
      </c>
      <c r="D1995" s="1">
        <v>38596</v>
      </c>
      <c r="E1995">
        <v>7</v>
      </c>
      <c r="F1995"/>
      <c r="G1995"/>
      <c r="H1995"/>
      <c r="I1995"/>
      <c r="J1995"/>
      <c r="K1995"/>
      <c r="L1995"/>
      <c r="M1995"/>
      <c r="N1995"/>
      <c r="O1995"/>
    </row>
    <row r="1996" spans="1:15" hidden="1" x14ac:dyDescent="0.25">
      <c r="A1996" t="s">
        <v>39</v>
      </c>
      <c r="B1996" t="s">
        <v>115</v>
      </c>
      <c r="C1996" t="b">
        <v>0</v>
      </c>
      <c r="D1996" s="1">
        <v>38596</v>
      </c>
      <c r="E1996">
        <v>7</v>
      </c>
      <c r="F1996"/>
      <c r="G1996"/>
      <c r="H1996"/>
      <c r="I1996"/>
      <c r="J1996"/>
      <c r="K1996"/>
      <c r="L1996"/>
      <c r="M1996"/>
      <c r="N1996"/>
      <c r="O1996"/>
    </row>
    <row r="1997" spans="1:15" hidden="1" x14ac:dyDescent="0.25">
      <c r="A1997" t="s">
        <v>57</v>
      </c>
      <c r="B1997" t="s">
        <v>115</v>
      </c>
      <c r="C1997" t="b">
        <v>0</v>
      </c>
      <c r="D1997" s="1">
        <v>38596</v>
      </c>
      <c r="E1997">
        <v>7</v>
      </c>
      <c r="F1997"/>
      <c r="G1997"/>
      <c r="H1997"/>
      <c r="I1997"/>
      <c r="J1997"/>
      <c r="K1997"/>
      <c r="L1997"/>
      <c r="M1997"/>
      <c r="N1997"/>
      <c r="O1997"/>
    </row>
    <row r="1998" spans="1:15" hidden="1" x14ac:dyDescent="0.25">
      <c r="A1998" t="s">
        <v>71</v>
      </c>
      <c r="B1998" t="s">
        <v>115</v>
      </c>
      <c r="C1998" t="b">
        <v>0</v>
      </c>
      <c r="D1998" s="1">
        <v>38596</v>
      </c>
      <c r="E1998">
        <v>7</v>
      </c>
      <c r="F1998"/>
      <c r="G1998"/>
      <c r="H1998"/>
      <c r="I1998"/>
      <c r="J1998"/>
      <c r="K1998"/>
      <c r="L1998"/>
      <c r="M1998"/>
      <c r="N1998"/>
      <c r="O1998"/>
    </row>
    <row r="1999" spans="1:15" hidden="1" x14ac:dyDescent="0.25">
      <c r="A1999" t="s">
        <v>86</v>
      </c>
      <c r="B1999" t="s">
        <v>115</v>
      </c>
      <c r="C1999" t="b">
        <v>0</v>
      </c>
      <c r="D1999" s="1">
        <v>38596</v>
      </c>
      <c r="E1999">
        <v>7</v>
      </c>
      <c r="F1999"/>
      <c r="G1999"/>
      <c r="H1999"/>
      <c r="I1999"/>
      <c r="J1999"/>
      <c r="K1999"/>
      <c r="L1999"/>
      <c r="M1999"/>
      <c r="N1999"/>
      <c r="O1999"/>
    </row>
    <row r="2000" spans="1:15" hidden="1" x14ac:dyDescent="0.25">
      <c r="A2000" t="s">
        <v>90</v>
      </c>
      <c r="B2000" t="s">
        <v>115</v>
      </c>
      <c r="C2000" t="b">
        <v>0</v>
      </c>
      <c r="D2000" s="1">
        <v>38596</v>
      </c>
      <c r="E2000">
        <v>7</v>
      </c>
      <c r="F2000"/>
      <c r="G2000"/>
      <c r="H2000"/>
      <c r="I2000"/>
      <c r="J2000"/>
      <c r="K2000"/>
      <c r="L2000"/>
      <c r="M2000"/>
      <c r="N2000"/>
      <c r="O2000"/>
    </row>
    <row r="2001" spans="1:15" hidden="1" x14ac:dyDescent="0.25">
      <c r="A2001" t="s">
        <v>99</v>
      </c>
      <c r="B2001" t="s">
        <v>114</v>
      </c>
      <c r="C2001" t="b">
        <v>0</v>
      </c>
      <c r="D2001" s="1">
        <v>38596</v>
      </c>
      <c r="E2001">
        <v>24.89</v>
      </c>
      <c r="F2001"/>
      <c r="G2001"/>
      <c r="H2001"/>
      <c r="I2001"/>
      <c r="J2001"/>
      <c r="K2001"/>
      <c r="L2001"/>
      <c r="M2001"/>
      <c r="N2001"/>
      <c r="O2001"/>
    </row>
    <row r="2002" spans="1:15" hidden="1" x14ac:dyDescent="0.25">
      <c r="A2002" t="s">
        <v>104</v>
      </c>
      <c r="B2002" t="s">
        <v>117</v>
      </c>
      <c r="C2002" t="b">
        <v>0</v>
      </c>
      <c r="D2002" s="1">
        <v>38626</v>
      </c>
      <c r="E2002" s="2">
        <v>-47.32</v>
      </c>
      <c r="F2002"/>
      <c r="G2002"/>
      <c r="H2002"/>
      <c r="I2002"/>
      <c r="J2002"/>
      <c r="K2002"/>
      <c r="L2002"/>
      <c r="M2002"/>
      <c r="N2002"/>
      <c r="O2002"/>
    </row>
    <row r="2003" spans="1:15" hidden="1" x14ac:dyDescent="0.25">
      <c r="A2003" t="s">
        <v>102</v>
      </c>
      <c r="B2003" t="s">
        <v>117</v>
      </c>
      <c r="C2003" t="b">
        <v>0</v>
      </c>
      <c r="D2003" s="1">
        <v>38626</v>
      </c>
      <c r="E2003" s="2">
        <v>-6.39</v>
      </c>
      <c r="F2003"/>
      <c r="G2003"/>
      <c r="H2003"/>
      <c r="I2003"/>
      <c r="J2003"/>
      <c r="K2003"/>
      <c r="L2003"/>
      <c r="M2003"/>
      <c r="N2003"/>
      <c r="O2003"/>
    </row>
    <row r="2004" spans="1:15" hidden="1" x14ac:dyDescent="0.25">
      <c r="A2004" t="s">
        <v>103</v>
      </c>
      <c r="B2004" t="s">
        <v>117</v>
      </c>
      <c r="C2004" t="b">
        <v>0</v>
      </c>
      <c r="D2004" s="1">
        <v>38626</v>
      </c>
      <c r="E2004" s="2">
        <v>-19.88</v>
      </c>
      <c r="F2004"/>
      <c r="G2004"/>
      <c r="H2004"/>
      <c r="I2004"/>
      <c r="J2004"/>
      <c r="K2004"/>
      <c r="L2004"/>
      <c r="M2004"/>
      <c r="N2004"/>
      <c r="O2004"/>
    </row>
    <row r="2005" spans="1:15" hidden="1" x14ac:dyDescent="0.25">
      <c r="A2005" t="s">
        <v>14</v>
      </c>
      <c r="B2005" t="s">
        <v>115</v>
      </c>
      <c r="C2005" t="b">
        <v>0</v>
      </c>
      <c r="D2005" s="1">
        <v>38626</v>
      </c>
      <c r="E2005">
        <v>5</v>
      </c>
      <c r="F2005"/>
      <c r="G2005"/>
      <c r="H2005"/>
      <c r="I2005"/>
      <c r="J2005"/>
      <c r="K2005"/>
      <c r="L2005"/>
      <c r="M2005"/>
      <c r="N2005"/>
      <c r="O2005"/>
    </row>
    <row r="2006" spans="1:15" hidden="1" x14ac:dyDescent="0.25">
      <c r="A2006" t="s">
        <v>18</v>
      </c>
      <c r="B2006" t="s">
        <v>115</v>
      </c>
      <c r="C2006" t="b">
        <v>0</v>
      </c>
      <c r="D2006" s="1">
        <v>38626</v>
      </c>
      <c r="E2006">
        <v>5</v>
      </c>
      <c r="F2006"/>
      <c r="G2006"/>
      <c r="H2006"/>
      <c r="I2006"/>
      <c r="J2006"/>
      <c r="K2006"/>
      <c r="L2006"/>
      <c r="M2006"/>
      <c r="N2006"/>
      <c r="O2006"/>
    </row>
    <row r="2007" spans="1:15" hidden="1" x14ac:dyDescent="0.25">
      <c r="A2007" t="s">
        <v>20</v>
      </c>
      <c r="B2007" t="s">
        <v>115</v>
      </c>
      <c r="C2007" t="b">
        <v>0</v>
      </c>
      <c r="D2007" s="1">
        <v>38626</v>
      </c>
      <c r="E2007">
        <v>5</v>
      </c>
      <c r="F2007"/>
      <c r="G2007"/>
      <c r="H2007"/>
      <c r="I2007"/>
      <c r="J2007"/>
      <c r="K2007"/>
      <c r="L2007"/>
      <c r="M2007"/>
      <c r="N2007"/>
      <c r="O2007"/>
    </row>
    <row r="2008" spans="1:15" hidden="1" x14ac:dyDescent="0.25">
      <c r="A2008" t="s">
        <v>106</v>
      </c>
      <c r="B2008" t="s">
        <v>115</v>
      </c>
      <c r="C2008" t="b">
        <v>0</v>
      </c>
      <c r="D2008" s="1">
        <v>38626</v>
      </c>
      <c r="E2008">
        <v>5</v>
      </c>
      <c r="F2008"/>
      <c r="G2008"/>
      <c r="H2008"/>
      <c r="I2008"/>
      <c r="J2008"/>
      <c r="K2008"/>
      <c r="L2008"/>
      <c r="M2008"/>
      <c r="N2008"/>
      <c r="O2008"/>
    </row>
    <row r="2009" spans="1:15" hidden="1" x14ac:dyDescent="0.25">
      <c r="A2009" t="s">
        <v>106</v>
      </c>
      <c r="B2009" t="s">
        <v>115</v>
      </c>
      <c r="C2009" t="b">
        <v>0</v>
      </c>
      <c r="D2009" s="1">
        <v>38626</v>
      </c>
      <c r="E2009">
        <v>5</v>
      </c>
      <c r="F2009"/>
      <c r="G2009"/>
      <c r="H2009"/>
      <c r="I2009"/>
      <c r="J2009"/>
      <c r="K2009"/>
      <c r="L2009"/>
      <c r="M2009"/>
      <c r="N2009"/>
      <c r="O2009"/>
    </row>
    <row r="2010" spans="1:15" hidden="1" x14ac:dyDescent="0.25">
      <c r="A2010" t="s">
        <v>106</v>
      </c>
      <c r="B2010" t="s">
        <v>115</v>
      </c>
      <c r="C2010" t="b">
        <v>0</v>
      </c>
      <c r="D2010" s="1">
        <v>38626</v>
      </c>
      <c r="E2010">
        <v>5</v>
      </c>
      <c r="F2010"/>
      <c r="G2010"/>
      <c r="H2010"/>
      <c r="I2010"/>
      <c r="J2010"/>
      <c r="K2010"/>
      <c r="L2010"/>
      <c r="M2010"/>
      <c r="N2010"/>
      <c r="O2010"/>
    </row>
    <row r="2011" spans="1:15" hidden="1" x14ac:dyDescent="0.25">
      <c r="A2011" t="s">
        <v>106</v>
      </c>
      <c r="B2011" t="s">
        <v>115</v>
      </c>
      <c r="C2011" t="b">
        <v>0</v>
      </c>
      <c r="D2011" s="1">
        <v>38626</v>
      </c>
      <c r="E2011">
        <v>5</v>
      </c>
      <c r="F2011"/>
      <c r="G2011"/>
      <c r="H2011"/>
      <c r="I2011"/>
      <c r="J2011"/>
      <c r="K2011"/>
      <c r="L2011"/>
      <c r="M2011"/>
      <c r="N2011"/>
      <c r="O2011"/>
    </row>
    <row r="2012" spans="1:15" hidden="1" x14ac:dyDescent="0.25">
      <c r="A2012" t="s">
        <v>106</v>
      </c>
      <c r="B2012" t="s">
        <v>115</v>
      </c>
      <c r="C2012" t="b">
        <v>0</v>
      </c>
      <c r="D2012" s="1">
        <v>38626</v>
      </c>
      <c r="E2012">
        <v>5</v>
      </c>
      <c r="F2012"/>
      <c r="G2012"/>
      <c r="H2012"/>
      <c r="I2012"/>
      <c r="J2012"/>
      <c r="K2012"/>
      <c r="L2012"/>
      <c r="M2012"/>
      <c r="N2012"/>
      <c r="O2012"/>
    </row>
    <row r="2013" spans="1:15" hidden="1" x14ac:dyDescent="0.25">
      <c r="A2013" t="s">
        <v>106</v>
      </c>
      <c r="B2013" t="s">
        <v>115</v>
      </c>
      <c r="C2013" t="b">
        <v>0</v>
      </c>
      <c r="D2013" s="1">
        <v>38626</v>
      </c>
      <c r="E2013">
        <v>5</v>
      </c>
      <c r="F2013"/>
      <c r="G2013"/>
      <c r="H2013"/>
      <c r="I2013"/>
      <c r="J2013"/>
      <c r="K2013"/>
      <c r="L2013"/>
      <c r="M2013"/>
      <c r="N2013"/>
      <c r="O2013"/>
    </row>
    <row r="2014" spans="1:15" hidden="1" x14ac:dyDescent="0.25">
      <c r="A2014" t="s">
        <v>106</v>
      </c>
      <c r="B2014" t="s">
        <v>115</v>
      </c>
      <c r="C2014" t="b">
        <v>0</v>
      </c>
      <c r="D2014" s="1">
        <v>38626</v>
      </c>
      <c r="E2014">
        <v>5</v>
      </c>
      <c r="F2014"/>
      <c r="G2014"/>
      <c r="H2014"/>
      <c r="I2014"/>
      <c r="J2014"/>
      <c r="K2014"/>
      <c r="L2014"/>
      <c r="M2014"/>
      <c r="N2014"/>
      <c r="O2014"/>
    </row>
    <row r="2015" spans="1:15" hidden="1" x14ac:dyDescent="0.25">
      <c r="A2015" t="s">
        <v>106</v>
      </c>
      <c r="B2015" t="s">
        <v>115</v>
      </c>
      <c r="C2015" t="b">
        <v>0</v>
      </c>
      <c r="D2015" s="1">
        <v>38626</v>
      </c>
      <c r="E2015">
        <v>5</v>
      </c>
      <c r="F2015"/>
      <c r="G2015"/>
      <c r="H2015"/>
      <c r="I2015"/>
      <c r="J2015"/>
      <c r="K2015"/>
      <c r="L2015"/>
      <c r="M2015"/>
      <c r="N2015"/>
      <c r="O2015"/>
    </row>
    <row r="2016" spans="1:15" hidden="1" x14ac:dyDescent="0.25">
      <c r="A2016" t="s">
        <v>106</v>
      </c>
      <c r="B2016" t="s">
        <v>115</v>
      </c>
      <c r="C2016" t="b">
        <v>0</v>
      </c>
      <c r="D2016" s="1">
        <v>38626</v>
      </c>
      <c r="E2016">
        <v>5</v>
      </c>
      <c r="F2016"/>
      <c r="G2016"/>
      <c r="H2016"/>
      <c r="I2016"/>
      <c r="J2016"/>
      <c r="K2016"/>
      <c r="L2016"/>
      <c r="M2016"/>
      <c r="N2016"/>
      <c r="O2016"/>
    </row>
    <row r="2017" spans="1:15" hidden="1" x14ac:dyDescent="0.25">
      <c r="A2017" t="s">
        <v>106</v>
      </c>
      <c r="B2017" t="s">
        <v>115</v>
      </c>
      <c r="C2017" t="b">
        <v>0</v>
      </c>
      <c r="D2017" s="1">
        <v>38626</v>
      </c>
      <c r="E2017">
        <v>5</v>
      </c>
      <c r="F2017"/>
      <c r="G2017"/>
      <c r="H2017"/>
      <c r="I2017"/>
      <c r="J2017"/>
      <c r="K2017"/>
      <c r="L2017"/>
      <c r="M2017"/>
      <c r="N2017"/>
      <c r="O2017"/>
    </row>
    <row r="2018" spans="1:15" hidden="1" x14ac:dyDescent="0.25">
      <c r="A2018" t="s">
        <v>106</v>
      </c>
      <c r="B2018" t="s">
        <v>115</v>
      </c>
      <c r="C2018" t="b">
        <v>0</v>
      </c>
      <c r="D2018" s="1">
        <v>38626</v>
      </c>
      <c r="E2018">
        <v>5</v>
      </c>
      <c r="F2018"/>
      <c r="G2018"/>
      <c r="H2018"/>
      <c r="I2018"/>
      <c r="J2018"/>
      <c r="K2018"/>
      <c r="L2018"/>
      <c r="M2018"/>
      <c r="N2018"/>
      <c r="O2018"/>
    </row>
    <row r="2019" spans="1:15" hidden="1" x14ac:dyDescent="0.25">
      <c r="A2019" t="s">
        <v>106</v>
      </c>
      <c r="B2019" t="s">
        <v>115</v>
      </c>
      <c r="C2019" t="b">
        <v>0</v>
      </c>
      <c r="D2019" s="1">
        <v>38626</v>
      </c>
      <c r="E2019">
        <v>5</v>
      </c>
      <c r="F2019"/>
      <c r="G2019"/>
      <c r="H2019"/>
      <c r="I2019"/>
      <c r="J2019"/>
      <c r="K2019"/>
      <c r="L2019"/>
      <c r="M2019"/>
      <c r="N2019"/>
      <c r="O2019"/>
    </row>
    <row r="2020" spans="1:15" hidden="1" x14ac:dyDescent="0.25">
      <c r="A2020" t="s">
        <v>106</v>
      </c>
      <c r="B2020" t="s">
        <v>115</v>
      </c>
      <c r="C2020" t="b">
        <v>0</v>
      </c>
      <c r="D2020" s="1">
        <v>38626</v>
      </c>
      <c r="E2020">
        <v>5</v>
      </c>
      <c r="F2020"/>
      <c r="G2020"/>
      <c r="H2020"/>
      <c r="I2020"/>
      <c r="J2020"/>
      <c r="K2020"/>
      <c r="L2020"/>
      <c r="M2020"/>
      <c r="N2020"/>
      <c r="O2020"/>
    </row>
    <row r="2021" spans="1:15" hidden="1" x14ac:dyDescent="0.25">
      <c r="A2021" t="s">
        <v>106</v>
      </c>
      <c r="B2021" t="s">
        <v>115</v>
      </c>
      <c r="C2021" t="b">
        <v>0</v>
      </c>
      <c r="D2021" s="1">
        <v>38626</v>
      </c>
      <c r="E2021">
        <v>5</v>
      </c>
      <c r="F2021"/>
      <c r="G2021"/>
      <c r="H2021"/>
      <c r="I2021"/>
      <c r="J2021"/>
      <c r="K2021"/>
      <c r="L2021"/>
      <c r="M2021"/>
      <c r="N2021"/>
      <c r="O2021"/>
    </row>
    <row r="2022" spans="1:15" hidden="1" x14ac:dyDescent="0.25">
      <c r="A2022" t="s">
        <v>106</v>
      </c>
      <c r="B2022" t="s">
        <v>115</v>
      </c>
      <c r="C2022" t="b">
        <v>0</v>
      </c>
      <c r="D2022" s="1">
        <v>38626</v>
      </c>
      <c r="E2022">
        <v>5</v>
      </c>
      <c r="F2022"/>
      <c r="G2022"/>
      <c r="H2022"/>
      <c r="I2022"/>
      <c r="J2022"/>
      <c r="K2022"/>
      <c r="L2022"/>
      <c r="M2022"/>
      <c r="N2022"/>
      <c r="O2022"/>
    </row>
    <row r="2023" spans="1:15" hidden="1" x14ac:dyDescent="0.25">
      <c r="A2023" t="s">
        <v>106</v>
      </c>
      <c r="B2023" t="s">
        <v>115</v>
      </c>
      <c r="C2023" t="b">
        <v>0</v>
      </c>
      <c r="D2023" s="1">
        <v>38626</v>
      </c>
      <c r="E2023">
        <v>5</v>
      </c>
      <c r="F2023"/>
      <c r="G2023"/>
      <c r="H2023"/>
      <c r="I2023"/>
      <c r="J2023"/>
      <c r="K2023"/>
      <c r="L2023"/>
      <c r="M2023"/>
      <c r="N2023"/>
      <c r="O2023"/>
    </row>
    <row r="2024" spans="1:15" hidden="1" x14ac:dyDescent="0.25">
      <c r="A2024" t="s">
        <v>106</v>
      </c>
      <c r="B2024" t="s">
        <v>115</v>
      </c>
      <c r="C2024" t="b">
        <v>0</v>
      </c>
      <c r="D2024" s="1">
        <v>38626</v>
      </c>
      <c r="E2024">
        <v>5</v>
      </c>
      <c r="F2024"/>
      <c r="G2024"/>
      <c r="H2024"/>
      <c r="I2024"/>
      <c r="J2024"/>
      <c r="K2024"/>
      <c r="L2024"/>
      <c r="M2024"/>
      <c r="N2024"/>
      <c r="O2024"/>
    </row>
    <row r="2025" spans="1:15" hidden="1" x14ac:dyDescent="0.25">
      <c r="A2025" t="s">
        <v>24</v>
      </c>
      <c r="B2025" t="s">
        <v>115</v>
      </c>
      <c r="C2025" t="b">
        <v>0</v>
      </c>
      <c r="D2025" s="1">
        <v>38626</v>
      </c>
      <c r="E2025">
        <v>5</v>
      </c>
      <c r="F2025"/>
      <c r="G2025"/>
      <c r="H2025"/>
      <c r="I2025"/>
      <c r="J2025"/>
      <c r="K2025"/>
      <c r="L2025"/>
      <c r="M2025"/>
      <c r="N2025"/>
      <c r="O2025"/>
    </row>
    <row r="2026" spans="1:15" hidden="1" x14ac:dyDescent="0.25">
      <c r="A2026" t="s">
        <v>30</v>
      </c>
      <c r="B2026" t="s">
        <v>115</v>
      </c>
      <c r="C2026" t="b">
        <v>0</v>
      </c>
      <c r="D2026" s="1">
        <v>38626</v>
      </c>
      <c r="E2026">
        <v>5</v>
      </c>
      <c r="F2026"/>
      <c r="G2026"/>
      <c r="H2026"/>
      <c r="I2026"/>
      <c r="J2026"/>
      <c r="K2026"/>
      <c r="L2026"/>
      <c r="M2026"/>
      <c r="N2026"/>
      <c r="O2026"/>
    </row>
    <row r="2027" spans="1:15" hidden="1" x14ac:dyDescent="0.25">
      <c r="A2027" t="s">
        <v>39</v>
      </c>
      <c r="B2027" t="s">
        <v>115</v>
      </c>
      <c r="C2027" t="b">
        <v>0</v>
      </c>
      <c r="D2027" s="1">
        <v>38626</v>
      </c>
      <c r="E2027">
        <v>5</v>
      </c>
      <c r="F2027"/>
      <c r="G2027"/>
      <c r="H2027"/>
      <c r="I2027"/>
      <c r="J2027"/>
      <c r="K2027"/>
      <c r="L2027"/>
      <c r="M2027"/>
      <c r="N2027"/>
      <c r="O2027"/>
    </row>
    <row r="2028" spans="1:15" hidden="1" x14ac:dyDescent="0.25">
      <c r="A2028" t="s">
        <v>57</v>
      </c>
      <c r="B2028" t="s">
        <v>115</v>
      </c>
      <c r="C2028" t="b">
        <v>0</v>
      </c>
      <c r="D2028" s="1">
        <v>38626</v>
      </c>
      <c r="E2028">
        <v>5</v>
      </c>
      <c r="F2028"/>
      <c r="G2028"/>
      <c r="H2028"/>
      <c r="I2028"/>
      <c r="J2028"/>
      <c r="K2028"/>
      <c r="L2028"/>
      <c r="M2028"/>
      <c r="N2028"/>
      <c r="O2028"/>
    </row>
    <row r="2029" spans="1:15" hidden="1" x14ac:dyDescent="0.25">
      <c r="A2029" t="s">
        <v>69</v>
      </c>
      <c r="B2029" t="s">
        <v>115</v>
      </c>
      <c r="C2029" t="b">
        <v>0</v>
      </c>
      <c r="D2029" s="1">
        <v>38626</v>
      </c>
      <c r="E2029">
        <v>5</v>
      </c>
      <c r="F2029"/>
      <c r="G2029"/>
      <c r="H2029"/>
      <c r="I2029"/>
      <c r="J2029"/>
      <c r="K2029"/>
      <c r="L2029"/>
      <c r="M2029"/>
      <c r="N2029"/>
      <c r="O2029"/>
    </row>
    <row r="2030" spans="1:15" hidden="1" x14ac:dyDescent="0.25">
      <c r="A2030" t="s">
        <v>71</v>
      </c>
      <c r="B2030" t="s">
        <v>115</v>
      </c>
      <c r="C2030" t="b">
        <v>0</v>
      </c>
      <c r="D2030" s="1">
        <v>38626</v>
      </c>
      <c r="E2030">
        <v>5</v>
      </c>
      <c r="F2030"/>
      <c r="G2030"/>
      <c r="H2030"/>
      <c r="I2030"/>
      <c r="J2030"/>
      <c r="K2030"/>
      <c r="L2030"/>
      <c r="M2030"/>
      <c r="N2030"/>
      <c r="O2030"/>
    </row>
    <row r="2031" spans="1:15" hidden="1" x14ac:dyDescent="0.25">
      <c r="A2031" t="s">
        <v>86</v>
      </c>
      <c r="B2031" t="s">
        <v>115</v>
      </c>
      <c r="C2031" t="b">
        <v>0</v>
      </c>
      <c r="D2031" s="1">
        <v>38626</v>
      </c>
      <c r="E2031">
        <v>5</v>
      </c>
      <c r="F2031"/>
      <c r="G2031"/>
      <c r="H2031"/>
      <c r="I2031"/>
      <c r="J2031"/>
      <c r="K2031"/>
      <c r="L2031"/>
      <c r="M2031"/>
      <c r="N2031"/>
      <c r="O2031"/>
    </row>
    <row r="2032" spans="1:15" hidden="1" x14ac:dyDescent="0.25">
      <c r="A2032" t="s">
        <v>90</v>
      </c>
      <c r="B2032" t="s">
        <v>115</v>
      </c>
      <c r="C2032" t="b">
        <v>0</v>
      </c>
      <c r="D2032" s="1">
        <v>38626</v>
      </c>
      <c r="E2032">
        <v>5</v>
      </c>
      <c r="F2032"/>
      <c r="G2032"/>
      <c r="H2032"/>
      <c r="I2032"/>
      <c r="J2032"/>
      <c r="K2032"/>
      <c r="L2032"/>
      <c r="M2032"/>
      <c r="N2032"/>
      <c r="O2032"/>
    </row>
    <row r="2033" spans="1:15" hidden="1" x14ac:dyDescent="0.25">
      <c r="A2033" t="s">
        <v>99</v>
      </c>
      <c r="B2033" t="s">
        <v>114</v>
      </c>
      <c r="C2033" t="b">
        <v>0</v>
      </c>
      <c r="D2033" s="1">
        <v>38626</v>
      </c>
      <c r="E2033">
        <v>7.9799999999999995</v>
      </c>
      <c r="F2033"/>
      <c r="G2033"/>
      <c r="H2033"/>
      <c r="I2033"/>
      <c r="J2033"/>
      <c r="K2033"/>
      <c r="L2033"/>
      <c r="M2033"/>
      <c r="N2033"/>
      <c r="O2033"/>
    </row>
    <row r="2034" spans="1:15" hidden="1" x14ac:dyDescent="0.25">
      <c r="A2034" t="s">
        <v>100</v>
      </c>
      <c r="B2034" t="s">
        <v>117</v>
      </c>
      <c r="C2034" t="b">
        <v>0</v>
      </c>
      <c r="D2034" s="1">
        <v>38657</v>
      </c>
      <c r="E2034" s="2">
        <v>-165.86</v>
      </c>
      <c r="F2034"/>
      <c r="G2034"/>
      <c r="H2034"/>
      <c r="I2034"/>
      <c r="J2034"/>
      <c r="K2034"/>
      <c r="L2034"/>
      <c r="M2034"/>
      <c r="N2034"/>
      <c r="O2034"/>
    </row>
    <row r="2035" spans="1:15" hidden="1" x14ac:dyDescent="0.25">
      <c r="A2035" t="s">
        <v>102</v>
      </c>
      <c r="B2035" t="s">
        <v>117</v>
      </c>
      <c r="C2035" t="b">
        <v>0</v>
      </c>
      <c r="D2035" s="1">
        <v>38657</v>
      </c>
      <c r="E2035" s="2">
        <v>-19.66</v>
      </c>
      <c r="F2035"/>
      <c r="G2035"/>
      <c r="H2035"/>
      <c r="I2035"/>
      <c r="J2035"/>
      <c r="K2035"/>
      <c r="L2035"/>
      <c r="M2035"/>
      <c r="N2035"/>
      <c r="O2035"/>
    </row>
    <row r="2036" spans="1:15" hidden="1" x14ac:dyDescent="0.25">
      <c r="A2036" t="s">
        <v>11</v>
      </c>
      <c r="B2036" t="s">
        <v>115</v>
      </c>
      <c r="C2036" t="b">
        <v>0</v>
      </c>
      <c r="D2036" s="1">
        <v>38657</v>
      </c>
      <c r="E2036">
        <v>5</v>
      </c>
      <c r="F2036"/>
      <c r="G2036"/>
      <c r="H2036"/>
      <c r="I2036"/>
      <c r="J2036"/>
      <c r="K2036"/>
      <c r="L2036"/>
      <c r="M2036"/>
      <c r="N2036"/>
      <c r="O2036"/>
    </row>
    <row r="2037" spans="1:15" hidden="1" x14ac:dyDescent="0.25">
      <c r="A2037" t="s">
        <v>14</v>
      </c>
      <c r="B2037" t="s">
        <v>115</v>
      </c>
      <c r="C2037" t="b">
        <v>0</v>
      </c>
      <c r="D2037" s="1">
        <v>38657</v>
      </c>
      <c r="E2037">
        <v>5</v>
      </c>
      <c r="F2037"/>
      <c r="G2037"/>
      <c r="H2037"/>
      <c r="I2037"/>
      <c r="J2037"/>
      <c r="K2037"/>
      <c r="L2037"/>
      <c r="M2037"/>
      <c r="N2037"/>
      <c r="O2037"/>
    </row>
    <row r="2038" spans="1:15" hidden="1" x14ac:dyDescent="0.25">
      <c r="A2038" t="s">
        <v>18</v>
      </c>
      <c r="B2038" t="s">
        <v>115</v>
      </c>
      <c r="C2038" t="b">
        <v>0</v>
      </c>
      <c r="D2038" s="1">
        <v>38657</v>
      </c>
      <c r="E2038">
        <v>5</v>
      </c>
      <c r="F2038"/>
      <c r="G2038"/>
      <c r="H2038"/>
      <c r="I2038"/>
      <c r="J2038"/>
      <c r="K2038"/>
      <c r="L2038"/>
      <c r="M2038"/>
      <c r="N2038"/>
      <c r="O2038"/>
    </row>
    <row r="2039" spans="1:15" hidden="1" x14ac:dyDescent="0.25">
      <c r="A2039" t="s">
        <v>106</v>
      </c>
      <c r="B2039" t="s">
        <v>115</v>
      </c>
      <c r="C2039" t="b">
        <v>0</v>
      </c>
      <c r="D2039" s="1">
        <v>38657</v>
      </c>
      <c r="E2039">
        <v>5</v>
      </c>
      <c r="F2039"/>
      <c r="G2039"/>
      <c r="H2039"/>
      <c r="I2039"/>
      <c r="J2039"/>
      <c r="K2039"/>
      <c r="L2039"/>
      <c r="M2039"/>
      <c r="N2039"/>
      <c r="O2039"/>
    </row>
    <row r="2040" spans="1:15" hidden="1" x14ac:dyDescent="0.25">
      <c r="A2040" t="s">
        <v>106</v>
      </c>
      <c r="B2040" t="s">
        <v>115</v>
      </c>
      <c r="C2040" t="b">
        <v>0</v>
      </c>
      <c r="D2040" s="1">
        <v>38657</v>
      </c>
      <c r="E2040">
        <v>5</v>
      </c>
      <c r="F2040"/>
      <c r="G2040"/>
      <c r="H2040"/>
      <c r="I2040"/>
      <c r="J2040"/>
      <c r="K2040"/>
      <c r="L2040"/>
      <c r="M2040"/>
      <c r="N2040"/>
      <c r="O2040"/>
    </row>
    <row r="2041" spans="1:15" hidden="1" x14ac:dyDescent="0.25">
      <c r="A2041" t="s">
        <v>106</v>
      </c>
      <c r="B2041" t="s">
        <v>115</v>
      </c>
      <c r="C2041" t="b">
        <v>0</v>
      </c>
      <c r="D2041" s="1">
        <v>38657</v>
      </c>
      <c r="E2041">
        <v>5</v>
      </c>
      <c r="F2041"/>
      <c r="G2041"/>
      <c r="H2041"/>
      <c r="I2041"/>
      <c r="J2041"/>
      <c r="K2041"/>
      <c r="L2041"/>
      <c r="M2041"/>
      <c r="N2041"/>
      <c r="O2041"/>
    </row>
    <row r="2042" spans="1:15" hidden="1" x14ac:dyDescent="0.25">
      <c r="A2042" t="s">
        <v>106</v>
      </c>
      <c r="B2042" t="s">
        <v>115</v>
      </c>
      <c r="C2042" t="b">
        <v>0</v>
      </c>
      <c r="D2042" s="1">
        <v>38657</v>
      </c>
      <c r="E2042">
        <v>5</v>
      </c>
      <c r="F2042"/>
      <c r="G2042"/>
      <c r="H2042"/>
      <c r="I2042"/>
      <c r="J2042"/>
      <c r="K2042"/>
      <c r="L2042"/>
      <c r="M2042"/>
      <c r="N2042"/>
      <c r="O2042"/>
    </row>
    <row r="2043" spans="1:15" hidden="1" x14ac:dyDescent="0.25">
      <c r="A2043" t="s">
        <v>106</v>
      </c>
      <c r="B2043" t="s">
        <v>115</v>
      </c>
      <c r="C2043" t="b">
        <v>0</v>
      </c>
      <c r="D2043" s="1">
        <v>38657</v>
      </c>
      <c r="E2043">
        <v>5</v>
      </c>
      <c r="F2043"/>
      <c r="G2043"/>
      <c r="H2043"/>
      <c r="I2043"/>
      <c r="J2043"/>
      <c r="K2043"/>
      <c r="L2043"/>
      <c r="M2043"/>
      <c r="N2043"/>
      <c r="O2043"/>
    </row>
    <row r="2044" spans="1:15" hidden="1" x14ac:dyDescent="0.25">
      <c r="A2044" t="s">
        <v>106</v>
      </c>
      <c r="B2044" t="s">
        <v>115</v>
      </c>
      <c r="C2044" t="b">
        <v>0</v>
      </c>
      <c r="D2044" s="1">
        <v>38657</v>
      </c>
      <c r="E2044">
        <v>5</v>
      </c>
      <c r="F2044"/>
      <c r="G2044"/>
      <c r="H2044"/>
      <c r="I2044"/>
      <c r="J2044"/>
      <c r="K2044"/>
      <c r="L2044"/>
      <c r="M2044"/>
      <c r="N2044"/>
      <c r="O2044"/>
    </row>
    <row r="2045" spans="1:15" hidden="1" x14ac:dyDescent="0.25">
      <c r="A2045" t="s">
        <v>106</v>
      </c>
      <c r="B2045" t="s">
        <v>115</v>
      </c>
      <c r="C2045" t="b">
        <v>0</v>
      </c>
      <c r="D2045" s="1">
        <v>38657</v>
      </c>
      <c r="E2045">
        <v>5</v>
      </c>
      <c r="F2045"/>
      <c r="G2045"/>
      <c r="H2045"/>
      <c r="I2045"/>
      <c r="J2045"/>
      <c r="K2045"/>
      <c r="L2045"/>
      <c r="M2045"/>
      <c r="N2045"/>
      <c r="O2045"/>
    </row>
    <row r="2046" spans="1:15" hidden="1" x14ac:dyDescent="0.25">
      <c r="A2046" t="s">
        <v>106</v>
      </c>
      <c r="B2046" t="s">
        <v>115</v>
      </c>
      <c r="C2046" t="b">
        <v>0</v>
      </c>
      <c r="D2046" s="1">
        <v>38657</v>
      </c>
      <c r="E2046">
        <v>5</v>
      </c>
      <c r="F2046"/>
      <c r="G2046"/>
      <c r="H2046"/>
      <c r="I2046"/>
      <c r="J2046"/>
      <c r="K2046"/>
      <c r="L2046"/>
      <c r="M2046"/>
      <c r="N2046"/>
      <c r="O2046"/>
    </row>
    <row r="2047" spans="1:15" hidden="1" x14ac:dyDescent="0.25">
      <c r="A2047" t="s">
        <v>106</v>
      </c>
      <c r="B2047" t="s">
        <v>115</v>
      </c>
      <c r="C2047" t="b">
        <v>0</v>
      </c>
      <c r="D2047" s="1">
        <v>38657</v>
      </c>
      <c r="E2047">
        <v>5</v>
      </c>
      <c r="F2047"/>
      <c r="G2047"/>
      <c r="H2047"/>
      <c r="I2047"/>
      <c r="J2047"/>
      <c r="K2047"/>
      <c r="L2047"/>
      <c r="M2047"/>
      <c r="N2047"/>
      <c r="O2047"/>
    </row>
    <row r="2048" spans="1:15" hidden="1" x14ac:dyDescent="0.25">
      <c r="A2048" t="s">
        <v>106</v>
      </c>
      <c r="B2048" t="s">
        <v>115</v>
      </c>
      <c r="C2048" t="b">
        <v>0</v>
      </c>
      <c r="D2048" s="1">
        <v>38657</v>
      </c>
      <c r="E2048">
        <v>5</v>
      </c>
      <c r="F2048"/>
      <c r="G2048"/>
      <c r="H2048"/>
      <c r="I2048"/>
      <c r="J2048"/>
      <c r="K2048"/>
      <c r="L2048"/>
      <c r="M2048"/>
      <c r="N2048"/>
      <c r="O2048"/>
    </row>
    <row r="2049" spans="1:15" hidden="1" x14ac:dyDescent="0.25">
      <c r="A2049" t="s">
        <v>106</v>
      </c>
      <c r="B2049" t="s">
        <v>115</v>
      </c>
      <c r="C2049" t="b">
        <v>0</v>
      </c>
      <c r="D2049" s="1">
        <v>38657</v>
      </c>
      <c r="E2049">
        <v>5</v>
      </c>
      <c r="F2049"/>
      <c r="G2049"/>
      <c r="H2049"/>
      <c r="I2049"/>
      <c r="J2049"/>
      <c r="K2049"/>
      <c r="L2049"/>
      <c r="M2049"/>
      <c r="N2049"/>
      <c r="O2049"/>
    </row>
    <row r="2050" spans="1:15" hidden="1" x14ac:dyDescent="0.25">
      <c r="A2050" t="s">
        <v>106</v>
      </c>
      <c r="B2050" t="s">
        <v>115</v>
      </c>
      <c r="C2050" t="b">
        <v>0</v>
      </c>
      <c r="D2050" s="1">
        <v>38657</v>
      </c>
      <c r="E2050">
        <v>5</v>
      </c>
      <c r="F2050"/>
      <c r="G2050"/>
      <c r="H2050"/>
      <c r="I2050"/>
      <c r="J2050"/>
      <c r="K2050"/>
      <c r="L2050"/>
      <c r="M2050"/>
      <c r="N2050"/>
      <c r="O2050"/>
    </row>
    <row r="2051" spans="1:15" hidden="1" x14ac:dyDescent="0.25">
      <c r="A2051" t="s">
        <v>106</v>
      </c>
      <c r="B2051" t="s">
        <v>115</v>
      </c>
      <c r="C2051" t="b">
        <v>0</v>
      </c>
      <c r="D2051" s="1">
        <v>38657</v>
      </c>
      <c r="E2051">
        <v>5</v>
      </c>
      <c r="F2051"/>
      <c r="G2051"/>
      <c r="H2051"/>
      <c r="I2051"/>
      <c r="J2051"/>
      <c r="K2051"/>
      <c r="L2051"/>
      <c r="M2051"/>
      <c r="N2051"/>
      <c r="O2051"/>
    </row>
    <row r="2052" spans="1:15" hidden="1" x14ac:dyDescent="0.25">
      <c r="A2052" t="s">
        <v>106</v>
      </c>
      <c r="B2052" t="s">
        <v>115</v>
      </c>
      <c r="C2052" t="b">
        <v>0</v>
      </c>
      <c r="D2052" s="1">
        <v>38657</v>
      </c>
      <c r="E2052">
        <v>5</v>
      </c>
      <c r="F2052"/>
      <c r="G2052"/>
      <c r="H2052"/>
      <c r="I2052"/>
      <c r="J2052"/>
      <c r="K2052"/>
      <c r="L2052"/>
      <c r="M2052"/>
      <c r="N2052"/>
      <c r="O2052"/>
    </row>
    <row r="2053" spans="1:15" hidden="1" x14ac:dyDescent="0.25">
      <c r="A2053" t="s">
        <v>106</v>
      </c>
      <c r="B2053" t="s">
        <v>115</v>
      </c>
      <c r="C2053" t="b">
        <v>0</v>
      </c>
      <c r="D2053" s="1">
        <v>38657</v>
      </c>
      <c r="E2053">
        <v>5</v>
      </c>
      <c r="F2053"/>
      <c r="G2053"/>
      <c r="H2053"/>
      <c r="I2053"/>
      <c r="J2053"/>
      <c r="K2053"/>
      <c r="L2053"/>
      <c r="M2053"/>
      <c r="N2053"/>
      <c r="O2053"/>
    </row>
    <row r="2054" spans="1:15" hidden="1" x14ac:dyDescent="0.25">
      <c r="A2054" t="s">
        <v>24</v>
      </c>
      <c r="B2054" t="s">
        <v>115</v>
      </c>
      <c r="C2054" t="b">
        <v>0</v>
      </c>
      <c r="D2054" s="1">
        <v>38657</v>
      </c>
      <c r="E2054">
        <v>5</v>
      </c>
      <c r="F2054"/>
      <c r="G2054"/>
      <c r="H2054"/>
      <c r="I2054"/>
      <c r="J2054"/>
      <c r="K2054"/>
      <c r="L2054"/>
      <c r="M2054"/>
      <c r="N2054"/>
      <c r="O2054"/>
    </row>
    <row r="2055" spans="1:15" hidden="1" x14ac:dyDescent="0.25">
      <c r="A2055" t="s">
        <v>30</v>
      </c>
      <c r="B2055" t="s">
        <v>115</v>
      </c>
      <c r="C2055" t="b">
        <v>0</v>
      </c>
      <c r="D2055" s="1">
        <v>38657</v>
      </c>
      <c r="E2055">
        <v>5</v>
      </c>
      <c r="F2055"/>
      <c r="G2055"/>
      <c r="H2055"/>
      <c r="I2055"/>
      <c r="J2055"/>
      <c r="K2055"/>
      <c r="L2055"/>
      <c r="M2055"/>
      <c r="N2055"/>
      <c r="O2055"/>
    </row>
    <row r="2056" spans="1:15" hidden="1" x14ac:dyDescent="0.25">
      <c r="A2056" t="s">
        <v>39</v>
      </c>
      <c r="B2056" t="s">
        <v>115</v>
      </c>
      <c r="C2056" t="b">
        <v>0</v>
      </c>
      <c r="D2056" s="1">
        <v>38657</v>
      </c>
      <c r="E2056">
        <v>5</v>
      </c>
      <c r="F2056"/>
      <c r="G2056"/>
      <c r="H2056"/>
      <c r="I2056"/>
      <c r="J2056"/>
      <c r="K2056"/>
      <c r="L2056"/>
      <c r="M2056"/>
      <c r="N2056"/>
      <c r="O2056"/>
    </row>
    <row r="2057" spans="1:15" hidden="1" x14ac:dyDescent="0.25">
      <c r="A2057" t="s">
        <v>57</v>
      </c>
      <c r="B2057" t="s">
        <v>115</v>
      </c>
      <c r="C2057" t="b">
        <v>0</v>
      </c>
      <c r="D2057" s="1">
        <v>38657</v>
      </c>
      <c r="E2057">
        <v>5</v>
      </c>
      <c r="F2057"/>
      <c r="G2057"/>
      <c r="H2057"/>
      <c r="I2057"/>
      <c r="J2057"/>
      <c r="K2057"/>
      <c r="L2057"/>
      <c r="M2057"/>
      <c r="N2057"/>
      <c r="O2057"/>
    </row>
    <row r="2058" spans="1:15" hidden="1" x14ac:dyDescent="0.25">
      <c r="A2058" t="s">
        <v>69</v>
      </c>
      <c r="B2058" t="s">
        <v>115</v>
      </c>
      <c r="C2058" t="b">
        <v>0</v>
      </c>
      <c r="D2058" s="1">
        <v>38657</v>
      </c>
      <c r="E2058">
        <v>5</v>
      </c>
      <c r="F2058"/>
      <c r="G2058"/>
      <c r="H2058"/>
      <c r="I2058"/>
      <c r="J2058"/>
      <c r="K2058"/>
      <c r="L2058"/>
      <c r="M2058"/>
      <c r="N2058"/>
      <c r="O2058"/>
    </row>
    <row r="2059" spans="1:15" hidden="1" x14ac:dyDescent="0.25">
      <c r="A2059" t="s">
        <v>71</v>
      </c>
      <c r="B2059" t="s">
        <v>115</v>
      </c>
      <c r="C2059" t="b">
        <v>0</v>
      </c>
      <c r="D2059" s="1">
        <v>38657</v>
      </c>
      <c r="E2059">
        <v>5</v>
      </c>
      <c r="F2059"/>
      <c r="G2059"/>
      <c r="H2059"/>
      <c r="I2059"/>
      <c r="J2059"/>
      <c r="K2059"/>
      <c r="L2059"/>
      <c r="M2059"/>
      <c r="N2059"/>
      <c r="O2059"/>
    </row>
    <row r="2060" spans="1:15" hidden="1" x14ac:dyDescent="0.25">
      <c r="A2060" t="s">
        <v>86</v>
      </c>
      <c r="B2060" t="s">
        <v>115</v>
      </c>
      <c r="C2060" t="b">
        <v>0</v>
      </c>
      <c r="D2060" s="1">
        <v>38657</v>
      </c>
      <c r="E2060">
        <v>5</v>
      </c>
      <c r="F2060"/>
      <c r="G2060"/>
      <c r="H2060"/>
      <c r="I2060"/>
      <c r="J2060"/>
      <c r="K2060"/>
      <c r="L2060"/>
      <c r="M2060"/>
      <c r="N2060"/>
      <c r="O2060"/>
    </row>
    <row r="2061" spans="1:15" hidden="1" x14ac:dyDescent="0.25">
      <c r="A2061" t="s">
        <v>90</v>
      </c>
      <c r="B2061" t="s">
        <v>115</v>
      </c>
      <c r="C2061" t="b">
        <v>0</v>
      </c>
      <c r="D2061" s="1">
        <v>38657</v>
      </c>
      <c r="E2061">
        <v>5</v>
      </c>
      <c r="F2061"/>
      <c r="G2061"/>
      <c r="H2061"/>
      <c r="I2061"/>
      <c r="J2061"/>
      <c r="K2061"/>
      <c r="L2061"/>
      <c r="M2061"/>
      <c r="N2061"/>
      <c r="O2061"/>
    </row>
    <row r="2062" spans="1:15" hidden="1" x14ac:dyDescent="0.25">
      <c r="A2062" t="s">
        <v>99</v>
      </c>
      <c r="B2062" t="s">
        <v>114</v>
      </c>
      <c r="C2062" t="b">
        <v>0</v>
      </c>
      <c r="D2062" s="1">
        <v>38657</v>
      </c>
      <c r="E2062">
        <v>15.5</v>
      </c>
      <c r="F2062"/>
      <c r="G2062"/>
      <c r="H2062"/>
      <c r="I2062"/>
      <c r="J2062"/>
      <c r="K2062"/>
      <c r="L2062"/>
      <c r="M2062"/>
      <c r="N2062"/>
      <c r="O2062"/>
    </row>
    <row r="2063" spans="1:15" hidden="1" x14ac:dyDescent="0.25">
      <c r="A2063" t="s">
        <v>104</v>
      </c>
      <c r="B2063" t="s">
        <v>117</v>
      </c>
      <c r="C2063" t="b">
        <v>0</v>
      </c>
      <c r="D2063" s="1">
        <v>38687</v>
      </c>
      <c r="E2063" s="2">
        <v>-19</v>
      </c>
      <c r="F2063"/>
      <c r="G2063"/>
      <c r="H2063"/>
      <c r="I2063"/>
      <c r="J2063"/>
      <c r="K2063"/>
      <c r="L2063"/>
      <c r="M2063"/>
      <c r="N2063"/>
      <c r="O2063"/>
    </row>
    <row r="2064" spans="1:15" hidden="1" x14ac:dyDescent="0.25">
      <c r="A2064" t="s">
        <v>102</v>
      </c>
      <c r="B2064" t="s">
        <v>117</v>
      </c>
      <c r="C2064" t="b">
        <v>0</v>
      </c>
      <c r="D2064" s="1">
        <v>38687</v>
      </c>
      <c r="E2064" s="2">
        <v>-8.7799999999999994</v>
      </c>
      <c r="F2064"/>
      <c r="G2064"/>
      <c r="H2064"/>
      <c r="I2064"/>
      <c r="J2064"/>
      <c r="K2064"/>
      <c r="L2064"/>
      <c r="M2064"/>
      <c r="N2064"/>
      <c r="O2064"/>
    </row>
    <row r="2065" spans="1:15" hidden="1" x14ac:dyDescent="0.25">
      <c r="A2065" t="s">
        <v>103</v>
      </c>
      <c r="B2065" t="s">
        <v>117</v>
      </c>
      <c r="C2065" t="b">
        <v>0</v>
      </c>
      <c r="D2065" s="1">
        <v>38687</v>
      </c>
      <c r="E2065" s="2">
        <v>0.14000000000000001</v>
      </c>
      <c r="F2065"/>
      <c r="G2065"/>
      <c r="H2065"/>
      <c r="I2065"/>
      <c r="J2065"/>
      <c r="K2065"/>
      <c r="L2065"/>
      <c r="M2065"/>
      <c r="N2065"/>
      <c r="O2065"/>
    </row>
    <row r="2066" spans="1:15" hidden="1" x14ac:dyDescent="0.25">
      <c r="A2066" t="s">
        <v>14</v>
      </c>
      <c r="B2066" t="s">
        <v>115</v>
      </c>
      <c r="C2066" t="b">
        <v>0</v>
      </c>
      <c r="D2066" s="1">
        <v>38687</v>
      </c>
      <c r="E2066">
        <v>5</v>
      </c>
      <c r="F2066"/>
      <c r="G2066"/>
      <c r="H2066"/>
      <c r="I2066"/>
      <c r="J2066"/>
      <c r="K2066"/>
      <c r="L2066"/>
      <c r="M2066"/>
      <c r="N2066"/>
      <c r="O2066"/>
    </row>
    <row r="2067" spans="1:15" hidden="1" x14ac:dyDescent="0.25">
      <c r="A2067" t="s">
        <v>18</v>
      </c>
      <c r="B2067" t="s">
        <v>115</v>
      </c>
      <c r="C2067" t="b">
        <v>0</v>
      </c>
      <c r="D2067" s="1">
        <v>38687</v>
      </c>
      <c r="E2067">
        <v>5</v>
      </c>
      <c r="F2067"/>
      <c r="G2067"/>
      <c r="H2067"/>
      <c r="I2067"/>
      <c r="J2067"/>
      <c r="K2067"/>
      <c r="L2067"/>
      <c r="M2067"/>
      <c r="N2067"/>
      <c r="O2067"/>
    </row>
    <row r="2068" spans="1:15" hidden="1" x14ac:dyDescent="0.25">
      <c r="A2068" t="s">
        <v>106</v>
      </c>
      <c r="B2068" t="s">
        <v>115</v>
      </c>
      <c r="C2068" t="b">
        <v>0</v>
      </c>
      <c r="D2068" s="1">
        <v>38687</v>
      </c>
      <c r="E2068">
        <v>5</v>
      </c>
      <c r="F2068"/>
      <c r="G2068"/>
      <c r="H2068"/>
      <c r="I2068"/>
      <c r="J2068"/>
      <c r="K2068"/>
      <c r="L2068"/>
      <c r="M2068"/>
      <c r="N2068"/>
      <c r="O2068"/>
    </row>
    <row r="2069" spans="1:15" hidden="1" x14ac:dyDescent="0.25">
      <c r="A2069" t="s">
        <v>106</v>
      </c>
      <c r="B2069" t="s">
        <v>115</v>
      </c>
      <c r="C2069" t="b">
        <v>0</v>
      </c>
      <c r="D2069" s="1">
        <v>38687</v>
      </c>
      <c r="E2069">
        <v>5</v>
      </c>
      <c r="F2069"/>
      <c r="G2069"/>
      <c r="H2069"/>
      <c r="I2069"/>
      <c r="J2069"/>
      <c r="K2069"/>
      <c r="L2069"/>
      <c r="M2069"/>
      <c r="N2069"/>
      <c r="O2069"/>
    </row>
    <row r="2070" spans="1:15" hidden="1" x14ac:dyDescent="0.25">
      <c r="A2070" t="s">
        <v>106</v>
      </c>
      <c r="B2070" t="s">
        <v>115</v>
      </c>
      <c r="C2070" t="b">
        <v>0</v>
      </c>
      <c r="D2070" s="1">
        <v>38687</v>
      </c>
      <c r="E2070">
        <v>5</v>
      </c>
      <c r="F2070"/>
      <c r="G2070"/>
      <c r="H2070"/>
      <c r="I2070"/>
      <c r="J2070"/>
      <c r="K2070"/>
      <c r="L2070"/>
      <c r="M2070"/>
      <c r="N2070"/>
      <c r="O2070"/>
    </row>
    <row r="2071" spans="1:15" hidden="1" x14ac:dyDescent="0.25">
      <c r="A2071" t="s">
        <v>106</v>
      </c>
      <c r="B2071" t="s">
        <v>115</v>
      </c>
      <c r="C2071" t="b">
        <v>0</v>
      </c>
      <c r="D2071" s="1">
        <v>38687</v>
      </c>
      <c r="E2071">
        <v>5</v>
      </c>
      <c r="F2071"/>
      <c r="G2071"/>
      <c r="H2071"/>
      <c r="I2071"/>
      <c r="J2071"/>
      <c r="K2071"/>
      <c r="L2071"/>
      <c r="M2071"/>
      <c r="N2071"/>
      <c r="O2071"/>
    </row>
    <row r="2072" spans="1:15" hidden="1" x14ac:dyDescent="0.25">
      <c r="A2072" t="s">
        <v>106</v>
      </c>
      <c r="B2072" t="s">
        <v>115</v>
      </c>
      <c r="C2072" t="b">
        <v>0</v>
      </c>
      <c r="D2072" s="1">
        <v>38687</v>
      </c>
      <c r="E2072">
        <v>5</v>
      </c>
      <c r="F2072"/>
      <c r="G2072"/>
      <c r="H2072"/>
      <c r="I2072"/>
      <c r="J2072"/>
      <c r="K2072"/>
      <c r="L2072"/>
      <c r="M2072"/>
      <c r="N2072"/>
      <c r="O2072"/>
    </row>
    <row r="2073" spans="1:15" hidden="1" x14ac:dyDescent="0.25">
      <c r="A2073" t="s">
        <v>106</v>
      </c>
      <c r="B2073" t="s">
        <v>115</v>
      </c>
      <c r="C2073" t="b">
        <v>0</v>
      </c>
      <c r="D2073" s="1">
        <v>38687</v>
      </c>
      <c r="E2073">
        <v>5</v>
      </c>
      <c r="F2073"/>
      <c r="G2073"/>
      <c r="H2073"/>
      <c r="I2073"/>
      <c r="J2073"/>
      <c r="K2073"/>
      <c r="L2073"/>
      <c r="M2073"/>
      <c r="N2073"/>
      <c r="O2073"/>
    </row>
    <row r="2074" spans="1:15" hidden="1" x14ac:dyDescent="0.25">
      <c r="A2074" t="s">
        <v>106</v>
      </c>
      <c r="B2074" t="s">
        <v>115</v>
      </c>
      <c r="C2074" t="b">
        <v>0</v>
      </c>
      <c r="D2074" s="1">
        <v>38687</v>
      </c>
      <c r="E2074">
        <v>1</v>
      </c>
      <c r="F2074"/>
      <c r="G2074"/>
      <c r="H2074"/>
      <c r="I2074"/>
      <c r="J2074"/>
      <c r="K2074"/>
      <c r="L2074"/>
      <c r="M2074"/>
      <c r="N2074"/>
      <c r="O2074"/>
    </row>
    <row r="2075" spans="1:15" hidden="1" x14ac:dyDescent="0.25">
      <c r="A2075" t="s">
        <v>106</v>
      </c>
      <c r="B2075" t="s">
        <v>115</v>
      </c>
      <c r="C2075" t="b">
        <v>0</v>
      </c>
      <c r="D2075" s="1">
        <v>38687</v>
      </c>
      <c r="E2075">
        <v>5</v>
      </c>
      <c r="F2075"/>
      <c r="G2075"/>
      <c r="H2075"/>
      <c r="I2075"/>
      <c r="J2075"/>
      <c r="K2075"/>
      <c r="L2075"/>
      <c r="M2075"/>
      <c r="N2075"/>
      <c r="O2075"/>
    </row>
    <row r="2076" spans="1:15" hidden="1" x14ac:dyDescent="0.25">
      <c r="A2076" t="s">
        <v>106</v>
      </c>
      <c r="B2076" t="s">
        <v>115</v>
      </c>
      <c r="C2076" t="b">
        <v>0</v>
      </c>
      <c r="D2076" s="1">
        <v>38687</v>
      </c>
      <c r="E2076">
        <v>5</v>
      </c>
      <c r="F2076"/>
      <c r="G2076"/>
      <c r="H2076"/>
      <c r="I2076"/>
      <c r="J2076"/>
      <c r="K2076"/>
      <c r="L2076"/>
      <c r="M2076"/>
      <c r="N2076"/>
      <c r="O2076"/>
    </row>
    <row r="2077" spans="1:15" hidden="1" x14ac:dyDescent="0.25">
      <c r="A2077" t="s">
        <v>106</v>
      </c>
      <c r="B2077" t="s">
        <v>115</v>
      </c>
      <c r="C2077" t="b">
        <v>0</v>
      </c>
      <c r="D2077" s="1">
        <v>38687</v>
      </c>
      <c r="E2077">
        <v>5</v>
      </c>
      <c r="F2077"/>
      <c r="G2077"/>
      <c r="H2077"/>
      <c r="I2077"/>
      <c r="J2077"/>
      <c r="K2077"/>
      <c r="L2077"/>
      <c r="M2077"/>
      <c r="N2077"/>
      <c r="O2077"/>
    </row>
    <row r="2078" spans="1:15" hidden="1" x14ac:dyDescent="0.25">
      <c r="A2078" t="s">
        <v>106</v>
      </c>
      <c r="B2078" t="s">
        <v>115</v>
      </c>
      <c r="C2078" t="b">
        <v>0</v>
      </c>
      <c r="D2078" s="1">
        <v>38687</v>
      </c>
      <c r="E2078">
        <v>5</v>
      </c>
      <c r="F2078"/>
      <c r="G2078"/>
      <c r="H2078"/>
      <c r="I2078"/>
      <c r="J2078"/>
      <c r="K2078"/>
      <c r="L2078"/>
      <c r="M2078"/>
      <c r="N2078"/>
      <c r="O2078"/>
    </row>
    <row r="2079" spans="1:15" hidden="1" x14ac:dyDescent="0.25">
      <c r="A2079" t="s">
        <v>106</v>
      </c>
      <c r="B2079" t="s">
        <v>115</v>
      </c>
      <c r="C2079" t="b">
        <v>0</v>
      </c>
      <c r="D2079" s="1">
        <v>38687</v>
      </c>
      <c r="E2079">
        <v>5</v>
      </c>
      <c r="F2079"/>
      <c r="G2079"/>
      <c r="H2079"/>
      <c r="I2079"/>
      <c r="J2079"/>
      <c r="K2079"/>
      <c r="L2079"/>
      <c r="M2079"/>
      <c r="N2079"/>
      <c r="O2079"/>
    </row>
    <row r="2080" spans="1:15" hidden="1" x14ac:dyDescent="0.25">
      <c r="A2080" t="s">
        <v>106</v>
      </c>
      <c r="B2080" t="s">
        <v>115</v>
      </c>
      <c r="C2080" t="b">
        <v>0</v>
      </c>
      <c r="D2080" s="1">
        <v>38687</v>
      </c>
      <c r="E2080">
        <v>5</v>
      </c>
      <c r="F2080"/>
      <c r="G2080"/>
      <c r="H2080"/>
      <c r="I2080"/>
      <c r="J2080"/>
      <c r="K2080"/>
      <c r="L2080"/>
      <c r="M2080"/>
      <c r="N2080"/>
      <c r="O2080"/>
    </row>
    <row r="2081" spans="1:15" hidden="1" x14ac:dyDescent="0.25">
      <c r="A2081" t="s">
        <v>106</v>
      </c>
      <c r="B2081" t="s">
        <v>115</v>
      </c>
      <c r="C2081" t="b">
        <v>0</v>
      </c>
      <c r="D2081" s="1">
        <v>38687</v>
      </c>
      <c r="E2081">
        <v>5</v>
      </c>
      <c r="F2081"/>
      <c r="G2081"/>
      <c r="H2081"/>
      <c r="I2081"/>
      <c r="J2081"/>
      <c r="K2081"/>
      <c r="L2081"/>
      <c r="M2081"/>
      <c r="N2081"/>
      <c r="O2081"/>
    </row>
    <row r="2082" spans="1:15" hidden="1" x14ac:dyDescent="0.25">
      <c r="A2082" t="s">
        <v>24</v>
      </c>
      <c r="B2082" t="s">
        <v>115</v>
      </c>
      <c r="C2082" t="b">
        <v>0</v>
      </c>
      <c r="D2082" s="1">
        <v>38687</v>
      </c>
      <c r="E2082">
        <v>5</v>
      </c>
      <c r="F2082"/>
      <c r="G2082"/>
      <c r="H2082"/>
      <c r="I2082"/>
      <c r="J2082"/>
      <c r="K2082"/>
      <c r="L2082"/>
      <c r="M2082"/>
      <c r="N2082"/>
      <c r="O2082"/>
    </row>
    <row r="2083" spans="1:15" hidden="1" x14ac:dyDescent="0.25">
      <c r="A2083" t="s">
        <v>30</v>
      </c>
      <c r="B2083" t="s">
        <v>115</v>
      </c>
      <c r="C2083" t="b">
        <v>0</v>
      </c>
      <c r="D2083" s="1">
        <v>38687</v>
      </c>
      <c r="E2083">
        <v>5</v>
      </c>
      <c r="F2083"/>
      <c r="G2083"/>
      <c r="H2083"/>
      <c r="I2083"/>
      <c r="J2083"/>
      <c r="K2083"/>
      <c r="L2083"/>
      <c r="M2083"/>
      <c r="N2083"/>
      <c r="O2083"/>
    </row>
    <row r="2084" spans="1:15" hidden="1" x14ac:dyDescent="0.25">
      <c r="A2084" t="s">
        <v>39</v>
      </c>
      <c r="B2084" t="s">
        <v>115</v>
      </c>
      <c r="C2084" t="b">
        <v>0</v>
      </c>
      <c r="D2084" s="1">
        <v>38687</v>
      </c>
      <c r="E2084">
        <v>5</v>
      </c>
      <c r="F2084"/>
      <c r="G2084"/>
      <c r="H2084"/>
      <c r="I2084"/>
      <c r="J2084"/>
      <c r="K2084"/>
      <c r="L2084"/>
      <c r="M2084"/>
      <c r="N2084"/>
      <c r="O2084"/>
    </row>
    <row r="2085" spans="1:15" hidden="1" x14ac:dyDescent="0.25">
      <c r="A2085" t="s">
        <v>57</v>
      </c>
      <c r="B2085" t="s">
        <v>115</v>
      </c>
      <c r="C2085" t="b">
        <v>0</v>
      </c>
      <c r="D2085" s="1">
        <v>38687</v>
      </c>
      <c r="E2085">
        <v>5</v>
      </c>
      <c r="F2085"/>
      <c r="G2085"/>
      <c r="H2085"/>
      <c r="I2085"/>
      <c r="J2085"/>
      <c r="K2085"/>
      <c r="L2085"/>
      <c r="M2085"/>
      <c r="N2085"/>
      <c r="O2085"/>
    </row>
    <row r="2086" spans="1:15" hidden="1" x14ac:dyDescent="0.25">
      <c r="A2086" t="s">
        <v>69</v>
      </c>
      <c r="B2086" t="s">
        <v>115</v>
      </c>
      <c r="C2086" t="b">
        <v>0</v>
      </c>
      <c r="D2086" s="1">
        <v>38687</v>
      </c>
      <c r="E2086">
        <v>5</v>
      </c>
      <c r="F2086"/>
      <c r="G2086"/>
      <c r="H2086"/>
      <c r="I2086"/>
      <c r="J2086"/>
      <c r="K2086"/>
      <c r="L2086"/>
      <c r="M2086"/>
      <c r="N2086"/>
      <c r="O2086"/>
    </row>
    <row r="2087" spans="1:15" hidden="1" x14ac:dyDescent="0.25">
      <c r="A2087" t="s">
        <v>71</v>
      </c>
      <c r="B2087" t="s">
        <v>115</v>
      </c>
      <c r="C2087" t="b">
        <v>0</v>
      </c>
      <c r="D2087" s="1">
        <v>38687</v>
      </c>
      <c r="E2087">
        <v>5</v>
      </c>
      <c r="F2087"/>
      <c r="G2087"/>
      <c r="H2087"/>
      <c r="I2087"/>
      <c r="J2087"/>
      <c r="K2087"/>
      <c r="L2087"/>
      <c r="M2087"/>
      <c r="N2087"/>
      <c r="O2087"/>
    </row>
    <row r="2088" spans="1:15" hidden="1" x14ac:dyDescent="0.25">
      <c r="A2088" t="s">
        <v>86</v>
      </c>
      <c r="B2088" t="s">
        <v>115</v>
      </c>
      <c r="C2088" t="b">
        <v>0</v>
      </c>
      <c r="D2088" s="1">
        <v>38687</v>
      </c>
      <c r="E2088">
        <v>5</v>
      </c>
      <c r="F2088"/>
      <c r="G2088"/>
      <c r="H2088"/>
      <c r="I2088"/>
      <c r="J2088"/>
      <c r="K2088"/>
      <c r="L2088"/>
      <c r="M2088"/>
      <c r="N2088"/>
      <c r="O2088"/>
    </row>
    <row r="2089" spans="1:15" hidden="1" x14ac:dyDescent="0.25">
      <c r="A2089" t="s">
        <v>90</v>
      </c>
      <c r="B2089" t="s">
        <v>115</v>
      </c>
      <c r="C2089" t="b">
        <v>0</v>
      </c>
      <c r="D2089" s="1">
        <v>38687</v>
      </c>
      <c r="E2089">
        <v>5</v>
      </c>
      <c r="F2089"/>
      <c r="G2089"/>
      <c r="H2089"/>
      <c r="I2089"/>
      <c r="J2089"/>
      <c r="K2089"/>
      <c r="L2089"/>
      <c r="M2089"/>
      <c r="N2089"/>
      <c r="O2089"/>
    </row>
    <row r="2090" spans="1:15" hidden="1" x14ac:dyDescent="0.25">
      <c r="A2090" t="s">
        <v>99</v>
      </c>
      <c r="B2090" t="s">
        <v>114</v>
      </c>
      <c r="C2090" t="b">
        <v>0</v>
      </c>
      <c r="D2090" s="1">
        <v>38687</v>
      </c>
      <c r="E2090">
        <v>9.2899999999999991</v>
      </c>
      <c r="F2090"/>
      <c r="G2090"/>
      <c r="H2090"/>
      <c r="I2090"/>
      <c r="J2090"/>
      <c r="K2090"/>
      <c r="L2090"/>
      <c r="M2090"/>
      <c r="N2090"/>
      <c r="O2090"/>
    </row>
    <row r="2091" spans="1:15" hidden="1" x14ac:dyDescent="0.25">
      <c r="A2091" t="s">
        <v>100</v>
      </c>
      <c r="B2091" t="s">
        <v>117</v>
      </c>
      <c r="C2091" t="b">
        <v>0</v>
      </c>
      <c r="D2091" s="1">
        <v>38718</v>
      </c>
      <c r="E2091" s="2">
        <v>-18.400000000000002</v>
      </c>
      <c r="F2091"/>
      <c r="G2091"/>
      <c r="H2091"/>
      <c r="I2091"/>
      <c r="J2091"/>
      <c r="K2091"/>
      <c r="L2091"/>
      <c r="M2091"/>
      <c r="N2091"/>
      <c r="O2091"/>
    </row>
    <row r="2092" spans="1:15" hidden="1" x14ac:dyDescent="0.25">
      <c r="A2092" t="s">
        <v>102</v>
      </c>
      <c r="B2092" t="s">
        <v>117</v>
      </c>
      <c r="C2092" t="b">
        <v>0</v>
      </c>
      <c r="D2092" s="1">
        <v>38718</v>
      </c>
      <c r="E2092" s="2">
        <v>-28.65</v>
      </c>
      <c r="F2092"/>
      <c r="G2092"/>
      <c r="H2092"/>
      <c r="I2092"/>
      <c r="J2092"/>
      <c r="K2092"/>
      <c r="L2092"/>
      <c r="M2092"/>
      <c r="N2092"/>
      <c r="O2092"/>
    </row>
    <row r="2093" spans="1:15" hidden="1" x14ac:dyDescent="0.25">
      <c r="A2093" t="s">
        <v>103</v>
      </c>
      <c r="B2093" t="s">
        <v>117</v>
      </c>
      <c r="C2093" t="b">
        <v>0</v>
      </c>
      <c r="D2093" s="1">
        <v>38718</v>
      </c>
      <c r="E2093" s="2">
        <v>-18.95</v>
      </c>
      <c r="F2093"/>
      <c r="G2093"/>
      <c r="H2093"/>
      <c r="I2093"/>
      <c r="J2093"/>
      <c r="K2093"/>
      <c r="L2093"/>
      <c r="M2093"/>
      <c r="N2093"/>
      <c r="O2093"/>
    </row>
    <row r="2094" spans="1:15" hidden="1" x14ac:dyDescent="0.25">
      <c r="A2094" t="s">
        <v>14</v>
      </c>
      <c r="B2094" t="s">
        <v>115</v>
      </c>
      <c r="C2094" t="b">
        <v>0</v>
      </c>
      <c r="D2094" s="1">
        <v>38718</v>
      </c>
      <c r="E2094">
        <v>5</v>
      </c>
      <c r="F2094"/>
      <c r="G2094"/>
      <c r="H2094"/>
      <c r="I2094"/>
      <c r="J2094"/>
      <c r="K2094"/>
      <c r="L2094"/>
      <c r="M2094"/>
      <c r="N2094"/>
      <c r="O2094"/>
    </row>
    <row r="2095" spans="1:15" hidden="1" x14ac:dyDescent="0.25">
      <c r="A2095" t="s">
        <v>18</v>
      </c>
      <c r="B2095" t="s">
        <v>115</v>
      </c>
      <c r="C2095" t="b">
        <v>0</v>
      </c>
      <c r="D2095" s="1">
        <v>38718</v>
      </c>
      <c r="E2095">
        <v>5</v>
      </c>
      <c r="F2095"/>
      <c r="G2095"/>
      <c r="H2095"/>
      <c r="I2095"/>
      <c r="J2095"/>
      <c r="K2095"/>
      <c r="L2095"/>
      <c r="M2095"/>
      <c r="N2095"/>
      <c r="O2095"/>
    </row>
    <row r="2096" spans="1:15" hidden="1" x14ac:dyDescent="0.25">
      <c r="A2096" t="s">
        <v>106</v>
      </c>
      <c r="B2096" t="s">
        <v>115</v>
      </c>
      <c r="C2096" t="b">
        <v>0</v>
      </c>
      <c r="D2096" s="1">
        <v>38718</v>
      </c>
      <c r="E2096">
        <v>5</v>
      </c>
      <c r="F2096"/>
      <c r="G2096"/>
      <c r="H2096"/>
      <c r="I2096"/>
      <c r="J2096"/>
      <c r="K2096"/>
      <c r="L2096"/>
      <c r="M2096"/>
      <c r="N2096"/>
      <c r="O2096"/>
    </row>
    <row r="2097" spans="1:15" hidden="1" x14ac:dyDescent="0.25">
      <c r="A2097" t="s">
        <v>106</v>
      </c>
      <c r="B2097" t="s">
        <v>115</v>
      </c>
      <c r="C2097" t="b">
        <v>0</v>
      </c>
      <c r="D2097" s="1">
        <v>38718</v>
      </c>
      <c r="E2097">
        <v>2</v>
      </c>
      <c r="F2097"/>
      <c r="G2097"/>
      <c r="H2097"/>
      <c r="I2097"/>
      <c r="J2097"/>
      <c r="K2097"/>
      <c r="L2097"/>
      <c r="M2097"/>
      <c r="N2097"/>
      <c r="O2097"/>
    </row>
    <row r="2098" spans="1:15" hidden="1" x14ac:dyDescent="0.25">
      <c r="A2098" t="s">
        <v>106</v>
      </c>
      <c r="B2098" t="s">
        <v>115</v>
      </c>
      <c r="C2098" t="b">
        <v>0</v>
      </c>
      <c r="D2098" s="1">
        <v>38718</v>
      </c>
      <c r="E2098">
        <v>5</v>
      </c>
      <c r="F2098"/>
      <c r="G2098"/>
      <c r="H2098"/>
      <c r="I2098"/>
      <c r="J2098"/>
      <c r="K2098"/>
      <c r="L2098"/>
      <c r="M2098"/>
      <c r="N2098"/>
      <c r="O2098"/>
    </row>
    <row r="2099" spans="1:15" hidden="1" x14ac:dyDescent="0.25">
      <c r="A2099" t="s">
        <v>106</v>
      </c>
      <c r="B2099" t="s">
        <v>115</v>
      </c>
      <c r="C2099" t="b">
        <v>0</v>
      </c>
      <c r="D2099" s="1">
        <v>38718</v>
      </c>
      <c r="E2099">
        <v>5</v>
      </c>
      <c r="F2099"/>
      <c r="G2099"/>
      <c r="H2099"/>
      <c r="I2099"/>
      <c r="J2099"/>
      <c r="K2099"/>
      <c r="L2099"/>
      <c r="M2099"/>
      <c r="N2099"/>
      <c r="O2099"/>
    </row>
    <row r="2100" spans="1:15" hidden="1" x14ac:dyDescent="0.25">
      <c r="A2100" t="s">
        <v>106</v>
      </c>
      <c r="B2100" t="s">
        <v>115</v>
      </c>
      <c r="C2100" t="b">
        <v>0</v>
      </c>
      <c r="D2100" s="1">
        <v>38718</v>
      </c>
      <c r="E2100">
        <v>5</v>
      </c>
      <c r="F2100"/>
      <c r="G2100"/>
      <c r="H2100"/>
      <c r="I2100"/>
      <c r="J2100"/>
      <c r="K2100"/>
      <c r="L2100"/>
      <c r="M2100"/>
      <c r="N2100"/>
      <c r="O2100"/>
    </row>
    <row r="2101" spans="1:15" hidden="1" x14ac:dyDescent="0.25">
      <c r="A2101" t="s">
        <v>106</v>
      </c>
      <c r="B2101" t="s">
        <v>115</v>
      </c>
      <c r="C2101" t="b">
        <v>0</v>
      </c>
      <c r="D2101" s="1">
        <v>38718</v>
      </c>
      <c r="E2101">
        <v>5</v>
      </c>
      <c r="F2101"/>
      <c r="G2101"/>
      <c r="H2101"/>
      <c r="I2101"/>
      <c r="J2101"/>
      <c r="K2101"/>
      <c r="L2101"/>
      <c r="M2101"/>
      <c r="N2101"/>
      <c r="O2101"/>
    </row>
    <row r="2102" spans="1:15" hidden="1" x14ac:dyDescent="0.25">
      <c r="A2102" t="s">
        <v>106</v>
      </c>
      <c r="B2102" t="s">
        <v>115</v>
      </c>
      <c r="C2102" t="b">
        <v>0</v>
      </c>
      <c r="D2102" s="1">
        <v>38718</v>
      </c>
      <c r="E2102">
        <v>5</v>
      </c>
      <c r="F2102"/>
      <c r="G2102"/>
      <c r="H2102"/>
      <c r="I2102"/>
      <c r="J2102"/>
      <c r="K2102"/>
      <c r="L2102"/>
      <c r="M2102"/>
      <c r="N2102"/>
      <c r="O2102"/>
    </row>
    <row r="2103" spans="1:15" hidden="1" x14ac:dyDescent="0.25">
      <c r="A2103" t="s">
        <v>106</v>
      </c>
      <c r="B2103" t="s">
        <v>115</v>
      </c>
      <c r="C2103" t="b">
        <v>0</v>
      </c>
      <c r="D2103" s="1">
        <v>38718</v>
      </c>
      <c r="E2103">
        <v>5</v>
      </c>
      <c r="F2103"/>
      <c r="G2103"/>
      <c r="H2103"/>
      <c r="I2103"/>
      <c r="J2103"/>
      <c r="K2103"/>
      <c r="L2103"/>
      <c r="M2103"/>
      <c r="N2103"/>
      <c r="O2103"/>
    </row>
    <row r="2104" spans="1:15" hidden="1" x14ac:dyDescent="0.25">
      <c r="A2104" t="s">
        <v>106</v>
      </c>
      <c r="B2104" t="s">
        <v>115</v>
      </c>
      <c r="C2104" t="b">
        <v>0</v>
      </c>
      <c r="D2104" s="1">
        <v>38718</v>
      </c>
      <c r="E2104">
        <v>5</v>
      </c>
      <c r="F2104"/>
      <c r="G2104"/>
      <c r="H2104"/>
      <c r="I2104"/>
      <c r="J2104"/>
      <c r="K2104"/>
      <c r="L2104"/>
      <c r="M2104"/>
      <c r="N2104"/>
      <c r="O2104"/>
    </row>
    <row r="2105" spans="1:15" hidden="1" x14ac:dyDescent="0.25">
      <c r="A2105" t="s">
        <v>106</v>
      </c>
      <c r="B2105" t="s">
        <v>115</v>
      </c>
      <c r="C2105" t="b">
        <v>0</v>
      </c>
      <c r="D2105" s="1">
        <v>38718</v>
      </c>
      <c r="E2105">
        <v>5</v>
      </c>
      <c r="F2105"/>
      <c r="G2105"/>
      <c r="H2105"/>
      <c r="I2105"/>
      <c r="J2105"/>
      <c r="K2105"/>
      <c r="L2105"/>
      <c r="M2105"/>
      <c r="N2105"/>
      <c r="O2105"/>
    </row>
    <row r="2106" spans="1:15" hidden="1" x14ac:dyDescent="0.25">
      <c r="A2106" t="s">
        <v>106</v>
      </c>
      <c r="B2106" t="s">
        <v>115</v>
      </c>
      <c r="C2106" t="b">
        <v>0</v>
      </c>
      <c r="D2106" s="1">
        <v>38718</v>
      </c>
      <c r="E2106">
        <v>5</v>
      </c>
      <c r="F2106"/>
      <c r="G2106"/>
      <c r="H2106"/>
      <c r="I2106"/>
      <c r="J2106"/>
      <c r="K2106"/>
      <c r="L2106"/>
      <c r="M2106"/>
      <c r="N2106"/>
      <c r="O2106"/>
    </row>
    <row r="2107" spans="1:15" hidden="1" x14ac:dyDescent="0.25">
      <c r="A2107" t="s">
        <v>106</v>
      </c>
      <c r="B2107" t="s">
        <v>115</v>
      </c>
      <c r="C2107" t="b">
        <v>0</v>
      </c>
      <c r="D2107" s="1">
        <v>38718</v>
      </c>
      <c r="E2107">
        <v>5</v>
      </c>
      <c r="F2107"/>
      <c r="G2107"/>
      <c r="H2107"/>
      <c r="I2107"/>
      <c r="J2107"/>
      <c r="K2107"/>
      <c r="L2107"/>
      <c r="M2107"/>
      <c r="N2107"/>
      <c r="O2107"/>
    </row>
    <row r="2108" spans="1:15" hidden="1" x14ac:dyDescent="0.25">
      <c r="A2108" t="s">
        <v>106</v>
      </c>
      <c r="B2108" t="s">
        <v>115</v>
      </c>
      <c r="C2108" t="b">
        <v>0</v>
      </c>
      <c r="D2108" s="1">
        <v>38718</v>
      </c>
      <c r="E2108">
        <v>5</v>
      </c>
      <c r="F2108"/>
      <c r="G2108"/>
      <c r="H2108"/>
      <c r="I2108"/>
      <c r="J2108"/>
      <c r="K2108"/>
      <c r="L2108"/>
      <c r="M2108"/>
      <c r="N2108"/>
      <c r="O2108"/>
    </row>
    <row r="2109" spans="1:15" hidden="1" x14ac:dyDescent="0.25">
      <c r="A2109" t="s">
        <v>24</v>
      </c>
      <c r="B2109" t="s">
        <v>115</v>
      </c>
      <c r="C2109" t="b">
        <v>0</v>
      </c>
      <c r="D2109" s="1">
        <v>38718</v>
      </c>
      <c r="E2109">
        <v>5</v>
      </c>
      <c r="F2109"/>
      <c r="G2109"/>
      <c r="H2109"/>
      <c r="I2109"/>
      <c r="J2109"/>
      <c r="K2109"/>
      <c r="L2109"/>
      <c r="M2109"/>
      <c r="N2109"/>
      <c r="O2109"/>
    </row>
    <row r="2110" spans="1:15" hidden="1" x14ac:dyDescent="0.25">
      <c r="A2110" t="s">
        <v>30</v>
      </c>
      <c r="B2110" t="s">
        <v>115</v>
      </c>
      <c r="C2110" t="b">
        <v>0</v>
      </c>
      <c r="D2110" s="1">
        <v>38718</v>
      </c>
      <c r="E2110">
        <v>5</v>
      </c>
      <c r="F2110"/>
      <c r="G2110"/>
      <c r="H2110"/>
      <c r="I2110"/>
      <c r="J2110"/>
      <c r="K2110"/>
      <c r="L2110"/>
      <c r="M2110"/>
      <c r="N2110"/>
      <c r="O2110"/>
    </row>
    <row r="2111" spans="1:15" hidden="1" x14ac:dyDescent="0.25">
      <c r="A2111" t="s">
        <v>39</v>
      </c>
      <c r="B2111" t="s">
        <v>115</v>
      </c>
      <c r="C2111" t="b">
        <v>0</v>
      </c>
      <c r="D2111" s="1">
        <v>38718</v>
      </c>
      <c r="E2111">
        <v>5</v>
      </c>
      <c r="F2111"/>
      <c r="G2111"/>
      <c r="H2111"/>
      <c r="I2111"/>
      <c r="J2111"/>
      <c r="K2111"/>
      <c r="L2111"/>
      <c r="M2111"/>
      <c r="N2111"/>
      <c r="O2111"/>
    </row>
    <row r="2112" spans="1:15" hidden="1" x14ac:dyDescent="0.25">
      <c r="A2112" t="s">
        <v>57</v>
      </c>
      <c r="B2112" t="s">
        <v>115</v>
      </c>
      <c r="C2112" t="b">
        <v>0</v>
      </c>
      <c r="D2112" s="1">
        <v>38718</v>
      </c>
      <c r="E2112">
        <v>5</v>
      </c>
      <c r="F2112"/>
      <c r="G2112"/>
      <c r="H2112"/>
      <c r="I2112"/>
      <c r="J2112"/>
      <c r="K2112"/>
      <c r="L2112"/>
      <c r="M2112"/>
      <c r="N2112"/>
      <c r="O2112"/>
    </row>
    <row r="2113" spans="1:15" hidden="1" x14ac:dyDescent="0.25">
      <c r="A2113" t="s">
        <v>69</v>
      </c>
      <c r="B2113" t="s">
        <v>115</v>
      </c>
      <c r="C2113" t="b">
        <v>0</v>
      </c>
      <c r="D2113" s="1">
        <v>38718</v>
      </c>
      <c r="E2113">
        <v>5</v>
      </c>
      <c r="F2113"/>
      <c r="G2113"/>
      <c r="H2113"/>
      <c r="I2113"/>
      <c r="J2113"/>
      <c r="K2113"/>
      <c r="L2113"/>
      <c r="M2113"/>
      <c r="N2113"/>
      <c r="O2113"/>
    </row>
    <row r="2114" spans="1:15" hidden="1" x14ac:dyDescent="0.25">
      <c r="A2114" t="s">
        <v>71</v>
      </c>
      <c r="B2114" t="s">
        <v>115</v>
      </c>
      <c r="C2114" t="b">
        <v>0</v>
      </c>
      <c r="D2114" s="1">
        <v>38718</v>
      </c>
      <c r="E2114">
        <v>5</v>
      </c>
      <c r="F2114"/>
      <c r="G2114"/>
      <c r="H2114"/>
      <c r="I2114"/>
      <c r="J2114"/>
      <c r="K2114"/>
      <c r="L2114"/>
      <c r="M2114"/>
      <c r="N2114"/>
      <c r="O2114"/>
    </row>
    <row r="2115" spans="1:15" hidden="1" x14ac:dyDescent="0.25">
      <c r="A2115" t="s">
        <v>86</v>
      </c>
      <c r="B2115" t="s">
        <v>115</v>
      </c>
      <c r="C2115" t="b">
        <v>0</v>
      </c>
      <c r="D2115" s="1">
        <v>38718</v>
      </c>
      <c r="E2115">
        <v>5</v>
      </c>
      <c r="F2115"/>
      <c r="G2115"/>
      <c r="H2115"/>
      <c r="I2115"/>
      <c r="J2115"/>
      <c r="K2115"/>
      <c r="L2115"/>
      <c r="M2115"/>
      <c r="N2115"/>
      <c r="O2115"/>
    </row>
    <row r="2116" spans="1:15" hidden="1" x14ac:dyDescent="0.25">
      <c r="A2116" t="s">
        <v>90</v>
      </c>
      <c r="B2116" t="s">
        <v>115</v>
      </c>
      <c r="C2116" t="b">
        <v>0</v>
      </c>
      <c r="D2116" s="1">
        <v>38718</v>
      </c>
      <c r="E2116">
        <v>5</v>
      </c>
      <c r="F2116"/>
      <c r="G2116"/>
      <c r="H2116"/>
      <c r="I2116"/>
      <c r="J2116"/>
      <c r="K2116"/>
      <c r="L2116"/>
      <c r="M2116"/>
      <c r="N2116"/>
      <c r="O2116"/>
    </row>
    <row r="2117" spans="1:15" hidden="1" x14ac:dyDescent="0.25">
      <c r="A2117" t="s">
        <v>99</v>
      </c>
      <c r="B2117" t="s">
        <v>114</v>
      </c>
      <c r="C2117" t="b">
        <v>0</v>
      </c>
      <c r="D2117" s="1">
        <v>38718</v>
      </c>
      <c r="E2117">
        <v>3</v>
      </c>
      <c r="F2117"/>
      <c r="G2117"/>
      <c r="H2117"/>
      <c r="I2117"/>
      <c r="J2117"/>
      <c r="K2117"/>
      <c r="L2117"/>
      <c r="M2117"/>
      <c r="N2117"/>
      <c r="O2117"/>
    </row>
    <row r="2118" spans="1:15" hidden="1" x14ac:dyDescent="0.25">
      <c r="A2118" t="s">
        <v>100</v>
      </c>
      <c r="B2118" t="s">
        <v>117</v>
      </c>
      <c r="C2118" t="b">
        <v>0</v>
      </c>
      <c r="D2118" s="1">
        <v>38749</v>
      </c>
      <c r="E2118" s="2">
        <v>-16.79</v>
      </c>
      <c r="F2118"/>
      <c r="G2118"/>
      <c r="H2118"/>
      <c r="I2118"/>
      <c r="J2118"/>
      <c r="K2118"/>
      <c r="L2118"/>
      <c r="M2118"/>
      <c r="N2118"/>
      <c r="O2118"/>
    </row>
    <row r="2119" spans="1:15" hidden="1" x14ac:dyDescent="0.25">
      <c r="A2119" t="s">
        <v>14</v>
      </c>
      <c r="B2119" t="s">
        <v>115</v>
      </c>
      <c r="C2119" t="b">
        <v>0</v>
      </c>
      <c r="D2119" s="1">
        <v>38749</v>
      </c>
      <c r="E2119">
        <v>5</v>
      </c>
      <c r="F2119"/>
      <c r="G2119"/>
      <c r="H2119"/>
      <c r="I2119"/>
      <c r="J2119"/>
      <c r="K2119"/>
      <c r="L2119"/>
      <c r="M2119"/>
      <c r="N2119"/>
      <c r="O2119"/>
    </row>
    <row r="2120" spans="1:15" hidden="1" x14ac:dyDescent="0.25">
      <c r="A2120" t="s">
        <v>18</v>
      </c>
      <c r="B2120" t="s">
        <v>115</v>
      </c>
      <c r="C2120" t="b">
        <v>0</v>
      </c>
      <c r="D2120" s="1">
        <v>38749</v>
      </c>
      <c r="E2120">
        <v>5</v>
      </c>
      <c r="F2120"/>
      <c r="G2120"/>
      <c r="H2120"/>
      <c r="I2120"/>
      <c r="J2120"/>
      <c r="K2120"/>
      <c r="L2120"/>
      <c r="M2120"/>
      <c r="N2120"/>
      <c r="O2120"/>
    </row>
    <row r="2121" spans="1:15" hidden="1" x14ac:dyDescent="0.25">
      <c r="A2121" t="s">
        <v>106</v>
      </c>
      <c r="B2121" t="s">
        <v>115</v>
      </c>
      <c r="C2121" t="b">
        <v>0</v>
      </c>
      <c r="D2121" s="1">
        <v>38749</v>
      </c>
      <c r="E2121">
        <v>5</v>
      </c>
      <c r="F2121"/>
      <c r="G2121"/>
      <c r="H2121"/>
      <c r="I2121"/>
      <c r="J2121"/>
      <c r="K2121"/>
      <c r="L2121"/>
      <c r="M2121"/>
      <c r="N2121"/>
      <c r="O2121"/>
    </row>
    <row r="2122" spans="1:15" hidden="1" x14ac:dyDescent="0.25">
      <c r="A2122" t="s">
        <v>106</v>
      </c>
      <c r="B2122" t="s">
        <v>115</v>
      </c>
      <c r="C2122" t="b">
        <v>0</v>
      </c>
      <c r="D2122" s="1">
        <v>38749</v>
      </c>
      <c r="E2122">
        <v>5</v>
      </c>
      <c r="F2122"/>
      <c r="G2122"/>
      <c r="H2122"/>
      <c r="I2122"/>
      <c r="J2122"/>
      <c r="K2122"/>
      <c r="L2122"/>
      <c r="M2122"/>
      <c r="N2122"/>
      <c r="O2122"/>
    </row>
    <row r="2123" spans="1:15" hidden="1" x14ac:dyDescent="0.25">
      <c r="A2123" t="s">
        <v>106</v>
      </c>
      <c r="B2123" t="s">
        <v>115</v>
      </c>
      <c r="C2123" t="b">
        <v>0</v>
      </c>
      <c r="D2123" s="1">
        <v>38749</v>
      </c>
      <c r="E2123">
        <v>5</v>
      </c>
      <c r="F2123"/>
      <c r="G2123"/>
      <c r="H2123"/>
      <c r="I2123"/>
      <c r="J2123"/>
      <c r="K2123"/>
      <c r="L2123"/>
      <c r="M2123"/>
      <c r="N2123"/>
      <c r="O2123"/>
    </row>
    <row r="2124" spans="1:15" hidden="1" x14ac:dyDescent="0.25">
      <c r="A2124" t="s">
        <v>106</v>
      </c>
      <c r="B2124" t="s">
        <v>115</v>
      </c>
      <c r="C2124" t="b">
        <v>0</v>
      </c>
      <c r="D2124" s="1">
        <v>38749</v>
      </c>
      <c r="E2124">
        <v>5</v>
      </c>
      <c r="F2124"/>
      <c r="G2124"/>
      <c r="H2124"/>
      <c r="I2124"/>
      <c r="J2124"/>
      <c r="K2124"/>
      <c r="L2124"/>
      <c r="M2124"/>
      <c r="N2124"/>
      <c r="O2124"/>
    </row>
    <row r="2125" spans="1:15" hidden="1" x14ac:dyDescent="0.25">
      <c r="A2125" t="s">
        <v>106</v>
      </c>
      <c r="B2125" t="s">
        <v>115</v>
      </c>
      <c r="C2125" t="b">
        <v>0</v>
      </c>
      <c r="D2125" s="1">
        <v>38749</v>
      </c>
      <c r="E2125">
        <v>5</v>
      </c>
      <c r="F2125"/>
      <c r="G2125"/>
      <c r="H2125"/>
      <c r="I2125"/>
      <c r="J2125"/>
      <c r="K2125"/>
      <c r="L2125"/>
      <c r="M2125"/>
      <c r="N2125"/>
      <c r="O2125"/>
    </row>
    <row r="2126" spans="1:15" hidden="1" x14ac:dyDescent="0.25">
      <c r="A2126" t="s">
        <v>106</v>
      </c>
      <c r="B2126" t="s">
        <v>115</v>
      </c>
      <c r="C2126" t="b">
        <v>0</v>
      </c>
      <c r="D2126" s="1">
        <v>38749</v>
      </c>
      <c r="E2126">
        <v>5</v>
      </c>
      <c r="F2126"/>
      <c r="G2126"/>
      <c r="H2126"/>
      <c r="I2126"/>
      <c r="J2126"/>
      <c r="K2126"/>
      <c r="L2126"/>
      <c r="M2126"/>
      <c r="N2126"/>
      <c r="O2126"/>
    </row>
    <row r="2127" spans="1:15" hidden="1" x14ac:dyDescent="0.25">
      <c r="A2127" t="s">
        <v>106</v>
      </c>
      <c r="B2127" t="s">
        <v>115</v>
      </c>
      <c r="C2127" t="b">
        <v>0</v>
      </c>
      <c r="D2127" s="1">
        <v>38749</v>
      </c>
      <c r="E2127">
        <v>5</v>
      </c>
      <c r="F2127"/>
      <c r="G2127"/>
      <c r="H2127"/>
      <c r="I2127"/>
      <c r="J2127"/>
      <c r="K2127"/>
      <c r="L2127"/>
      <c r="M2127"/>
      <c r="N2127"/>
      <c r="O2127"/>
    </row>
    <row r="2128" spans="1:15" hidden="1" x14ac:dyDescent="0.25">
      <c r="A2128" t="s">
        <v>106</v>
      </c>
      <c r="B2128" t="s">
        <v>115</v>
      </c>
      <c r="C2128" t="b">
        <v>0</v>
      </c>
      <c r="D2128" s="1">
        <v>38749</v>
      </c>
      <c r="E2128">
        <v>5</v>
      </c>
      <c r="F2128"/>
      <c r="G2128"/>
      <c r="H2128"/>
      <c r="I2128"/>
      <c r="J2128"/>
      <c r="K2128"/>
      <c r="L2128"/>
      <c r="M2128"/>
      <c r="N2128"/>
      <c r="O2128"/>
    </row>
    <row r="2129" spans="1:15" hidden="1" x14ac:dyDescent="0.25">
      <c r="A2129" t="s">
        <v>106</v>
      </c>
      <c r="B2129" t="s">
        <v>115</v>
      </c>
      <c r="C2129" t="b">
        <v>0</v>
      </c>
      <c r="D2129" s="1">
        <v>38749</v>
      </c>
      <c r="E2129">
        <v>5</v>
      </c>
      <c r="F2129"/>
      <c r="G2129"/>
      <c r="H2129"/>
      <c r="I2129"/>
      <c r="J2129"/>
      <c r="K2129"/>
      <c r="L2129"/>
      <c r="M2129"/>
      <c r="N2129"/>
      <c r="O2129"/>
    </row>
    <row r="2130" spans="1:15" hidden="1" x14ac:dyDescent="0.25">
      <c r="A2130" t="s">
        <v>106</v>
      </c>
      <c r="B2130" t="s">
        <v>115</v>
      </c>
      <c r="C2130" t="b">
        <v>0</v>
      </c>
      <c r="D2130" s="1">
        <v>38749</v>
      </c>
      <c r="E2130">
        <v>5</v>
      </c>
      <c r="F2130"/>
      <c r="G2130"/>
      <c r="H2130"/>
      <c r="I2130"/>
      <c r="J2130"/>
      <c r="K2130"/>
      <c r="L2130"/>
      <c r="M2130"/>
      <c r="N2130"/>
      <c r="O2130"/>
    </row>
    <row r="2131" spans="1:15" hidden="1" x14ac:dyDescent="0.25">
      <c r="A2131" t="s">
        <v>106</v>
      </c>
      <c r="B2131" t="s">
        <v>115</v>
      </c>
      <c r="C2131" t="b">
        <v>0</v>
      </c>
      <c r="D2131" s="1">
        <v>38749</v>
      </c>
      <c r="E2131">
        <v>5</v>
      </c>
      <c r="F2131"/>
      <c r="G2131"/>
      <c r="H2131"/>
      <c r="I2131"/>
      <c r="J2131"/>
      <c r="K2131"/>
      <c r="L2131"/>
      <c r="M2131"/>
      <c r="N2131"/>
      <c r="O2131"/>
    </row>
    <row r="2132" spans="1:15" hidden="1" x14ac:dyDescent="0.25">
      <c r="A2132" t="s">
        <v>106</v>
      </c>
      <c r="B2132" t="s">
        <v>115</v>
      </c>
      <c r="C2132" t="b">
        <v>0</v>
      </c>
      <c r="D2132" s="1">
        <v>38749</v>
      </c>
      <c r="E2132">
        <v>5</v>
      </c>
      <c r="F2132"/>
      <c r="G2132"/>
      <c r="H2132"/>
      <c r="I2132"/>
      <c r="J2132"/>
      <c r="K2132"/>
      <c r="L2132"/>
      <c r="M2132"/>
      <c r="N2132"/>
      <c r="O2132"/>
    </row>
    <row r="2133" spans="1:15" hidden="1" x14ac:dyDescent="0.25">
      <c r="A2133" t="s">
        <v>24</v>
      </c>
      <c r="B2133" t="s">
        <v>115</v>
      </c>
      <c r="C2133" t="b">
        <v>0</v>
      </c>
      <c r="D2133" s="1">
        <v>38749</v>
      </c>
      <c r="E2133">
        <v>5</v>
      </c>
      <c r="F2133"/>
      <c r="G2133"/>
      <c r="H2133"/>
      <c r="I2133"/>
      <c r="J2133"/>
      <c r="K2133"/>
      <c r="L2133"/>
      <c r="M2133"/>
      <c r="N2133"/>
      <c r="O2133"/>
    </row>
    <row r="2134" spans="1:15" hidden="1" x14ac:dyDescent="0.25">
      <c r="A2134" t="s">
        <v>30</v>
      </c>
      <c r="B2134" t="s">
        <v>115</v>
      </c>
      <c r="C2134" t="b">
        <v>0</v>
      </c>
      <c r="D2134" s="1">
        <v>38749</v>
      </c>
      <c r="E2134">
        <v>5</v>
      </c>
      <c r="F2134"/>
      <c r="G2134"/>
      <c r="H2134"/>
      <c r="I2134"/>
      <c r="J2134"/>
      <c r="K2134"/>
      <c r="L2134"/>
      <c r="M2134"/>
      <c r="N2134"/>
      <c r="O2134"/>
    </row>
    <row r="2135" spans="1:15" hidden="1" x14ac:dyDescent="0.25">
      <c r="A2135" t="s">
        <v>39</v>
      </c>
      <c r="B2135" t="s">
        <v>115</v>
      </c>
      <c r="C2135" t="b">
        <v>0</v>
      </c>
      <c r="D2135" s="1">
        <v>38749</v>
      </c>
      <c r="E2135">
        <v>5</v>
      </c>
      <c r="F2135"/>
      <c r="G2135"/>
      <c r="H2135"/>
      <c r="I2135"/>
      <c r="J2135"/>
      <c r="K2135"/>
      <c r="L2135"/>
      <c r="M2135"/>
      <c r="N2135"/>
      <c r="O2135"/>
    </row>
    <row r="2136" spans="1:15" hidden="1" x14ac:dyDescent="0.25">
      <c r="A2136" t="s">
        <v>57</v>
      </c>
      <c r="B2136" t="s">
        <v>115</v>
      </c>
      <c r="C2136" t="b">
        <v>0</v>
      </c>
      <c r="D2136" s="1">
        <v>38749</v>
      </c>
      <c r="E2136">
        <v>5</v>
      </c>
      <c r="F2136"/>
      <c r="G2136"/>
      <c r="H2136"/>
      <c r="I2136"/>
      <c r="J2136"/>
      <c r="K2136"/>
      <c r="L2136"/>
      <c r="M2136"/>
      <c r="N2136"/>
      <c r="O2136"/>
    </row>
    <row r="2137" spans="1:15" hidden="1" x14ac:dyDescent="0.25">
      <c r="A2137" t="s">
        <v>69</v>
      </c>
      <c r="B2137" t="s">
        <v>115</v>
      </c>
      <c r="C2137" t="b">
        <v>0</v>
      </c>
      <c r="D2137" s="1">
        <v>38749</v>
      </c>
      <c r="E2137">
        <v>5</v>
      </c>
      <c r="F2137"/>
      <c r="G2137"/>
      <c r="H2137"/>
      <c r="I2137"/>
      <c r="J2137"/>
      <c r="K2137"/>
      <c r="L2137"/>
      <c r="M2137"/>
      <c r="N2137"/>
      <c r="O2137"/>
    </row>
    <row r="2138" spans="1:15" hidden="1" x14ac:dyDescent="0.25">
      <c r="A2138" t="s">
        <v>71</v>
      </c>
      <c r="B2138" t="s">
        <v>115</v>
      </c>
      <c r="C2138" t="b">
        <v>0</v>
      </c>
      <c r="D2138" s="1">
        <v>38749</v>
      </c>
      <c r="E2138">
        <v>5</v>
      </c>
      <c r="F2138"/>
      <c r="G2138"/>
      <c r="H2138"/>
      <c r="I2138"/>
      <c r="J2138"/>
      <c r="K2138"/>
      <c r="L2138"/>
      <c r="M2138"/>
      <c r="N2138"/>
      <c r="O2138"/>
    </row>
    <row r="2139" spans="1:15" hidden="1" x14ac:dyDescent="0.25">
      <c r="A2139" t="s">
        <v>86</v>
      </c>
      <c r="B2139" t="s">
        <v>115</v>
      </c>
      <c r="C2139" t="b">
        <v>0</v>
      </c>
      <c r="D2139" s="1">
        <v>38749</v>
      </c>
      <c r="E2139">
        <v>5</v>
      </c>
      <c r="F2139"/>
      <c r="G2139"/>
      <c r="H2139"/>
      <c r="I2139"/>
      <c r="J2139"/>
      <c r="K2139"/>
      <c r="L2139"/>
      <c r="M2139"/>
      <c r="N2139"/>
      <c r="O2139"/>
    </row>
    <row r="2140" spans="1:15" hidden="1" x14ac:dyDescent="0.25">
      <c r="A2140" t="s">
        <v>90</v>
      </c>
      <c r="B2140" t="s">
        <v>115</v>
      </c>
      <c r="C2140" t="b">
        <v>0</v>
      </c>
      <c r="D2140" s="1">
        <v>38749</v>
      </c>
      <c r="E2140">
        <v>5</v>
      </c>
      <c r="F2140"/>
      <c r="G2140"/>
      <c r="H2140"/>
      <c r="I2140"/>
      <c r="J2140"/>
      <c r="K2140"/>
      <c r="L2140"/>
      <c r="M2140"/>
      <c r="N2140"/>
      <c r="O2140"/>
    </row>
    <row r="2141" spans="1:15" hidden="1" x14ac:dyDescent="0.25">
      <c r="A2141" t="s">
        <v>100</v>
      </c>
      <c r="B2141" t="s">
        <v>117</v>
      </c>
      <c r="C2141" t="b">
        <v>0</v>
      </c>
      <c r="D2141" s="1">
        <v>38777</v>
      </c>
      <c r="E2141" s="2">
        <v>-243.34</v>
      </c>
      <c r="F2141"/>
      <c r="G2141"/>
      <c r="H2141"/>
      <c r="I2141"/>
      <c r="J2141"/>
      <c r="K2141"/>
      <c r="L2141"/>
      <c r="M2141"/>
      <c r="N2141"/>
      <c r="O2141"/>
    </row>
    <row r="2142" spans="1:15" hidden="1" x14ac:dyDescent="0.25">
      <c r="A2142" t="s">
        <v>14</v>
      </c>
      <c r="B2142" t="s">
        <v>115</v>
      </c>
      <c r="C2142" t="b">
        <v>0</v>
      </c>
      <c r="D2142" s="1">
        <v>38777</v>
      </c>
      <c r="E2142">
        <v>5</v>
      </c>
      <c r="F2142"/>
      <c r="G2142"/>
      <c r="H2142"/>
      <c r="I2142"/>
      <c r="J2142"/>
      <c r="K2142"/>
      <c r="L2142"/>
      <c r="M2142"/>
      <c r="N2142"/>
      <c r="O2142"/>
    </row>
    <row r="2143" spans="1:15" hidden="1" x14ac:dyDescent="0.25">
      <c r="A2143" t="s">
        <v>18</v>
      </c>
      <c r="B2143" t="s">
        <v>115</v>
      </c>
      <c r="C2143" t="b">
        <v>0</v>
      </c>
      <c r="D2143" s="1">
        <v>38777</v>
      </c>
      <c r="E2143">
        <v>5</v>
      </c>
      <c r="F2143"/>
      <c r="G2143"/>
      <c r="H2143"/>
      <c r="I2143"/>
      <c r="J2143"/>
      <c r="K2143"/>
      <c r="L2143"/>
      <c r="M2143"/>
      <c r="N2143"/>
      <c r="O2143"/>
    </row>
    <row r="2144" spans="1:15" hidden="1" x14ac:dyDescent="0.25">
      <c r="A2144" t="s">
        <v>106</v>
      </c>
      <c r="B2144" t="s">
        <v>115</v>
      </c>
      <c r="C2144" t="b">
        <v>0</v>
      </c>
      <c r="D2144" s="1">
        <v>38777</v>
      </c>
      <c r="E2144">
        <v>5</v>
      </c>
      <c r="F2144"/>
      <c r="G2144"/>
      <c r="H2144"/>
      <c r="I2144"/>
      <c r="J2144"/>
      <c r="K2144"/>
      <c r="L2144"/>
      <c r="M2144"/>
      <c r="N2144"/>
      <c r="O2144"/>
    </row>
    <row r="2145" spans="1:15" hidden="1" x14ac:dyDescent="0.25">
      <c r="A2145" t="s">
        <v>106</v>
      </c>
      <c r="B2145" t="s">
        <v>115</v>
      </c>
      <c r="C2145" t="b">
        <v>0</v>
      </c>
      <c r="D2145" s="1">
        <v>38777</v>
      </c>
      <c r="E2145">
        <v>1</v>
      </c>
      <c r="F2145"/>
      <c r="G2145"/>
      <c r="H2145"/>
      <c r="I2145"/>
      <c r="J2145"/>
      <c r="K2145"/>
      <c r="L2145"/>
      <c r="M2145"/>
      <c r="N2145"/>
      <c r="O2145"/>
    </row>
    <row r="2146" spans="1:15" hidden="1" x14ac:dyDescent="0.25">
      <c r="A2146" t="s">
        <v>106</v>
      </c>
      <c r="B2146" t="s">
        <v>115</v>
      </c>
      <c r="C2146" t="b">
        <v>0</v>
      </c>
      <c r="D2146" s="1">
        <v>38777</v>
      </c>
      <c r="E2146">
        <v>5</v>
      </c>
      <c r="F2146"/>
      <c r="G2146"/>
      <c r="H2146"/>
      <c r="I2146"/>
      <c r="J2146"/>
      <c r="K2146"/>
      <c r="L2146"/>
      <c r="M2146"/>
      <c r="N2146"/>
      <c r="O2146"/>
    </row>
    <row r="2147" spans="1:15" hidden="1" x14ac:dyDescent="0.25">
      <c r="A2147" t="s">
        <v>106</v>
      </c>
      <c r="B2147" t="s">
        <v>115</v>
      </c>
      <c r="C2147" t="b">
        <v>0</v>
      </c>
      <c r="D2147" s="1">
        <v>38777</v>
      </c>
      <c r="E2147">
        <v>5</v>
      </c>
      <c r="F2147"/>
      <c r="G2147"/>
      <c r="H2147"/>
      <c r="I2147"/>
      <c r="J2147"/>
      <c r="K2147"/>
      <c r="L2147"/>
      <c r="M2147"/>
      <c r="N2147"/>
      <c r="O2147"/>
    </row>
    <row r="2148" spans="1:15" hidden="1" x14ac:dyDescent="0.25">
      <c r="A2148" t="s">
        <v>106</v>
      </c>
      <c r="B2148" t="s">
        <v>115</v>
      </c>
      <c r="C2148" t="b">
        <v>0</v>
      </c>
      <c r="D2148" s="1">
        <v>38777</v>
      </c>
      <c r="E2148">
        <v>5</v>
      </c>
      <c r="F2148"/>
      <c r="G2148"/>
      <c r="H2148"/>
      <c r="I2148"/>
      <c r="J2148"/>
      <c r="K2148"/>
      <c r="L2148"/>
      <c r="M2148"/>
      <c r="N2148"/>
      <c r="O2148"/>
    </row>
    <row r="2149" spans="1:15" hidden="1" x14ac:dyDescent="0.25">
      <c r="A2149" t="s">
        <v>106</v>
      </c>
      <c r="B2149" t="s">
        <v>115</v>
      </c>
      <c r="C2149" t="b">
        <v>0</v>
      </c>
      <c r="D2149" s="1">
        <v>38777</v>
      </c>
      <c r="E2149">
        <v>5</v>
      </c>
      <c r="F2149"/>
      <c r="G2149"/>
      <c r="H2149"/>
      <c r="I2149"/>
      <c r="J2149"/>
      <c r="K2149"/>
      <c r="L2149"/>
      <c r="M2149"/>
      <c r="N2149"/>
      <c r="O2149"/>
    </row>
    <row r="2150" spans="1:15" hidden="1" x14ac:dyDescent="0.25">
      <c r="A2150" t="s">
        <v>106</v>
      </c>
      <c r="B2150" t="s">
        <v>115</v>
      </c>
      <c r="C2150" t="b">
        <v>0</v>
      </c>
      <c r="D2150" s="1">
        <v>38777</v>
      </c>
      <c r="E2150">
        <v>5</v>
      </c>
      <c r="F2150"/>
      <c r="G2150"/>
      <c r="H2150"/>
      <c r="I2150"/>
      <c r="J2150"/>
      <c r="K2150"/>
      <c r="L2150"/>
      <c r="M2150"/>
      <c r="N2150"/>
      <c r="O2150"/>
    </row>
    <row r="2151" spans="1:15" hidden="1" x14ac:dyDescent="0.25">
      <c r="A2151" t="s">
        <v>106</v>
      </c>
      <c r="B2151" t="s">
        <v>115</v>
      </c>
      <c r="C2151" t="b">
        <v>0</v>
      </c>
      <c r="D2151" s="1">
        <v>38777</v>
      </c>
      <c r="E2151">
        <v>5</v>
      </c>
      <c r="F2151"/>
      <c r="G2151"/>
      <c r="H2151"/>
      <c r="I2151"/>
      <c r="J2151"/>
      <c r="K2151"/>
      <c r="L2151"/>
      <c r="M2151"/>
      <c r="N2151"/>
      <c r="O2151"/>
    </row>
    <row r="2152" spans="1:15" hidden="1" x14ac:dyDescent="0.25">
      <c r="A2152" t="s">
        <v>106</v>
      </c>
      <c r="B2152" t="s">
        <v>115</v>
      </c>
      <c r="C2152" t="b">
        <v>0</v>
      </c>
      <c r="D2152" s="1">
        <v>38777</v>
      </c>
      <c r="E2152">
        <v>5</v>
      </c>
      <c r="F2152"/>
      <c r="G2152"/>
      <c r="H2152"/>
      <c r="I2152"/>
      <c r="J2152"/>
      <c r="K2152"/>
      <c r="L2152"/>
      <c r="M2152"/>
      <c r="N2152"/>
      <c r="O2152"/>
    </row>
    <row r="2153" spans="1:15" hidden="1" x14ac:dyDescent="0.25">
      <c r="A2153" t="s">
        <v>106</v>
      </c>
      <c r="B2153" t="s">
        <v>115</v>
      </c>
      <c r="C2153" t="b">
        <v>0</v>
      </c>
      <c r="D2153" s="1">
        <v>38777</v>
      </c>
      <c r="E2153">
        <v>5</v>
      </c>
      <c r="F2153"/>
      <c r="G2153"/>
      <c r="H2153"/>
      <c r="I2153"/>
      <c r="J2153"/>
      <c r="K2153"/>
      <c r="L2153"/>
      <c r="M2153"/>
      <c r="N2153"/>
      <c r="O2153"/>
    </row>
    <row r="2154" spans="1:15" hidden="1" x14ac:dyDescent="0.25">
      <c r="A2154" t="s">
        <v>106</v>
      </c>
      <c r="B2154" t="s">
        <v>115</v>
      </c>
      <c r="C2154" t="b">
        <v>0</v>
      </c>
      <c r="D2154" s="1">
        <v>38777</v>
      </c>
      <c r="E2154">
        <v>5</v>
      </c>
      <c r="F2154"/>
      <c r="G2154"/>
      <c r="H2154"/>
      <c r="I2154"/>
      <c r="J2154"/>
      <c r="K2154"/>
      <c r="L2154"/>
      <c r="M2154"/>
      <c r="N2154"/>
      <c r="O2154"/>
    </row>
    <row r="2155" spans="1:15" hidden="1" x14ac:dyDescent="0.25">
      <c r="A2155" t="s">
        <v>106</v>
      </c>
      <c r="B2155" t="s">
        <v>115</v>
      </c>
      <c r="C2155" t="b">
        <v>0</v>
      </c>
      <c r="D2155" s="1">
        <v>38777</v>
      </c>
      <c r="E2155">
        <v>5</v>
      </c>
      <c r="F2155"/>
      <c r="G2155"/>
      <c r="H2155"/>
      <c r="I2155"/>
      <c r="J2155"/>
      <c r="K2155"/>
      <c r="L2155"/>
      <c r="M2155"/>
      <c r="N2155"/>
      <c r="O2155"/>
    </row>
    <row r="2156" spans="1:15" hidden="1" x14ac:dyDescent="0.25">
      <c r="A2156" t="s">
        <v>106</v>
      </c>
      <c r="B2156" t="s">
        <v>115</v>
      </c>
      <c r="C2156" t="b">
        <v>0</v>
      </c>
      <c r="D2156" s="1">
        <v>38777</v>
      </c>
      <c r="E2156">
        <v>5</v>
      </c>
      <c r="F2156"/>
      <c r="G2156"/>
      <c r="H2156"/>
      <c r="I2156"/>
      <c r="J2156"/>
      <c r="K2156"/>
      <c r="L2156"/>
      <c r="M2156"/>
      <c r="N2156"/>
      <c r="O2156"/>
    </row>
    <row r="2157" spans="1:15" hidden="1" x14ac:dyDescent="0.25">
      <c r="A2157" t="s">
        <v>24</v>
      </c>
      <c r="B2157" t="s">
        <v>115</v>
      </c>
      <c r="C2157" t="b">
        <v>0</v>
      </c>
      <c r="D2157" s="1">
        <v>38777</v>
      </c>
      <c r="E2157">
        <v>5</v>
      </c>
      <c r="F2157"/>
      <c r="G2157"/>
      <c r="H2157"/>
      <c r="I2157"/>
      <c r="J2157"/>
      <c r="K2157"/>
      <c r="L2157"/>
      <c r="M2157"/>
      <c r="N2157"/>
      <c r="O2157"/>
    </row>
    <row r="2158" spans="1:15" hidden="1" x14ac:dyDescent="0.25">
      <c r="A2158" t="s">
        <v>30</v>
      </c>
      <c r="B2158" t="s">
        <v>115</v>
      </c>
      <c r="C2158" t="b">
        <v>0</v>
      </c>
      <c r="D2158" s="1">
        <v>38777</v>
      </c>
      <c r="E2158">
        <v>5</v>
      </c>
      <c r="F2158"/>
      <c r="G2158"/>
      <c r="H2158"/>
      <c r="I2158"/>
      <c r="J2158"/>
      <c r="K2158"/>
      <c r="L2158"/>
      <c r="M2158"/>
      <c r="N2158"/>
      <c r="O2158"/>
    </row>
    <row r="2159" spans="1:15" hidden="1" x14ac:dyDescent="0.25">
      <c r="A2159" t="s">
        <v>57</v>
      </c>
      <c r="B2159" t="s">
        <v>115</v>
      </c>
      <c r="C2159" t="b">
        <v>0</v>
      </c>
      <c r="D2159" s="1">
        <v>38777</v>
      </c>
      <c r="E2159">
        <v>5</v>
      </c>
      <c r="F2159"/>
      <c r="G2159"/>
      <c r="H2159"/>
      <c r="I2159"/>
      <c r="J2159"/>
      <c r="K2159"/>
      <c r="L2159"/>
      <c r="M2159"/>
      <c r="N2159"/>
      <c r="O2159"/>
    </row>
    <row r="2160" spans="1:15" hidden="1" x14ac:dyDescent="0.25">
      <c r="A2160" t="s">
        <v>69</v>
      </c>
      <c r="B2160" t="s">
        <v>115</v>
      </c>
      <c r="C2160" t="b">
        <v>0</v>
      </c>
      <c r="D2160" s="1">
        <v>38777</v>
      </c>
      <c r="E2160">
        <v>5</v>
      </c>
      <c r="F2160"/>
      <c r="G2160"/>
      <c r="H2160"/>
      <c r="I2160"/>
      <c r="J2160"/>
      <c r="K2160"/>
      <c r="L2160"/>
      <c r="M2160"/>
      <c r="N2160"/>
      <c r="O2160"/>
    </row>
    <row r="2161" spans="1:15" hidden="1" x14ac:dyDescent="0.25">
      <c r="A2161" t="s">
        <v>71</v>
      </c>
      <c r="B2161" t="s">
        <v>115</v>
      </c>
      <c r="C2161" t="b">
        <v>0</v>
      </c>
      <c r="D2161" s="1">
        <v>38777</v>
      </c>
      <c r="E2161">
        <v>5</v>
      </c>
      <c r="F2161"/>
      <c r="G2161"/>
      <c r="H2161"/>
      <c r="I2161"/>
      <c r="J2161"/>
      <c r="K2161"/>
      <c r="L2161"/>
      <c r="M2161"/>
      <c r="N2161"/>
      <c r="O2161"/>
    </row>
    <row r="2162" spans="1:15" hidden="1" x14ac:dyDescent="0.25">
      <c r="A2162" t="s">
        <v>86</v>
      </c>
      <c r="B2162" t="s">
        <v>115</v>
      </c>
      <c r="C2162" t="b">
        <v>0</v>
      </c>
      <c r="D2162" s="1">
        <v>38777</v>
      </c>
      <c r="E2162">
        <v>5</v>
      </c>
      <c r="F2162"/>
      <c r="G2162"/>
      <c r="H2162"/>
      <c r="I2162"/>
      <c r="J2162"/>
      <c r="K2162"/>
      <c r="L2162"/>
      <c r="M2162"/>
      <c r="N2162"/>
      <c r="O2162"/>
    </row>
    <row r="2163" spans="1:15" hidden="1" x14ac:dyDescent="0.25">
      <c r="A2163" t="s">
        <v>99</v>
      </c>
      <c r="B2163" t="s">
        <v>114</v>
      </c>
      <c r="C2163" t="b">
        <v>0</v>
      </c>
      <c r="D2163" s="1">
        <v>38777</v>
      </c>
      <c r="E2163">
        <v>23.06</v>
      </c>
      <c r="F2163"/>
      <c r="G2163"/>
      <c r="H2163"/>
      <c r="I2163"/>
      <c r="J2163"/>
      <c r="K2163"/>
      <c r="L2163"/>
      <c r="M2163"/>
      <c r="N2163"/>
      <c r="O2163"/>
    </row>
    <row r="2164" spans="1:15" hidden="1" x14ac:dyDescent="0.25">
      <c r="A2164" t="s">
        <v>100</v>
      </c>
      <c r="B2164" t="s">
        <v>117</v>
      </c>
      <c r="C2164" t="b">
        <v>0</v>
      </c>
      <c r="D2164" s="1">
        <v>38808</v>
      </c>
      <c r="E2164" s="2">
        <v>-42</v>
      </c>
      <c r="F2164"/>
      <c r="G2164"/>
      <c r="H2164"/>
      <c r="I2164"/>
      <c r="J2164"/>
      <c r="K2164"/>
      <c r="L2164"/>
      <c r="M2164"/>
      <c r="N2164"/>
      <c r="O2164"/>
    </row>
    <row r="2165" spans="1:15" hidden="1" x14ac:dyDescent="0.25">
      <c r="A2165" t="s">
        <v>102</v>
      </c>
      <c r="B2165" t="s">
        <v>117</v>
      </c>
      <c r="C2165" t="b">
        <v>0</v>
      </c>
      <c r="D2165" s="1">
        <v>38808</v>
      </c>
      <c r="E2165" s="2">
        <v>-37.880000000000003</v>
      </c>
      <c r="F2165"/>
      <c r="G2165"/>
      <c r="H2165"/>
      <c r="I2165"/>
      <c r="J2165"/>
      <c r="K2165"/>
      <c r="L2165"/>
      <c r="M2165"/>
      <c r="N2165"/>
      <c r="O2165"/>
    </row>
    <row r="2166" spans="1:15" hidden="1" x14ac:dyDescent="0.25">
      <c r="A2166" t="s">
        <v>103</v>
      </c>
      <c r="B2166" t="s">
        <v>117</v>
      </c>
      <c r="C2166" t="b">
        <v>0</v>
      </c>
      <c r="D2166" s="1">
        <v>38808</v>
      </c>
      <c r="E2166" s="2">
        <v>-2</v>
      </c>
      <c r="F2166"/>
      <c r="G2166"/>
      <c r="H2166"/>
      <c r="I2166"/>
      <c r="J2166"/>
      <c r="K2166"/>
      <c r="L2166"/>
      <c r="M2166"/>
      <c r="N2166"/>
      <c r="O2166"/>
    </row>
    <row r="2167" spans="1:15" hidden="1" x14ac:dyDescent="0.25">
      <c r="A2167" t="s">
        <v>11</v>
      </c>
      <c r="B2167" t="s">
        <v>115</v>
      </c>
      <c r="C2167" t="b">
        <v>0</v>
      </c>
      <c r="D2167" s="1">
        <v>38808</v>
      </c>
      <c r="E2167">
        <v>5</v>
      </c>
      <c r="F2167"/>
      <c r="G2167"/>
      <c r="H2167"/>
      <c r="I2167"/>
      <c r="J2167"/>
      <c r="K2167"/>
      <c r="L2167"/>
      <c r="M2167"/>
      <c r="N2167"/>
      <c r="O2167"/>
    </row>
    <row r="2168" spans="1:15" hidden="1" x14ac:dyDescent="0.25">
      <c r="A2168" t="s">
        <v>14</v>
      </c>
      <c r="B2168" t="s">
        <v>115</v>
      </c>
      <c r="C2168" t="b">
        <v>0</v>
      </c>
      <c r="D2168" s="1">
        <v>38808</v>
      </c>
      <c r="E2168">
        <v>5</v>
      </c>
      <c r="F2168"/>
      <c r="G2168"/>
      <c r="H2168"/>
      <c r="I2168"/>
      <c r="J2168"/>
      <c r="K2168"/>
      <c r="L2168"/>
      <c r="M2168"/>
      <c r="N2168"/>
      <c r="O2168"/>
    </row>
    <row r="2169" spans="1:15" hidden="1" x14ac:dyDescent="0.25">
      <c r="A2169" t="s">
        <v>18</v>
      </c>
      <c r="B2169" t="s">
        <v>115</v>
      </c>
      <c r="C2169" t="b">
        <v>0</v>
      </c>
      <c r="D2169" s="1">
        <v>38808</v>
      </c>
      <c r="E2169">
        <v>5</v>
      </c>
      <c r="F2169"/>
      <c r="G2169"/>
      <c r="H2169"/>
      <c r="I2169"/>
      <c r="J2169"/>
      <c r="K2169"/>
      <c r="L2169"/>
      <c r="M2169"/>
      <c r="N2169"/>
      <c r="O2169"/>
    </row>
    <row r="2170" spans="1:15" hidden="1" x14ac:dyDescent="0.25">
      <c r="A2170" t="s">
        <v>106</v>
      </c>
      <c r="B2170" t="s">
        <v>115</v>
      </c>
      <c r="C2170" t="b">
        <v>0</v>
      </c>
      <c r="D2170" s="1">
        <v>38808</v>
      </c>
      <c r="E2170">
        <v>5</v>
      </c>
      <c r="F2170"/>
      <c r="G2170"/>
      <c r="H2170"/>
      <c r="I2170"/>
      <c r="J2170"/>
      <c r="K2170"/>
      <c r="L2170"/>
      <c r="M2170"/>
      <c r="N2170"/>
      <c r="O2170"/>
    </row>
    <row r="2171" spans="1:15" hidden="1" x14ac:dyDescent="0.25">
      <c r="A2171" t="s">
        <v>106</v>
      </c>
      <c r="B2171" t="s">
        <v>115</v>
      </c>
      <c r="C2171" t="b">
        <v>0</v>
      </c>
      <c r="D2171" s="1">
        <v>38808</v>
      </c>
      <c r="E2171">
        <v>5</v>
      </c>
      <c r="F2171"/>
      <c r="G2171"/>
      <c r="H2171"/>
      <c r="I2171"/>
      <c r="J2171"/>
      <c r="K2171"/>
      <c r="L2171"/>
      <c r="M2171"/>
      <c r="N2171"/>
      <c r="O2171"/>
    </row>
    <row r="2172" spans="1:15" hidden="1" x14ac:dyDescent="0.25">
      <c r="A2172" t="s">
        <v>106</v>
      </c>
      <c r="B2172" t="s">
        <v>115</v>
      </c>
      <c r="C2172" t="b">
        <v>0</v>
      </c>
      <c r="D2172" s="1">
        <v>38808</v>
      </c>
      <c r="E2172">
        <v>5</v>
      </c>
      <c r="F2172"/>
      <c r="G2172"/>
      <c r="H2172"/>
      <c r="I2172"/>
      <c r="J2172"/>
      <c r="K2172"/>
      <c r="L2172"/>
      <c r="M2172"/>
      <c r="N2172"/>
      <c r="O2172"/>
    </row>
    <row r="2173" spans="1:15" hidden="1" x14ac:dyDescent="0.25">
      <c r="A2173" t="s">
        <v>106</v>
      </c>
      <c r="B2173" t="s">
        <v>115</v>
      </c>
      <c r="C2173" t="b">
        <v>0</v>
      </c>
      <c r="D2173" s="1">
        <v>38808</v>
      </c>
      <c r="E2173">
        <v>5</v>
      </c>
      <c r="F2173"/>
      <c r="G2173"/>
      <c r="H2173"/>
      <c r="I2173"/>
      <c r="J2173"/>
      <c r="K2173"/>
      <c r="L2173"/>
      <c r="M2173"/>
      <c r="N2173"/>
      <c r="O2173"/>
    </row>
    <row r="2174" spans="1:15" hidden="1" x14ac:dyDescent="0.25">
      <c r="A2174" t="s">
        <v>106</v>
      </c>
      <c r="B2174" t="s">
        <v>115</v>
      </c>
      <c r="C2174" t="b">
        <v>0</v>
      </c>
      <c r="D2174" s="1">
        <v>38808</v>
      </c>
      <c r="E2174">
        <v>5</v>
      </c>
      <c r="F2174"/>
      <c r="G2174"/>
      <c r="H2174"/>
      <c r="I2174"/>
      <c r="J2174"/>
      <c r="K2174"/>
      <c r="L2174"/>
      <c r="M2174"/>
      <c r="N2174"/>
      <c r="O2174"/>
    </row>
    <row r="2175" spans="1:15" hidden="1" x14ac:dyDescent="0.25">
      <c r="A2175" t="s">
        <v>106</v>
      </c>
      <c r="B2175" t="s">
        <v>115</v>
      </c>
      <c r="C2175" t="b">
        <v>0</v>
      </c>
      <c r="D2175" s="1">
        <v>38808</v>
      </c>
      <c r="E2175">
        <v>5</v>
      </c>
      <c r="F2175"/>
      <c r="G2175"/>
      <c r="H2175"/>
      <c r="I2175"/>
      <c r="J2175"/>
      <c r="K2175"/>
      <c r="L2175"/>
      <c r="M2175"/>
      <c r="N2175"/>
      <c r="O2175"/>
    </row>
    <row r="2176" spans="1:15" hidden="1" x14ac:dyDescent="0.25">
      <c r="A2176" t="s">
        <v>106</v>
      </c>
      <c r="B2176" t="s">
        <v>115</v>
      </c>
      <c r="C2176" t="b">
        <v>0</v>
      </c>
      <c r="D2176" s="1">
        <v>38808</v>
      </c>
      <c r="E2176">
        <v>5</v>
      </c>
      <c r="F2176"/>
      <c r="G2176"/>
      <c r="H2176"/>
      <c r="I2176"/>
      <c r="J2176"/>
      <c r="K2176"/>
      <c r="L2176"/>
      <c r="M2176"/>
      <c r="N2176"/>
      <c r="O2176"/>
    </row>
    <row r="2177" spans="1:15" hidden="1" x14ac:dyDescent="0.25">
      <c r="A2177" t="s">
        <v>106</v>
      </c>
      <c r="B2177" t="s">
        <v>115</v>
      </c>
      <c r="C2177" t="b">
        <v>0</v>
      </c>
      <c r="D2177" s="1">
        <v>38808</v>
      </c>
      <c r="E2177">
        <v>5</v>
      </c>
      <c r="F2177"/>
      <c r="G2177"/>
      <c r="H2177"/>
      <c r="I2177"/>
      <c r="J2177"/>
      <c r="K2177"/>
      <c r="L2177"/>
      <c r="M2177"/>
      <c r="N2177"/>
      <c r="O2177"/>
    </row>
    <row r="2178" spans="1:15" hidden="1" x14ac:dyDescent="0.25">
      <c r="A2178" t="s">
        <v>106</v>
      </c>
      <c r="B2178" t="s">
        <v>115</v>
      </c>
      <c r="C2178" t="b">
        <v>0</v>
      </c>
      <c r="D2178" s="1">
        <v>38808</v>
      </c>
      <c r="E2178">
        <v>5</v>
      </c>
      <c r="F2178"/>
      <c r="G2178"/>
      <c r="H2178"/>
      <c r="I2178"/>
      <c r="J2178"/>
      <c r="K2178"/>
      <c r="L2178"/>
      <c r="M2178"/>
      <c r="N2178"/>
      <c r="O2178"/>
    </row>
    <row r="2179" spans="1:15" hidden="1" x14ac:dyDescent="0.25">
      <c r="A2179" t="s">
        <v>106</v>
      </c>
      <c r="B2179" t="s">
        <v>115</v>
      </c>
      <c r="C2179" t="b">
        <v>0</v>
      </c>
      <c r="D2179" s="1">
        <v>38808</v>
      </c>
      <c r="E2179">
        <v>5</v>
      </c>
      <c r="F2179"/>
      <c r="G2179"/>
      <c r="H2179"/>
      <c r="I2179"/>
      <c r="J2179"/>
      <c r="K2179"/>
      <c r="L2179"/>
      <c r="M2179"/>
      <c r="N2179"/>
      <c r="O2179"/>
    </row>
    <row r="2180" spans="1:15" hidden="1" x14ac:dyDescent="0.25">
      <c r="A2180" t="s">
        <v>106</v>
      </c>
      <c r="B2180" t="s">
        <v>115</v>
      </c>
      <c r="C2180" t="b">
        <v>0</v>
      </c>
      <c r="D2180" s="1">
        <v>38808</v>
      </c>
      <c r="E2180">
        <v>5</v>
      </c>
      <c r="F2180"/>
      <c r="G2180"/>
      <c r="H2180"/>
      <c r="I2180"/>
      <c r="J2180"/>
      <c r="K2180"/>
      <c r="L2180"/>
      <c r="M2180"/>
      <c r="N2180"/>
      <c r="O2180"/>
    </row>
    <row r="2181" spans="1:15" hidden="1" x14ac:dyDescent="0.25">
      <c r="A2181" t="s">
        <v>106</v>
      </c>
      <c r="B2181" t="s">
        <v>115</v>
      </c>
      <c r="C2181" t="b">
        <v>0</v>
      </c>
      <c r="D2181" s="1">
        <v>38808</v>
      </c>
      <c r="E2181">
        <v>5</v>
      </c>
      <c r="F2181"/>
      <c r="G2181"/>
      <c r="H2181"/>
      <c r="I2181"/>
      <c r="J2181"/>
      <c r="K2181"/>
      <c r="L2181"/>
      <c r="M2181"/>
      <c r="N2181"/>
      <c r="O2181"/>
    </row>
    <row r="2182" spans="1:15" hidden="1" x14ac:dyDescent="0.25">
      <c r="A2182" t="s">
        <v>106</v>
      </c>
      <c r="B2182" t="s">
        <v>115</v>
      </c>
      <c r="C2182" t="b">
        <v>0</v>
      </c>
      <c r="D2182" s="1">
        <v>38808</v>
      </c>
      <c r="E2182">
        <v>5</v>
      </c>
      <c r="F2182"/>
      <c r="G2182"/>
      <c r="H2182"/>
      <c r="I2182"/>
      <c r="J2182"/>
      <c r="K2182"/>
      <c r="L2182"/>
      <c r="M2182"/>
      <c r="N2182"/>
      <c r="O2182"/>
    </row>
    <row r="2183" spans="1:15" hidden="1" x14ac:dyDescent="0.25">
      <c r="A2183" t="s">
        <v>106</v>
      </c>
      <c r="B2183" t="s">
        <v>115</v>
      </c>
      <c r="C2183" t="b">
        <v>0</v>
      </c>
      <c r="D2183" s="1">
        <v>38808</v>
      </c>
      <c r="E2183">
        <v>5</v>
      </c>
      <c r="F2183"/>
      <c r="G2183"/>
      <c r="H2183"/>
      <c r="I2183"/>
      <c r="J2183"/>
      <c r="K2183"/>
      <c r="L2183"/>
      <c r="M2183"/>
      <c r="N2183"/>
      <c r="O2183"/>
    </row>
    <row r="2184" spans="1:15" hidden="1" x14ac:dyDescent="0.25">
      <c r="A2184" t="s">
        <v>24</v>
      </c>
      <c r="B2184" t="s">
        <v>115</v>
      </c>
      <c r="C2184" t="b">
        <v>0</v>
      </c>
      <c r="D2184" s="1">
        <v>38808</v>
      </c>
      <c r="E2184">
        <v>5</v>
      </c>
      <c r="F2184"/>
      <c r="G2184"/>
      <c r="H2184"/>
      <c r="I2184"/>
      <c r="J2184"/>
      <c r="K2184"/>
      <c r="L2184"/>
      <c r="M2184"/>
      <c r="N2184"/>
      <c r="O2184"/>
    </row>
    <row r="2185" spans="1:15" hidden="1" x14ac:dyDescent="0.25">
      <c r="A2185" t="s">
        <v>30</v>
      </c>
      <c r="B2185" t="s">
        <v>115</v>
      </c>
      <c r="C2185" t="b">
        <v>0</v>
      </c>
      <c r="D2185" s="1">
        <v>38808</v>
      </c>
      <c r="E2185">
        <v>5</v>
      </c>
      <c r="F2185"/>
      <c r="G2185"/>
      <c r="H2185"/>
      <c r="I2185"/>
      <c r="J2185"/>
      <c r="K2185"/>
      <c r="L2185"/>
      <c r="M2185"/>
      <c r="N2185"/>
      <c r="O2185"/>
    </row>
    <row r="2186" spans="1:15" hidden="1" x14ac:dyDescent="0.25">
      <c r="A2186" t="s">
        <v>39</v>
      </c>
      <c r="B2186" t="s">
        <v>115</v>
      </c>
      <c r="C2186" t="b">
        <v>0</v>
      </c>
      <c r="D2186" s="1">
        <v>38808</v>
      </c>
      <c r="E2186">
        <v>5</v>
      </c>
      <c r="F2186"/>
      <c r="G2186"/>
      <c r="H2186"/>
      <c r="I2186"/>
      <c r="J2186"/>
      <c r="K2186"/>
      <c r="L2186"/>
      <c r="M2186"/>
      <c r="N2186"/>
      <c r="O2186"/>
    </row>
    <row r="2187" spans="1:15" hidden="1" x14ac:dyDescent="0.25">
      <c r="A2187" t="s">
        <v>57</v>
      </c>
      <c r="B2187" t="s">
        <v>115</v>
      </c>
      <c r="C2187" t="b">
        <v>0</v>
      </c>
      <c r="D2187" s="1">
        <v>38808</v>
      </c>
      <c r="E2187">
        <v>5</v>
      </c>
      <c r="F2187"/>
      <c r="G2187"/>
      <c r="H2187"/>
      <c r="I2187"/>
      <c r="J2187"/>
      <c r="K2187"/>
      <c r="L2187"/>
      <c r="M2187"/>
      <c r="N2187"/>
      <c r="O2187"/>
    </row>
    <row r="2188" spans="1:15" hidden="1" x14ac:dyDescent="0.25">
      <c r="A2188" t="s">
        <v>69</v>
      </c>
      <c r="B2188" t="s">
        <v>115</v>
      </c>
      <c r="C2188" t="b">
        <v>0</v>
      </c>
      <c r="D2188" s="1">
        <v>38808</v>
      </c>
      <c r="E2188">
        <v>5</v>
      </c>
      <c r="F2188"/>
      <c r="G2188"/>
      <c r="H2188"/>
      <c r="I2188"/>
      <c r="J2188"/>
      <c r="K2188"/>
      <c r="L2188"/>
      <c r="M2188"/>
      <c r="N2188"/>
      <c r="O2188"/>
    </row>
    <row r="2189" spans="1:15" hidden="1" x14ac:dyDescent="0.25">
      <c r="A2189" t="s">
        <v>71</v>
      </c>
      <c r="B2189" t="s">
        <v>115</v>
      </c>
      <c r="C2189" t="b">
        <v>0</v>
      </c>
      <c r="D2189" s="1">
        <v>38808</v>
      </c>
      <c r="E2189">
        <v>5</v>
      </c>
      <c r="F2189"/>
      <c r="G2189"/>
      <c r="H2189"/>
      <c r="I2189"/>
      <c r="J2189"/>
      <c r="K2189"/>
      <c r="L2189"/>
      <c r="M2189"/>
      <c r="N2189"/>
      <c r="O2189"/>
    </row>
    <row r="2190" spans="1:15" hidden="1" x14ac:dyDescent="0.25">
      <c r="A2190" t="s">
        <v>86</v>
      </c>
      <c r="B2190" t="s">
        <v>115</v>
      </c>
      <c r="C2190" t="b">
        <v>0</v>
      </c>
      <c r="D2190" s="1">
        <v>38808</v>
      </c>
      <c r="E2190">
        <v>5</v>
      </c>
      <c r="F2190"/>
      <c r="G2190"/>
      <c r="H2190"/>
      <c r="I2190"/>
      <c r="J2190"/>
      <c r="K2190"/>
      <c r="L2190"/>
      <c r="M2190"/>
      <c r="N2190"/>
      <c r="O2190"/>
    </row>
    <row r="2191" spans="1:15" hidden="1" x14ac:dyDescent="0.25">
      <c r="A2191" t="s">
        <v>90</v>
      </c>
      <c r="B2191" t="s">
        <v>115</v>
      </c>
      <c r="C2191" t="b">
        <v>0</v>
      </c>
      <c r="D2191" s="1">
        <v>38808</v>
      </c>
      <c r="E2191">
        <v>5</v>
      </c>
      <c r="F2191"/>
      <c r="G2191"/>
      <c r="H2191"/>
      <c r="I2191"/>
      <c r="J2191"/>
      <c r="K2191"/>
      <c r="L2191"/>
      <c r="M2191"/>
      <c r="N2191"/>
      <c r="O2191"/>
    </row>
    <row r="2192" spans="1:15" hidden="1" x14ac:dyDescent="0.25">
      <c r="A2192" t="s">
        <v>99</v>
      </c>
      <c r="B2192" t="s">
        <v>114</v>
      </c>
      <c r="C2192" t="b">
        <v>0</v>
      </c>
      <c r="D2192" s="1">
        <v>38808</v>
      </c>
      <c r="E2192">
        <v>12.4</v>
      </c>
      <c r="F2192"/>
      <c r="G2192"/>
      <c r="H2192"/>
      <c r="I2192"/>
      <c r="J2192"/>
      <c r="K2192"/>
      <c r="L2192"/>
      <c r="M2192"/>
      <c r="N2192"/>
      <c r="O2192"/>
    </row>
    <row r="2193" spans="1:15" hidden="1" x14ac:dyDescent="0.25">
      <c r="A2193" t="s">
        <v>100</v>
      </c>
      <c r="B2193" t="s">
        <v>117</v>
      </c>
      <c r="C2193" t="b">
        <v>0</v>
      </c>
      <c r="D2193" s="1">
        <v>38838</v>
      </c>
      <c r="E2193" s="2">
        <v>-189.85</v>
      </c>
      <c r="F2193"/>
      <c r="G2193"/>
      <c r="H2193"/>
      <c r="I2193"/>
      <c r="J2193"/>
      <c r="K2193"/>
      <c r="L2193"/>
      <c r="M2193"/>
      <c r="N2193"/>
      <c r="O2193"/>
    </row>
    <row r="2194" spans="1:15" hidden="1" x14ac:dyDescent="0.25">
      <c r="A2194" t="s">
        <v>102</v>
      </c>
      <c r="B2194" t="s">
        <v>117</v>
      </c>
      <c r="C2194" t="b">
        <v>0</v>
      </c>
      <c r="D2194" s="1">
        <v>38838</v>
      </c>
      <c r="E2194" s="2">
        <v>-0.53</v>
      </c>
      <c r="F2194"/>
      <c r="G2194"/>
      <c r="H2194"/>
      <c r="I2194"/>
      <c r="J2194"/>
      <c r="K2194"/>
      <c r="L2194"/>
      <c r="M2194"/>
      <c r="N2194"/>
      <c r="O2194"/>
    </row>
    <row r="2195" spans="1:15" hidden="1" x14ac:dyDescent="0.25">
      <c r="A2195" t="s">
        <v>101</v>
      </c>
      <c r="B2195" t="s">
        <v>117</v>
      </c>
      <c r="C2195" t="b">
        <v>0</v>
      </c>
      <c r="D2195" s="1">
        <v>38838</v>
      </c>
      <c r="E2195" s="2">
        <v>-0.33</v>
      </c>
      <c r="F2195"/>
      <c r="G2195"/>
      <c r="H2195"/>
      <c r="I2195"/>
      <c r="J2195"/>
      <c r="K2195"/>
      <c r="L2195"/>
      <c r="M2195"/>
      <c r="N2195"/>
      <c r="O2195"/>
    </row>
    <row r="2196" spans="1:15" hidden="1" x14ac:dyDescent="0.25">
      <c r="A2196" t="s">
        <v>14</v>
      </c>
      <c r="B2196" t="s">
        <v>115</v>
      </c>
      <c r="C2196" t="b">
        <v>0</v>
      </c>
      <c r="D2196" s="1">
        <v>38838</v>
      </c>
      <c r="E2196">
        <v>5</v>
      </c>
      <c r="F2196"/>
      <c r="G2196"/>
      <c r="H2196"/>
      <c r="I2196"/>
      <c r="J2196"/>
      <c r="K2196"/>
      <c r="L2196"/>
      <c r="M2196"/>
      <c r="N2196"/>
      <c r="O2196"/>
    </row>
    <row r="2197" spans="1:15" hidden="1" x14ac:dyDescent="0.25">
      <c r="A2197" t="s">
        <v>18</v>
      </c>
      <c r="B2197" t="s">
        <v>115</v>
      </c>
      <c r="C2197" t="b">
        <v>0</v>
      </c>
      <c r="D2197" s="1">
        <v>38838</v>
      </c>
      <c r="E2197">
        <v>5</v>
      </c>
      <c r="F2197"/>
      <c r="G2197"/>
      <c r="H2197"/>
      <c r="I2197"/>
      <c r="J2197"/>
      <c r="K2197"/>
      <c r="L2197"/>
      <c r="M2197"/>
      <c r="N2197"/>
      <c r="O2197"/>
    </row>
    <row r="2198" spans="1:15" hidden="1" x14ac:dyDescent="0.25">
      <c r="A2198" t="s">
        <v>106</v>
      </c>
      <c r="B2198" t="s">
        <v>115</v>
      </c>
      <c r="C2198" t="b">
        <v>0</v>
      </c>
      <c r="D2198" s="1">
        <v>38838</v>
      </c>
      <c r="E2198">
        <v>5</v>
      </c>
      <c r="F2198"/>
      <c r="G2198"/>
      <c r="H2198"/>
      <c r="I2198"/>
      <c r="J2198"/>
      <c r="K2198"/>
      <c r="L2198"/>
      <c r="M2198"/>
      <c r="N2198"/>
      <c r="O2198"/>
    </row>
    <row r="2199" spans="1:15" hidden="1" x14ac:dyDescent="0.25">
      <c r="A2199" t="s">
        <v>106</v>
      </c>
      <c r="B2199" t="s">
        <v>115</v>
      </c>
      <c r="C2199" t="b">
        <v>0</v>
      </c>
      <c r="D2199" s="1">
        <v>38838</v>
      </c>
      <c r="E2199">
        <v>5</v>
      </c>
      <c r="F2199"/>
      <c r="G2199"/>
      <c r="H2199"/>
      <c r="I2199"/>
      <c r="J2199"/>
      <c r="K2199"/>
      <c r="L2199"/>
      <c r="M2199"/>
      <c r="N2199"/>
      <c r="O2199"/>
    </row>
    <row r="2200" spans="1:15" hidden="1" x14ac:dyDescent="0.25">
      <c r="A2200" t="s">
        <v>106</v>
      </c>
      <c r="B2200" t="s">
        <v>115</v>
      </c>
      <c r="C2200" t="b">
        <v>0</v>
      </c>
      <c r="D2200" s="1">
        <v>38838</v>
      </c>
      <c r="E2200">
        <v>5</v>
      </c>
      <c r="F2200"/>
      <c r="G2200"/>
      <c r="H2200"/>
      <c r="I2200"/>
      <c r="J2200"/>
      <c r="K2200"/>
      <c r="L2200"/>
      <c r="M2200"/>
      <c r="N2200"/>
      <c r="O2200"/>
    </row>
    <row r="2201" spans="1:15" hidden="1" x14ac:dyDescent="0.25">
      <c r="A2201" t="s">
        <v>106</v>
      </c>
      <c r="B2201" t="s">
        <v>115</v>
      </c>
      <c r="C2201" t="b">
        <v>0</v>
      </c>
      <c r="D2201" s="1">
        <v>38838</v>
      </c>
      <c r="E2201">
        <v>5</v>
      </c>
      <c r="F2201"/>
      <c r="G2201"/>
      <c r="H2201"/>
      <c r="I2201"/>
      <c r="J2201"/>
      <c r="K2201"/>
      <c r="L2201"/>
      <c r="M2201"/>
      <c r="N2201"/>
      <c r="O2201"/>
    </row>
    <row r="2202" spans="1:15" hidden="1" x14ac:dyDescent="0.25">
      <c r="A2202" t="s">
        <v>106</v>
      </c>
      <c r="B2202" t="s">
        <v>115</v>
      </c>
      <c r="C2202" t="b">
        <v>0</v>
      </c>
      <c r="D2202" s="1">
        <v>38838</v>
      </c>
      <c r="E2202">
        <v>5</v>
      </c>
      <c r="F2202"/>
      <c r="G2202"/>
      <c r="H2202"/>
      <c r="I2202"/>
      <c r="J2202"/>
      <c r="K2202"/>
      <c r="L2202"/>
      <c r="M2202"/>
      <c r="N2202"/>
      <c r="O2202"/>
    </row>
    <row r="2203" spans="1:15" hidden="1" x14ac:dyDescent="0.25">
      <c r="A2203" t="s">
        <v>106</v>
      </c>
      <c r="B2203" t="s">
        <v>115</v>
      </c>
      <c r="C2203" t="b">
        <v>0</v>
      </c>
      <c r="D2203" s="1">
        <v>38838</v>
      </c>
      <c r="E2203">
        <v>5</v>
      </c>
      <c r="F2203"/>
      <c r="G2203"/>
      <c r="H2203"/>
      <c r="I2203"/>
      <c r="J2203"/>
      <c r="K2203"/>
      <c r="L2203"/>
      <c r="M2203"/>
      <c r="N2203"/>
      <c r="O2203"/>
    </row>
    <row r="2204" spans="1:15" hidden="1" x14ac:dyDescent="0.25">
      <c r="A2204" t="s">
        <v>106</v>
      </c>
      <c r="B2204" t="s">
        <v>115</v>
      </c>
      <c r="C2204" t="b">
        <v>0</v>
      </c>
      <c r="D2204" s="1">
        <v>38838</v>
      </c>
      <c r="E2204">
        <v>5</v>
      </c>
      <c r="F2204"/>
      <c r="G2204"/>
      <c r="H2204"/>
      <c r="I2204"/>
      <c r="J2204"/>
      <c r="K2204"/>
      <c r="L2204"/>
      <c r="M2204"/>
      <c r="N2204"/>
      <c r="O2204"/>
    </row>
    <row r="2205" spans="1:15" hidden="1" x14ac:dyDescent="0.25">
      <c r="A2205" t="s">
        <v>106</v>
      </c>
      <c r="B2205" t="s">
        <v>115</v>
      </c>
      <c r="C2205" t="b">
        <v>0</v>
      </c>
      <c r="D2205" s="1">
        <v>38838</v>
      </c>
      <c r="E2205">
        <v>5</v>
      </c>
      <c r="F2205"/>
      <c r="G2205"/>
      <c r="H2205"/>
      <c r="I2205"/>
      <c r="J2205"/>
      <c r="K2205"/>
      <c r="L2205"/>
      <c r="M2205"/>
      <c r="N2205"/>
      <c r="O2205"/>
    </row>
    <row r="2206" spans="1:15" hidden="1" x14ac:dyDescent="0.25">
      <c r="A2206" t="s">
        <v>106</v>
      </c>
      <c r="B2206" t="s">
        <v>115</v>
      </c>
      <c r="C2206" t="b">
        <v>0</v>
      </c>
      <c r="D2206" s="1">
        <v>38838</v>
      </c>
      <c r="E2206">
        <v>5</v>
      </c>
      <c r="F2206"/>
      <c r="G2206"/>
      <c r="H2206"/>
      <c r="I2206"/>
      <c r="J2206"/>
      <c r="K2206"/>
      <c r="L2206"/>
      <c r="M2206"/>
      <c r="N2206"/>
      <c r="O2206"/>
    </row>
    <row r="2207" spans="1:15" hidden="1" x14ac:dyDescent="0.25">
      <c r="A2207" t="s">
        <v>106</v>
      </c>
      <c r="B2207" t="s">
        <v>115</v>
      </c>
      <c r="C2207" t="b">
        <v>0</v>
      </c>
      <c r="D2207" s="1">
        <v>38838</v>
      </c>
      <c r="E2207">
        <v>5</v>
      </c>
      <c r="F2207"/>
      <c r="G2207"/>
      <c r="H2207"/>
      <c r="I2207"/>
      <c r="J2207"/>
      <c r="K2207"/>
      <c r="L2207"/>
      <c r="M2207"/>
      <c r="N2207"/>
      <c r="O2207"/>
    </row>
    <row r="2208" spans="1:15" hidden="1" x14ac:dyDescent="0.25">
      <c r="A2208" t="s">
        <v>106</v>
      </c>
      <c r="B2208" t="s">
        <v>115</v>
      </c>
      <c r="C2208" t="b">
        <v>0</v>
      </c>
      <c r="D2208" s="1">
        <v>38838</v>
      </c>
      <c r="E2208">
        <v>5</v>
      </c>
      <c r="F2208"/>
      <c r="G2208"/>
      <c r="H2208"/>
      <c r="I2208"/>
      <c r="J2208"/>
      <c r="K2208"/>
      <c r="L2208"/>
      <c r="M2208"/>
      <c r="N2208"/>
      <c r="O2208"/>
    </row>
    <row r="2209" spans="1:15" hidden="1" x14ac:dyDescent="0.25">
      <c r="A2209" t="s">
        <v>106</v>
      </c>
      <c r="B2209" t="s">
        <v>115</v>
      </c>
      <c r="C2209" t="b">
        <v>0</v>
      </c>
      <c r="D2209" s="1">
        <v>38838</v>
      </c>
      <c r="E2209">
        <v>5</v>
      </c>
      <c r="F2209"/>
      <c r="G2209"/>
      <c r="H2209"/>
      <c r="I2209"/>
      <c r="J2209"/>
      <c r="K2209"/>
      <c r="L2209"/>
      <c r="M2209"/>
      <c r="N2209"/>
      <c r="O2209"/>
    </row>
    <row r="2210" spans="1:15" hidden="1" x14ac:dyDescent="0.25">
      <c r="A2210" t="s">
        <v>106</v>
      </c>
      <c r="B2210" t="s">
        <v>115</v>
      </c>
      <c r="C2210" t="b">
        <v>0</v>
      </c>
      <c r="D2210" s="1">
        <v>38838</v>
      </c>
      <c r="E2210">
        <v>5</v>
      </c>
      <c r="F2210"/>
      <c r="G2210"/>
      <c r="H2210"/>
      <c r="I2210"/>
      <c r="J2210"/>
      <c r="K2210"/>
      <c r="L2210"/>
      <c r="M2210"/>
      <c r="N2210"/>
      <c r="O2210"/>
    </row>
    <row r="2211" spans="1:15" hidden="1" x14ac:dyDescent="0.25">
      <c r="A2211" t="s">
        <v>24</v>
      </c>
      <c r="B2211" t="s">
        <v>115</v>
      </c>
      <c r="C2211" t="b">
        <v>0</v>
      </c>
      <c r="D2211" s="1">
        <v>38838</v>
      </c>
      <c r="E2211">
        <v>5</v>
      </c>
      <c r="F2211"/>
      <c r="G2211"/>
      <c r="H2211"/>
      <c r="I2211"/>
      <c r="J2211"/>
      <c r="K2211"/>
      <c r="L2211"/>
      <c r="M2211"/>
      <c r="N2211"/>
      <c r="O2211"/>
    </row>
    <row r="2212" spans="1:15" hidden="1" x14ac:dyDescent="0.25">
      <c r="A2212" t="s">
        <v>30</v>
      </c>
      <c r="B2212" t="s">
        <v>115</v>
      </c>
      <c r="C2212" t="b">
        <v>0</v>
      </c>
      <c r="D2212" s="1">
        <v>38838</v>
      </c>
      <c r="E2212">
        <v>5</v>
      </c>
      <c r="F2212"/>
      <c r="G2212"/>
      <c r="H2212"/>
      <c r="I2212"/>
      <c r="J2212"/>
      <c r="K2212"/>
      <c r="L2212"/>
      <c r="M2212"/>
      <c r="N2212"/>
      <c r="O2212"/>
    </row>
    <row r="2213" spans="1:15" hidden="1" x14ac:dyDescent="0.25">
      <c r="A2213" t="s">
        <v>39</v>
      </c>
      <c r="B2213" t="s">
        <v>115</v>
      </c>
      <c r="C2213" t="b">
        <v>0</v>
      </c>
      <c r="D2213" s="1">
        <v>38838</v>
      </c>
      <c r="E2213">
        <v>5</v>
      </c>
      <c r="F2213"/>
      <c r="G2213"/>
      <c r="H2213"/>
      <c r="I2213"/>
      <c r="J2213"/>
      <c r="K2213"/>
      <c r="L2213"/>
      <c r="M2213"/>
      <c r="N2213"/>
      <c r="O2213"/>
    </row>
    <row r="2214" spans="1:15" hidden="1" x14ac:dyDescent="0.25">
      <c r="A2214" t="s">
        <v>57</v>
      </c>
      <c r="B2214" t="s">
        <v>115</v>
      </c>
      <c r="C2214" t="b">
        <v>0</v>
      </c>
      <c r="D2214" s="1">
        <v>38838</v>
      </c>
      <c r="E2214">
        <v>5</v>
      </c>
      <c r="F2214"/>
      <c r="G2214"/>
      <c r="H2214"/>
      <c r="I2214"/>
      <c r="J2214"/>
      <c r="K2214"/>
      <c r="L2214"/>
      <c r="M2214"/>
      <c r="N2214"/>
      <c r="O2214"/>
    </row>
    <row r="2215" spans="1:15" hidden="1" x14ac:dyDescent="0.25">
      <c r="A2215" t="s">
        <v>69</v>
      </c>
      <c r="B2215" t="s">
        <v>115</v>
      </c>
      <c r="C2215" t="b">
        <v>0</v>
      </c>
      <c r="D2215" s="1">
        <v>38838</v>
      </c>
      <c r="E2215">
        <v>5</v>
      </c>
      <c r="F2215"/>
      <c r="G2215"/>
      <c r="H2215"/>
      <c r="I2215"/>
      <c r="J2215"/>
      <c r="K2215"/>
      <c r="L2215"/>
      <c r="M2215"/>
      <c r="N2215"/>
      <c r="O2215"/>
    </row>
    <row r="2216" spans="1:15" hidden="1" x14ac:dyDescent="0.25">
      <c r="A2216" t="s">
        <v>71</v>
      </c>
      <c r="B2216" t="s">
        <v>115</v>
      </c>
      <c r="C2216" t="b">
        <v>0</v>
      </c>
      <c r="D2216" s="1">
        <v>38838</v>
      </c>
      <c r="E2216">
        <v>5</v>
      </c>
      <c r="F2216"/>
      <c r="G2216"/>
      <c r="H2216"/>
      <c r="I2216"/>
      <c r="J2216"/>
      <c r="K2216"/>
      <c r="L2216"/>
      <c r="M2216"/>
      <c r="N2216"/>
      <c r="O2216"/>
    </row>
    <row r="2217" spans="1:15" hidden="1" x14ac:dyDescent="0.25">
      <c r="A2217" t="s">
        <v>86</v>
      </c>
      <c r="B2217" t="s">
        <v>115</v>
      </c>
      <c r="C2217" t="b">
        <v>0</v>
      </c>
      <c r="D2217" s="1">
        <v>38838</v>
      </c>
      <c r="E2217">
        <v>5</v>
      </c>
      <c r="F2217"/>
      <c r="G2217"/>
      <c r="H2217"/>
      <c r="I2217"/>
      <c r="J2217"/>
      <c r="K2217"/>
      <c r="L2217"/>
      <c r="M2217"/>
      <c r="N2217"/>
      <c r="O2217"/>
    </row>
    <row r="2218" spans="1:15" hidden="1" x14ac:dyDescent="0.25">
      <c r="A2218" t="s">
        <v>90</v>
      </c>
      <c r="B2218" t="s">
        <v>115</v>
      </c>
      <c r="C2218" t="b">
        <v>0</v>
      </c>
      <c r="D2218" s="1">
        <v>38838</v>
      </c>
      <c r="E2218">
        <v>5</v>
      </c>
      <c r="F2218"/>
      <c r="G2218"/>
      <c r="H2218"/>
      <c r="I2218"/>
      <c r="J2218"/>
      <c r="K2218"/>
      <c r="L2218"/>
      <c r="M2218"/>
      <c r="N2218"/>
      <c r="O2218"/>
    </row>
    <row r="2219" spans="1:15" hidden="1" x14ac:dyDescent="0.25">
      <c r="A2219" t="s">
        <v>99</v>
      </c>
      <c r="B2219" t="s">
        <v>114</v>
      </c>
      <c r="C2219" t="b">
        <v>0</v>
      </c>
      <c r="D2219" s="1">
        <v>38838</v>
      </c>
      <c r="E2219">
        <v>6.6</v>
      </c>
      <c r="F2219"/>
      <c r="G2219"/>
      <c r="H2219"/>
      <c r="I2219"/>
      <c r="J2219"/>
      <c r="K2219"/>
      <c r="L2219"/>
      <c r="M2219"/>
      <c r="N2219"/>
      <c r="O2219"/>
    </row>
    <row r="2220" spans="1:15" hidden="1" x14ac:dyDescent="0.25">
      <c r="A2220" t="s">
        <v>101</v>
      </c>
      <c r="B2220" t="s">
        <v>117</v>
      </c>
      <c r="C2220" t="b">
        <v>0</v>
      </c>
      <c r="D2220" s="1">
        <v>38869</v>
      </c>
      <c r="E2220" s="2">
        <v>-27.599999999999998</v>
      </c>
      <c r="F2220"/>
      <c r="G2220"/>
      <c r="H2220"/>
      <c r="I2220"/>
      <c r="J2220"/>
      <c r="K2220"/>
      <c r="L2220"/>
      <c r="M2220"/>
      <c r="N2220"/>
      <c r="O2220"/>
    </row>
    <row r="2221" spans="1:15" hidden="1" x14ac:dyDescent="0.25">
      <c r="A2221" t="s">
        <v>14</v>
      </c>
      <c r="B2221" t="s">
        <v>115</v>
      </c>
      <c r="C2221" t="b">
        <v>0</v>
      </c>
      <c r="D2221" s="1">
        <v>38869</v>
      </c>
      <c r="E2221">
        <v>5</v>
      </c>
      <c r="F2221"/>
      <c r="G2221"/>
      <c r="H2221"/>
      <c r="I2221"/>
      <c r="J2221"/>
      <c r="K2221"/>
      <c r="L2221"/>
      <c r="M2221"/>
      <c r="N2221"/>
      <c r="O2221"/>
    </row>
    <row r="2222" spans="1:15" hidden="1" x14ac:dyDescent="0.25">
      <c r="A2222" t="s">
        <v>18</v>
      </c>
      <c r="B2222" t="s">
        <v>115</v>
      </c>
      <c r="C2222" t="b">
        <v>0</v>
      </c>
      <c r="D2222" s="1">
        <v>38869</v>
      </c>
      <c r="E2222">
        <v>5</v>
      </c>
      <c r="F2222"/>
      <c r="G2222"/>
      <c r="H2222"/>
      <c r="I2222"/>
      <c r="J2222"/>
      <c r="K2222"/>
      <c r="L2222"/>
      <c r="M2222"/>
      <c r="N2222"/>
      <c r="O2222"/>
    </row>
    <row r="2223" spans="1:15" hidden="1" x14ac:dyDescent="0.25">
      <c r="A2223" t="s">
        <v>106</v>
      </c>
      <c r="B2223" t="s">
        <v>115</v>
      </c>
      <c r="C2223" t="b">
        <v>0</v>
      </c>
      <c r="D2223" s="1">
        <v>38869</v>
      </c>
      <c r="E2223">
        <v>5</v>
      </c>
      <c r="F2223"/>
      <c r="G2223"/>
      <c r="H2223"/>
      <c r="I2223"/>
      <c r="J2223"/>
      <c r="K2223"/>
      <c r="L2223"/>
      <c r="M2223"/>
      <c r="N2223"/>
      <c r="O2223"/>
    </row>
    <row r="2224" spans="1:15" hidden="1" x14ac:dyDescent="0.25">
      <c r="A2224" t="s">
        <v>106</v>
      </c>
      <c r="B2224" t="s">
        <v>115</v>
      </c>
      <c r="C2224" t="b">
        <v>0</v>
      </c>
      <c r="D2224" s="1">
        <v>38869</v>
      </c>
      <c r="E2224">
        <v>5</v>
      </c>
      <c r="F2224"/>
      <c r="G2224"/>
      <c r="H2224"/>
      <c r="I2224"/>
      <c r="J2224"/>
      <c r="K2224"/>
      <c r="L2224"/>
      <c r="M2224"/>
      <c r="N2224"/>
      <c r="O2224"/>
    </row>
    <row r="2225" spans="1:15" hidden="1" x14ac:dyDescent="0.25">
      <c r="A2225" t="s">
        <v>106</v>
      </c>
      <c r="B2225" t="s">
        <v>115</v>
      </c>
      <c r="C2225" t="b">
        <v>0</v>
      </c>
      <c r="D2225" s="1">
        <v>38869</v>
      </c>
      <c r="E2225">
        <v>5</v>
      </c>
      <c r="F2225"/>
      <c r="G2225"/>
      <c r="H2225"/>
      <c r="I2225"/>
      <c r="J2225"/>
      <c r="K2225"/>
      <c r="L2225"/>
      <c r="M2225"/>
      <c r="N2225"/>
      <c r="O2225"/>
    </row>
    <row r="2226" spans="1:15" hidden="1" x14ac:dyDescent="0.25">
      <c r="A2226" t="s">
        <v>106</v>
      </c>
      <c r="B2226" t="s">
        <v>115</v>
      </c>
      <c r="C2226" t="b">
        <v>0</v>
      </c>
      <c r="D2226" s="1">
        <v>38869</v>
      </c>
      <c r="E2226">
        <v>5</v>
      </c>
      <c r="F2226"/>
      <c r="G2226"/>
      <c r="H2226"/>
      <c r="I2226"/>
      <c r="J2226"/>
      <c r="K2226"/>
      <c r="L2226"/>
      <c r="M2226"/>
      <c r="N2226"/>
      <c r="O2226"/>
    </row>
    <row r="2227" spans="1:15" hidden="1" x14ac:dyDescent="0.25">
      <c r="A2227" t="s">
        <v>106</v>
      </c>
      <c r="B2227" t="s">
        <v>115</v>
      </c>
      <c r="C2227" t="b">
        <v>0</v>
      </c>
      <c r="D2227" s="1">
        <v>38869</v>
      </c>
      <c r="E2227">
        <v>5</v>
      </c>
      <c r="F2227"/>
      <c r="G2227"/>
      <c r="H2227"/>
      <c r="I2227"/>
      <c r="J2227"/>
      <c r="K2227"/>
      <c r="L2227"/>
      <c r="M2227"/>
      <c r="N2227"/>
      <c r="O2227"/>
    </row>
    <row r="2228" spans="1:15" hidden="1" x14ac:dyDescent="0.25">
      <c r="A2228" t="s">
        <v>106</v>
      </c>
      <c r="B2228" t="s">
        <v>115</v>
      </c>
      <c r="C2228" t="b">
        <v>0</v>
      </c>
      <c r="D2228" s="1">
        <v>38869</v>
      </c>
      <c r="E2228">
        <v>5</v>
      </c>
      <c r="F2228"/>
      <c r="G2228"/>
      <c r="H2228"/>
      <c r="I2228"/>
      <c r="J2228"/>
      <c r="K2228"/>
      <c r="L2228"/>
      <c r="M2228"/>
      <c r="N2228"/>
      <c r="O2228"/>
    </row>
    <row r="2229" spans="1:15" hidden="1" x14ac:dyDescent="0.25">
      <c r="A2229" t="s">
        <v>106</v>
      </c>
      <c r="B2229" t="s">
        <v>115</v>
      </c>
      <c r="C2229" t="b">
        <v>0</v>
      </c>
      <c r="D2229" s="1">
        <v>38869</v>
      </c>
      <c r="E2229">
        <v>5</v>
      </c>
      <c r="F2229"/>
      <c r="G2229"/>
      <c r="H2229"/>
      <c r="I2229"/>
      <c r="J2229"/>
      <c r="K2229"/>
      <c r="L2229"/>
      <c r="M2229"/>
      <c r="N2229"/>
      <c r="O2229"/>
    </row>
    <row r="2230" spans="1:15" hidden="1" x14ac:dyDescent="0.25">
      <c r="A2230" t="s">
        <v>106</v>
      </c>
      <c r="B2230" t="s">
        <v>115</v>
      </c>
      <c r="C2230" t="b">
        <v>0</v>
      </c>
      <c r="D2230" s="1">
        <v>38869</v>
      </c>
      <c r="E2230">
        <v>5</v>
      </c>
      <c r="F2230"/>
      <c r="G2230"/>
      <c r="H2230"/>
      <c r="I2230"/>
      <c r="J2230"/>
      <c r="K2230"/>
      <c r="L2230"/>
      <c r="M2230"/>
      <c r="N2230"/>
      <c r="O2230"/>
    </row>
    <row r="2231" spans="1:15" hidden="1" x14ac:dyDescent="0.25">
      <c r="A2231" t="s">
        <v>106</v>
      </c>
      <c r="B2231" t="s">
        <v>115</v>
      </c>
      <c r="C2231" t="b">
        <v>0</v>
      </c>
      <c r="D2231" s="1">
        <v>38869</v>
      </c>
      <c r="E2231">
        <v>5</v>
      </c>
      <c r="F2231"/>
      <c r="G2231"/>
      <c r="H2231"/>
      <c r="I2231"/>
      <c r="J2231"/>
      <c r="K2231"/>
      <c r="L2231"/>
      <c r="M2231"/>
      <c r="N2231"/>
      <c r="O2231"/>
    </row>
    <row r="2232" spans="1:15" hidden="1" x14ac:dyDescent="0.25">
      <c r="A2232" t="s">
        <v>106</v>
      </c>
      <c r="B2232" t="s">
        <v>115</v>
      </c>
      <c r="C2232" t="b">
        <v>0</v>
      </c>
      <c r="D2232" s="1">
        <v>38869</v>
      </c>
      <c r="E2232">
        <v>5</v>
      </c>
      <c r="F2232"/>
      <c r="G2232"/>
      <c r="H2232"/>
      <c r="I2232"/>
      <c r="J2232"/>
      <c r="K2232"/>
      <c r="L2232"/>
      <c r="M2232"/>
      <c r="N2232"/>
      <c r="O2232"/>
    </row>
    <row r="2233" spans="1:15" hidden="1" x14ac:dyDescent="0.25">
      <c r="A2233" t="s">
        <v>106</v>
      </c>
      <c r="B2233" t="s">
        <v>115</v>
      </c>
      <c r="C2233" t="b">
        <v>0</v>
      </c>
      <c r="D2233" s="1">
        <v>38869</v>
      </c>
      <c r="E2233">
        <v>5</v>
      </c>
      <c r="F2233"/>
      <c r="G2233"/>
      <c r="H2233"/>
      <c r="I2233"/>
      <c r="J2233"/>
      <c r="K2233"/>
      <c r="L2233"/>
      <c r="M2233"/>
      <c r="N2233"/>
      <c r="O2233"/>
    </row>
    <row r="2234" spans="1:15" hidden="1" x14ac:dyDescent="0.25">
      <c r="A2234" t="s">
        <v>106</v>
      </c>
      <c r="B2234" t="s">
        <v>115</v>
      </c>
      <c r="C2234" t="b">
        <v>0</v>
      </c>
      <c r="D2234" s="1">
        <v>38869</v>
      </c>
      <c r="E2234">
        <v>5</v>
      </c>
      <c r="F2234"/>
      <c r="G2234"/>
      <c r="H2234"/>
      <c r="I2234"/>
      <c r="J2234"/>
      <c r="K2234"/>
      <c r="L2234"/>
      <c r="M2234"/>
      <c r="N2234"/>
      <c r="O2234"/>
    </row>
    <row r="2235" spans="1:15" hidden="1" x14ac:dyDescent="0.25">
      <c r="A2235" t="s">
        <v>106</v>
      </c>
      <c r="B2235" t="s">
        <v>115</v>
      </c>
      <c r="C2235" t="b">
        <v>0</v>
      </c>
      <c r="D2235" s="1">
        <v>38869</v>
      </c>
      <c r="E2235">
        <v>5</v>
      </c>
      <c r="F2235"/>
      <c r="G2235"/>
      <c r="H2235"/>
      <c r="I2235"/>
      <c r="J2235"/>
      <c r="K2235"/>
      <c r="L2235"/>
      <c r="M2235"/>
      <c r="N2235"/>
      <c r="O2235"/>
    </row>
    <row r="2236" spans="1:15" hidden="1" x14ac:dyDescent="0.25">
      <c r="A2236" t="s">
        <v>106</v>
      </c>
      <c r="B2236" t="s">
        <v>115</v>
      </c>
      <c r="C2236" t="b">
        <v>0</v>
      </c>
      <c r="D2236" s="1">
        <v>38869</v>
      </c>
      <c r="E2236">
        <v>2</v>
      </c>
      <c r="F2236"/>
      <c r="G2236"/>
      <c r="H2236"/>
      <c r="I2236"/>
      <c r="J2236"/>
      <c r="K2236"/>
      <c r="L2236"/>
      <c r="M2236"/>
      <c r="N2236"/>
      <c r="O2236"/>
    </row>
    <row r="2237" spans="1:15" hidden="1" x14ac:dyDescent="0.25">
      <c r="A2237" t="s">
        <v>24</v>
      </c>
      <c r="B2237" t="s">
        <v>115</v>
      </c>
      <c r="C2237" t="b">
        <v>0</v>
      </c>
      <c r="D2237" s="1">
        <v>38869</v>
      </c>
      <c r="E2237">
        <v>5</v>
      </c>
      <c r="F2237"/>
      <c r="G2237"/>
      <c r="H2237"/>
      <c r="I2237"/>
      <c r="J2237"/>
      <c r="K2237"/>
      <c r="L2237"/>
      <c r="M2237"/>
      <c r="N2237"/>
      <c r="O2237"/>
    </row>
    <row r="2238" spans="1:15" hidden="1" x14ac:dyDescent="0.25">
      <c r="A2238" t="s">
        <v>30</v>
      </c>
      <c r="B2238" t="s">
        <v>115</v>
      </c>
      <c r="C2238" t="b">
        <v>0</v>
      </c>
      <c r="D2238" s="1">
        <v>38869</v>
      </c>
      <c r="E2238">
        <v>5</v>
      </c>
      <c r="F2238"/>
      <c r="G2238"/>
      <c r="H2238"/>
      <c r="I2238"/>
      <c r="J2238"/>
      <c r="K2238"/>
      <c r="L2238"/>
      <c r="M2238"/>
      <c r="N2238"/>
      <c r="O2238"/>
    </row>
    <row r="2239" spans="1:15" hidden="1" x14ac:dyDescent="0.25">
      <c r="A2239" t="s">
        <v>39</v>
      </c>
      <c r="B2239" t="s">
        <v>115</v>
      </c>
      <c r="C2239" t="b">
        <v>0</v>
      </c>
      <c r="D2239" s="1">
        <v>38869</v>
      </c>
      <c r="E2239">
        <v>5</v>
      </c>
      <c r="F2239"/>
      <c r="G2239"/>
      <c r="H2239"/>
      <c r="I2239"/>
      <c r="J2239"/>
      <c r="K2239"/>
      <c r="L2239"/>
      <c r="M2239"/>
      <c r="N2239"/>
      <c r="O2239"/>
    </row>
    <row r="2240" spans="1:15" hidden="1" x14ac:dyDescent="0.25">
      <c r="A2240" t="s">
        <v>57</v>
      </c>
      <c r="B2240" t="s">
        <v>115</v>
      </c>
      <c r="C2240" t="b">
        <v>0</v>
      </c>
      <c r="D2240" s="1">
        <v>38869</v>
      </c>
      <c r="E2240">
        <v>5</v>
      </c>
      <c r="F2240"/>
      <c r="G2240"/>
      <c r="H2240"/>
      <c r="I2240"/>
      <c r="J2240"/>
      <c r="K2240"/>
      <c r="L2240"/>
      <c r="M2240"/>
      <c r="N2240"/>
      <c r="O2240"/>
    </row>
    <row r="2241" spans="1:15" hidden="1" x14ac:dyDescent="0.25">
      <c r="A2241" t="s">
        <v>69</v>
      </c>
      <c r="B2241" t="s">
        <v>115</v>
      </c>
      <c r="C2241" t="b">
        <v>0</v>
      </c>
      <c r="D2241" s="1">
        <v>38869</v>
      </c>
      <c r="E2241">
        <v>5</v>
      </c>
      <c r="F2241"/>
      <c r="G2241"/>
      <c r="H2241"/>
      <c r="I2241"/>
      <c r="J2241"/>
      <c r="K2241"/>
      <c r="L2241"/>
      <c r="M2241"/>
      <c r="N2241"/>
      <c r="O2241"/>
    </row>
    <row r="2242" spans="1:15" hidden="1" x14ac:dyDescent="0.25">
      <c r="A2242" t="s">
        <v>71</v>
      </c>
      <c r="B2242" t="s">
        <v>115</v>
      </c>
      <c r="C2242" t="b">
        <v>0</v>
      </c>
      <c r="D2242" s="1">
        <v>38869</v>
      </c>
      <c r="E2242">
        <v>5</v>
      </c>
      <c r="F2242"/>
      <c r="G2242"/>
      <c r="H2242"/>
      <c r="I2242"/>
      <c r="J2242"/>
      <c r="K2242"/>
      <c r="L2242"/>
      <c r="M2242"/>
      <c r="N2242"/>
      <c r="O2242"/>
    </row>
    <row r="2243" spans="1:15" hidden="1" x14ac:dyDescent="0.25">
      <c r="A2243" t="s">
        <v>86</v>
      </c>
      <c r="B2243" t="s">
        <v>115</v>
      </c>
      <c r="C2243" t="b">
        <v>0</v>
      </c>
      <c r="D2243" s="1">
        <v>38869</v>
      </c>
      <c r="E2243">
        <v>5</v>
      </c>
      <c r="F2243"/>
      <c r="G2243"/>
      <c r="H2243"/>
      <c r="I2243"/>
      <c r="J2243"/>
      <c r="K2243"/>
      <c r="L2243"/>
      <c r="M2243"/>
      <c r="N2243"/>
      <c r="O2243"/>
    </row>
    <row r="2244" spans="1:15" hidden="1" x14ac:dyDescent="0.25">
      <c r="A2244" t="s">
        <v>90</v>
      </c>
      <c r="B2244" t="s">
        <v>115</v>
      </c>
      <c r="C2244" t="b">
        <v>0</v>
      </c>
      <c r="D2244" s="1">
        <v>38869</v>
      </c>
      <c r="E2244">
        <v>5</v>
      </c>
      <c r="F2244"/>
      <c r="G2244"/>
      <c r="H2244"/>
      <c r="I2244"/>
      <c r="J2244"/>
      <c r="K2244"/>
      <c r="L2244"/>
      <c r="M2244"/>
      <c r="N2244"/>
      <c r="O2244"/>
    </row>
    <row r="2245" spans="1:15" hidden="1" x14ac:dyDescent="0.25">
      <c r="A2245" t="s">
        <v>99</v>
      </c>
      <c r="B2245" t="s">
        <v>114</v>
      </c>
      <c r="C2245" t="b">
        <v>0</v>
      </c>
      <c r="D2245" s="1">
        <v>38869</v>
      </c>
      <c r="E2245">
        <v>20.25</v>
      </c>
      <c r="F2245"/>
      <c r="G2245"/>
      <c r="H2245"/>
      <c r="I2245"/>
      <c r="J2245"/>
      <c r="K2245"/>
      <c r="L2245"/>
      <c r="M2245"/>
      <c r="N2245"/>
      <c r="O2245"/>
    </row>
    <row r="2246" spans="1:15" hidden="1" x14ac:dyDescent="0.25">
      <c r="A2246" t="s">
        <v>100</v>
      </c>
      <c r="B2246" t="s">
        <v>117</v>
      </c>
      <c r="C2246" t="b">
        <v>0</v>
      </c>
      <c r="D2246" s="1">
        <v>38899</v>
      </c>
      <c r="E2246" s="2">
        <v>-137.76</v>
      </c>
      <c r="F2246"/>
      <c r="G2246"/>
      <c r="H2246"/>
      <c r="I2246"/>
      <c r="J2246"/>
      <c r="K2246"/>
      <c r="L2246"/>
      <c r="M2246"/>
      <c r="N2246"/>
      <c r="O2246"/>
    </row>
    <row r="2247" spans="1:15" hidden="1" x14ac:dyDescent="0.25">
      <c r="A2247" t="s">
        <v>101</v>
      </c>
      <c r="B2247" t="s">
        <v>117</v>
      </c>
      <c r="C2247" t="b">
        <v>0</v>
      </c>
      <c r="D2247" s="1">
        <v>38899</v>
      </c>
      <c r="E2247" s="2">
        <v>-0.24</v>
      </c>
      <c r="F2247"/>
      <c r="G2247"/>
      <c r="H2247"/>
      <c r="I2247"/>
      <c r="J2247"/>
      <c r="K2247"/>
      <c r="L2247"/>
      <c r="M2247"/>
      <c r="N2247"/>
      <c r="O2247"/>
    </row>
    <row r="2248" spans="1:15" hidden="1" x14ac:dyDescent="0.25">
      <c r="A2248" t="s">
        <v>14</v>
      </c>
      <c r="B2248" t="s">
        <v>115</v>
      </c>
      <c r="C2248" t="b">
        <v>0</v>
      </c>
      <c r="D2248" s="1">
        <v>38899</v>
      </c>
      <c r="E2248">
        <v>5</v>
      </c>
      <c r="F2248"/>
      <c r="G2248"/>
      <c r="H2248"/>
      <c r="I2248"/>
      <c r="J2248"/>
      <c r="K2248"/>
      <c r="L2248"/>
      <c r="M2248"/>
      <c r="N2248"/>
      <c r="O2248"/>
    </row>
    <row r="2249" spans="1:15" hidden="1" x14ac:dyDescent="0.25">
      <c r="A2249" t="s">
        <v>18</v>
      </c>
      <c r="B2249" t="s">
        <v>115</v>
      </c>
      <c r="C2249" t="b">
        <v>0</v>
      </c>
      <c r="D2249" s="1">
        <v>38899</v>
      </c>
      <c r="E2249">
        <v>5</v>
      </c>
      <c r="F2249"/>
      <c r="G2249"/>
      <c r="H2249"/>
      <c r="I2249"/>
      <c r="J2249"/>
      <c r="K2249"/>
      <c r="L2249"/>
      <c r="M2249"/>
      <c r="N2249"/>
      <c r="O2249"/>
    </row>
    <row r="2250" spans="1:15" hidden="1" x14ac:dyDescent="0.25">
      <c r="A2250" t="s">
        <v>106</v>
      </c>
      <c r="B2250" t="s">
        <v>115</v>
      </c>
      <c r="C2250" t="b">
        <v>0</v>
      </c>
      <c r="D2250" s="1">
        <v>38899</v>
      </c>
      <c r="E2250">
        <v>5</v>
      </c>
      <c r="F2250"/>
      <c r="G2250"/>
      <c r="H2250"/>
      <c r="I2250"/>
      <c r="J2250"/>
      <c r="K2250"/>
      <c r="L2250"/>
      <c r="M2250"/>
      <c r="N2250"/>
      <c r="O2250"/>
    </row>
    <row r="2251" spans="1:15" hidden="1" x14ac:dyDescent="0.25">
      <c r="A2251" t="s">
        <v>106</v>
      </c>
      <c r="B2251" t="s">
        <v>115</v>
      </c>
      <c r="C2251" t="b">
        <v>0</v>
      </c>
      <c r="D2251" s="1">
        <v>38899</v>
      </c>
      <c r="E2251">
        <v>5</v>
      </c>
      <c r="F2251"/>
      <c r="G2251"/>
      <c r="H2251"/>
      <c r="I2251"/>
      <c r="J2251"/>
      <c r="K2251"/>
      <c r="L2251"/>
      <c r="M2251"/>
      <c r="N2251"/>
      <c r="O2251"/>
    </row>
    <row r="2252" spans="1:15" hidden="1" x14ac:dyDescent="0.25">
      <c r="A2252" t="s">
        <v>106</v>
      </c>
      <c r="B2252" t="s">
        <v>115</v>
      </c>
      <c r="C2252" t="b">
        <v>0</v>
      </c>
      <c r="D2252" s="1">
        <v>38899</v>
      </c>
      <c r="E2252">
        <v>5</v>
      </c>
      <c r="F2252"/>
      <c r="G2252"/>
      <c r="H2252"/>
      <c r="I2252"/>
      <c r="J2252"/>
      <c r="K2252"/>
      <c r="L2252"/>
      <c r="M2252"/>
      <c r="N2252"/>
      <c r="O2252"/>
    </row>
    <row r="2253" spans="1:15" hidden="1" x14ac:dyDescent="0.25">
      <c r="A2253" t="s">
        <v>106</v>
      </c>
      <c r="B2253" t="s">
        <v>115</v>
      </c>
      <c r="C2253" t="b">
        <v>0</v>
      </c>
      <c r="D2253" s="1">
        <v>38899</v>
      </c>
      <c r="E2253">
        <v>5</v>
      </c>
      <c r="F2253"/>
      <c r="G2253"/>
      <c r="H2253"/>
      <c r="I2253"/>
      <c r="J2253"/>
      <c r="K2253"/>
      <c r="L2253"/>
      <c r="M2253"/>
      <c r="N2253"/>
      <c r="O2253"/>
    </row>
    <row r="2254" spans="1:15" hidden="1" x14ac:dyDescent="0.25">
      <c r="A2254" t="s">
        <v>106</v>
      </c>
      <c r="B2254" t="s">
        <v>115</v>
      </c>
      <c r="C2254" t="b">
        <v>0</v>
      </c>
      <c r="D2254" s="1">
        <v>38899</v>
      </c>
      <c r="E2254">
        <v>5</v>
      </c>
      <c r="F2254"/>
      <c r="G2254"/>
      <c r="H2254"/>
      <c r="I2254"/>
      <c r="J2254"/>
      <c r="K2254"/>
      <c r="L2254"/>
      <c r="M2254"/>
      <c r="N2254"/>
      <c r="O2254"/>
    </row>
    <row r="2255" spans="1:15" hidden="1" x14ac:dyDescent="0.25">
      <c r="A2255" t="s">
        <v>106</v>
      </c>
      <c r="B2255" t="s">
        <v>115</v>
      </c>
      <c r="C2255" t="b">
        <v>0</v>
      </c>
      <c r="D2255" s="1">
        <v>38899</v>
      </c>
      <c r="E2255">
        <v>5</v>
      </c>
      <c r="F2255"/>
      <c r="G2255"/>
      <c r="H2255"/>
      <c r="I2255"/>
      <c r="J2255"/>
      <c r="K2255"/>
      <c r="L2255"/>
      <c r="M2255"/>
      <c r="N2255"/>
      <c r="O2255"/>
    </row>
    <row r="2256" spans="1:15" hidden="1" x14ac:dyDescent="0.25">
      <c r="A2256" t="s">
        <v>106</v>
      </c>
      <c r="B2256" t="s">
        <v>115</v>
      </c>
      <c r="C2256" t="b">
        <v>0</v>
      </c>
      <c r="D2256" s="1">
        <v>38899</v>
      </c>
      <c r="E2256">
        <v>5</v>
      </c>
      <c r="F2256"/>
      <c r="G2256"/>
      <c r="H2256"/>
      <c r="I2256"/>
      <c r="J2256"/>
      <c r="K2256"/>
      <c r="L2256"/>
      <c r="M2256"/>
      <c r="N2256"/>
      <c r="O2256"/>
    </row>
    <row r="2257" spans="1:15" hidden="1" x14ac:dyDescent="0.25">
      <c r="A2257" t="s">
        <v>106</v>
      </c>
      <c r="B2257" t="s">
        <v>115</v>
      </c>
      <c r="C2257" t="b">
        <v>0</v>
      </c>
      <c r="D2257" s="1">
        <v>38899</v>
      </c>
      <c r="E2257">
        <v>5</v>
      </c>
      <c r="F2257"/>
      <c r="G2257"/>
      <c r="H2257"/>
      <c r="I2257"/>
      <c r="J2257"/>
      <c r="K2257"/>
      <c r="L2257"/>
      <c r="M2257"/>
      <c r="N2257"/>
      <c r="O2257"/>
    </row>
    <row r="2258" spans="1:15" hidden="1" x14ac:dyDescent="0.25">
      <c r="A2258" t="s">
        <v>106</v>
      </c>
      <c r="B2258" t="s">
        <v>115</v>
      </c>
      <c r="C2258" t="b">
        <v>0</v>
      </c>
      <c r="D2258" s="1">
        <v>38899</v>
      </c>
      <c r="E2258">
        <v>5</v>
      </c>
      <c r="F2258"/>
      <c r="G2258"/>
      <c r="H2258"/>
      <c r="I2258"/>
      <c r="J2258"/>
      <c r="K2258"/>
      <c r="L2258"/>
      <c r="M2258"/>
      <c r="N2258"/>
      <c r="O2258"/>
    </row>
    <row r="2259" spans="1:15" hidden="1" x14ac:dyDescent="0.25">
      <c r="A2259" t="s">
        <v>106</v>
      </c>
      <c r="B2259" t="s">
        <v>115</v>
      </c>
      <c r="C2259" t="b">
        <v>0</v>
      </c>
      <c r="D2259" s="1">
        <v>38899</v>
      </c>
      <c r="E2259">
        <v>5</v>
      </c>
      <c r="F2259"/>
      <c r="G2259"/>
      <c r="H2259"/>
      <c r="I2259"/>
      <c r="J2259"/>
      <c r="K2259"/>
      <c r="L2259"/>
      <c r="M2259"/>
      <c r="N2259"/>
      <c r="O2259"/>
    </row>
    <row r="2260" spans="1:15" hidden="1" x14ac:dyDescent="0.25">
      <c r="A2260" t="s">
        <v>106</v>
      </c>
      <c r="B2260" t="s">
        <v>115</v>
      </c>
      <c r="C2260" t="b">
        <v>0</v>
      </c>
      <c r="D2260" s="1">
        <v>38899</v>
      </c>
      <c r="E2260">
        <v>5</v>
      </c>
      <c r="F2260"/>
      <c r="G2260"/>
      <c r="H2260"/>
      <c r="I2260"/>
      <c r="J2260"/>
      <c r="K2260"/>
      <c r="L2260"/>
      <c r="M2260"/>
      <c r="N2260"/>
      <c r="O2260"/>
    </row>
    <row r="2261" spans="1:15" hidden="1" x14ac:dyDescent="0.25">
      <c r="A2261" t="s">
        <v>106</v>
      </c>
      <c r="B2261" t="s">
        <v>115</v>
      </c>
      <c r="C2261" t="b">
        <v>0</v>
      </c>
      <c r="D2261" s="1">
        <v>38899</v>
      </c>
      <c r="E2261">
        <v>5</v>
      </c>
      <c r="F2261"/>
      <c r="G2261"/>
      <c r="H2261"/>
      <c r="I2261"/>
      <c r="J2261"/>
      <c r="K2261"/>
      <c r="L2261"/>
      <c r="M2261"/>
      <c r="N2261"/>
      <c r="O2261"/>
    </row>
    <row r="2262" spans="1:15" hidden="1" x14ac:dyDescent="0.25">
      <c r="A2262" t="s">
        <v>106</v>
      </c>
      <c r="B2262" t="s">
        <v>115</v>
      </c>
      <c r="C2262" t="b">
        <v>0</v>
      </c>
      <c r="D2262" s="1">
        <v>38899</v>
      </c>
      <c r="E2262">
        <v>5</v>
      </c>
      <c r="F2262"/>
      <c r="G2262"/>
      <c r="H2262"/>
      <c r="I2262"/>
      <c r="J2262"/>
      <c r="K2262"/>
      <c r="L2262"/>
      <c r="M2262"/>
      <c r="N2262"/>
      <c r="O2262"/>
    </row>
    <row r="2263" spans="1:15" hidden="1" x14ac:dyDescent="0.25">
      <c r="A2263" t="s">
        <v>106</v>
      </c>
      <c r="B2263" t="s">
        <v>115</v>
      </c>
      <c r="C2263" t="b">
        <v>0</v>
      </c>
      <c r="D2263" s="1">
        <v>38899</v>
      </c>
      <c r="E2263">
        <v>5</v>
      </c>
      <c r="F2263"/>
      <c r="G2263"/>
      <c r="H2263"/>
      <c r="I2263"/>
      <c r="J2263"/>
      <c r="K2263"/>
      <c r="L2263"/>
      <c r="M2263"/>
      <c r="N2263"/>
      <c r="O2263"/>
    </row>
    <row r="2264" spans="1:15" hidden="1" x14ac:dyDescent="0.25">
      <c r="A2264" t="s">
        <v>106</v>
      </c>
      <c r="B2264" t="s">
        <v>115</v>
      </c>
      <c r="C2264" t="b">
        <v>0</v>
      </c>
      <c r="D2264" s="1">
        <v>38899</v>
      </c>
      <c r="E2264">
        <v>5</v>
      </c>
      <c r="F2264"/>
      <c r="G2264"/>
      <c r="H2264"/>
      <c r="I2264"/>
      <c r="J2264"/>
      <c r="K2264"/>
      <c r="L2264"/>
      <c r="M2264"/>
      <c r="N2264"/>
      <c r="O2264"/>
    </row>
    <row r="2265" spans="1:15" hidden="1" x14ac:dyDescent="0.25">
      <c r="A2265" t="s">
        <v>24</v>
      </c>
      <c r="B2265" t="s">
        <v>115</v>
      </c>
      <c r="C2265" t="b">
        <v>0</v>
      </c>
      <c r="D2265" s="1">
        <v>38899</v>
      </c>
      <c r="E2265">
        <v>5</v>
      </c>
      <c r="F2265"/>
      <c r="G2265"/>
      <c r="H2265"/>
      <c r="I2265"/>
      <c r="J2265"/>
      <c r="K2265"/>
      <c r="L2265"/>
      <c r="M2265"/>
      <c r="N2265"/>
      <c r="O2265"/>
    </row>
    <row r="2266" spans="1:15" hidden="1" x14ac:dyDescent="0.25">
      <c r="A2266" t="s">
        <v>30</v>
      </c>
      <c r="B2266" t="s">
        <v>115</v>
      </c>
      <c r="C2266" t="b">
        <v>0</v>
      </c>
      <c r="D2266" s="1">
        <v>38899</v>
      </c>
      <c r="E2266">
        <v>5</v>
      </c>
      <c r="F2266"/>
      <c r="G2266"/>
      <c r="H2266"/>
      <c r="I2266"/>
      <c r="J2266"/>
      <c r="K2266"/>
      <c r="L2266"/>
      <c r="M2266"/>
      <c r="N2266"/>
      <c r="O2266"/>
    </row>
    <row r="2267" spans="1:15" hidden="1" x14ac:dyDescent="0.25">
      <c r="A2267" t="s">
        <v>39</v>
      </c>
      <c r="B2267" t="s">
        <v>115</v>
      </c>
      <c r="C2267" t="b">
        <v>0</v>
      </c>
      <c r="D2267" s="1">
        <v>38899</v>
      </c>
      <c r="E2267">
        <v>5</v>
      </c>
      <c r="F2267"/>
      <c r="G2267"/>
      <c r="H2267"/>
      <c r="I2267"/>
      <c r="J2267"/>
      <c r="K2267"/>
      <c r="L2267"/>
      <c r="M2267"/>
      <c r="N2267"/>
      <c r="O2267"/>
    </row>
    <row r="2268" spans="1:15" hidden="1" x14ac:dyDescent="0.25">
      <c r="A2268" t="s">
        <v>57</v>
      </c>
      <c r="B2268" t="s">
        <v>115</v>
      </c>
      <c r="C2268" t="b">
        <v>0</v>
      </c>
      <c r="D2268" s="1">
        <v>38899</v>
      </c>
      <c r="E2268">
        <v>5</v>
      </c>
      <c r="F2268"/>
      <c r="G2268"/>
      <c r="H2268"/>
      <c r="I2268"/>
      <c r="J2268"/>
      <c r="K2268"/>
      <c r="L2268"/>
      <c r="M2268"/>
      <c r="N2268"/>
      <c r="O2268"/>
    </row>
    <row r="2269" spans="1:15" hidden="1" x14ac:dyDescent="0.25">
      <c r="A2269" t="s">
        <v>69</v>
      </c>
      <c r="B2269" t="s">
        <v>115</v>
      </c>
      <c r="C2269" t="b">
        <v>0</v>
      </c>
      <c r="D2269" s="1">
        <v>38899</v>
      </c>
      <c r="E2269">
        <v>5</v>
      </c>
      <c r="F2269"/>
      <c r="G2269"/>
      <c r="H2269"/>
      <c r="I2269"/>
      <c r="J2269"/>
      <c r="K2269"/>
      <c r="L2269"/>
      <c r="M2269"/>
      <c r="N2269"/>
      <c r="O2269"/>
    </row>
    <row r="2270" spans="1:15" hidden="1" x14ac:dyDescent="0.25">
      <c r="A2270" t="s">
        <v>86</v>
      </c>
      <c r="B2270" t="s">
        <v>115</v>
      </c>
      <c r="C2270" t="b">
        <v>0</v>
      </c>
      <c r="D2270" s="1">
        <v>38899</v>
      </c>
      <c r="E2270">
        <v>5</v>
      </c>
      <c r="F2270"/>
      <c r="G2270"/>
      <c r="H2270"/>
      <c r="I2270"/>
      <c r="J2270"/>
      <c r="K2270"/>
      <c r="L2270"/>
      <c r="M2270"/>
      <c r="N2270"/>
      <c r="O2270"/>
    </row>
    <row r="2271" spans="1:15" hidden="1" x14ac:dyDescent="0.25">
      <c r="A2271" t="s">
        <v>90</v>
      </c>
      <c r="B2271" t="s">
        <v>115</v>
      </c>
      <c r="C2271" t="b">
        <v>0</v>
      </c>
      <c r="D2271" s="1">
        <v>38899</v>
      </c>
      <c r="E2271">
        <v>5</v>
      </c>
      <c r="F2271"/>
      <c r="G2271"/>
      <c r="H2271"/>
      <c r="I2271"/>
      <c r="J2271"/>
      <c r="K2271"/>
      <c r="L2271"/>
      <c r="M2271"/>
      <c r="N2271"/>
      <c r="O2271"/>
    </row>
    <row r="2272" spans="1:15" hidden="1" x14ac:dyDescent="0.25">
      <c r="A2272" t="s">
        <v>99</v>
      </c>
      <c r="B2272" t="s">
        <v>114</v>
      </c>
      <c r="C2272" t="b">
        <v>0</v>
      </c>
      <c r="D2272" s="1">
        <v>38899</v>
      </c>
      <c r="E2272">
        <v>19.98</v>
      </c>
      <c r="F2272"/>
      <c r="G2272"/>
      <c r="H2272"/>
      <c r="I2272"/>
      <c r="J2272"/>
      <c r="K2272"/>
      <c r="L2272"/>
      <c r="M2272"/>
      <c r="N2272"/>
      <c r="O2272"/>
    </row>
    <row r="2273" spans="1:15" hidden="1" x14ac:dyDescent="0.25">
      <c r="A2273" t="s">
        <v>100</v>
      </c>
      <c r="B2273" t="s">
        <v>117</v>
      </c>
      <c r="C2273" t="b">
        <v>0</v>
      </c>
      <c r="D2273" s="1">
        <v>38930</v>
      </c>
      <c r="E2273" s="2">
        <v>-190.63</v>
      </c>
      <c r="F2273"/>
      <c r="G2273"/>
      <c r="H2273"/>
      <c r="I2273"/>
      <c r="J2273"/>
      <c r="K2273"/>
      <c r="L2273"/>
      <c r="M2273"/>
      <c r="N2273"/>
      <c r="O2273"/>
    </row>
    <row r="2274" spans="1:15" hidden="1" x14ac:dyDescent="0.25">
      <c r="A2274" t="s">
        <v>101</v>
      </c>
      <c r="B2274" t="s">
        <v>117</v>
      </c>
      <c r="C2274" t="b">
        <v>0</v>
      </c>
      <c r="D2274" s="1">
        <v>38930</v>
      </c>
      <c r="E2274" s="2">
        <v>-10</v>
      </c>
      <c r="F2274"/>
      <c r="G2274"/>
      <c r="H2274"/>
      <c r="I2274"/>
      <c r="J2274"/>
      <c r="K2274"/>
      <c r="L2274"/>
      <c r="M2274"/>
      <c r="N2274"/>
      <c r="O2274"/>
    </row>
    <row r="2275" spans="1:15" hidden="1" x14ac:dyDescent="0.25">
      <c r="A2275" t="s">
        <v>14</v>
      </c>
      <c r="B2275" t="s">
        <v>115</v>
      </c>
      <c r="C2275" t="b">
        <v>0</v>
      </c>
      <c r="D2275" s="1">
        <v>38930</v>
      </c>
      <c r="E2275">
        <v>5</v>
      </c>
      <c r="F2275"/>
      <c r="G2275"/>
      <c r="H2275"/>
      <c r="I2275"/>
      <c r="J2275"/>
      <c r="K2275"/>
      <c r="L2275"/>
      <c r="M2275"/>
      <c r="N2275"/>
      <c r="O2275"/>
    </row>
    <row r="2276" spans="1:15" hidden="1" x14ac:dyDescent="0.25">
      <c r="A2276" t="s">
        <v>18</v>
      </c>
      <c r="B2276" t="s">
        <v>115</v>
      </c>
      <c r="C2276" t="b">
        <v>0</v>
      </c>
      <c r="D2276" s="1">
        <v>38930</v>
      </c>
      <c r="E2276">
        <v>5</v>
      </c>
      <c r="F2276"/>
      <c r="G2276"/>
      <c r="H2276"/>
      <c r="I2276"/>
      <c r="J2276"/>
      <c r="K2276"/>
      <c r="L2276"/>
      <c r="M2276"/>
      <c r="N2276"/>
      <c r="O2276"/>
    </row>
    <row r="2277" spans="1:15" hidden="1" x14ac:dyDescent="0.25">
      <c r="A2277" t="s">
        <v>106</v>
      </c>
      <c r="B2277" t="s">
        <v>115</v>
      </c>
      <c r="C2277" t="b">
        <v>0</v>
      </c>
      <c r="D2277" s="1">
        <v>38930</v>
      </c>
      <c r="E2277">
        <v>5</v>
      </c>
      <c r="F2277"/>
      <c r="G2277"/>
      <c r="H2277"/>
      <c r="I2277"/>
      <c r="J2277"/>
      <c r="K2277"/>
      <c r="L2277"/>
      <c r="M2277"/>
      <c r="N2277"/>
      <c r="O2277"/>
    </row>
    <row r="2278" spans="1:15" hidden="1" x14ac:dyDescent="0.25">
      <c r="A2278" t="s">
        <v>106</v>
      </c>
      <c r="B2278" t="s">
        <v>115</v>
      </c>
      <c r="C2278" t="b">
        <v>0</v>
      </c>
      <c r="D2278" s="1">
        <v>38930</v>
      </c>
      <c r="E2278">
        <v>5</v>
      </c>
      <c r="F2278"/>
      <c r="G2278"/>
      <c r="H2278"/>
      <c r="I2278"/>
      <c r="J2278"/>
      <c r="K2278"/>
      <c r="L2278"/>
      <c r="M2278"/>
      <c r="N2278"/>
      <c r="O2278"/>
    </row>
    <row r="2279" spans="1:15" hidden="1" x14ac:dyDescent="0.25">
      <c r="A2279" t="s">
        <v>106</v>
      </c>
      <c r="B2279" t="s">
        <v>115</v>
      </c>
      <c r="C2279" t="b">
        <v>0</v>
      </c>
      <c r="D2279" s="1">
        <v>38930</v>
      </c>
      <c r="E2279">
        <v>5</v>
      </c>
      <c r="F2279"/>
      <c r="G2279"/>
      <c r="H2279"/>
      <c r="I2279"/>
      <c r="J2279"/>
      <c r="K2279"/>
      <c r="L2279"/>
      <c r="M2279"/>
      <c r="N2279"/>
      <c r="O2279"/>
    </row>
    <row r="2280" spans="1:15" hidden="1" x14ac:dyDescent="0.25">
      <c r="A2280" t="s">
        <v>106</v>
      </c>
      <c r="B2280" t="s">
        <v>115</v>
      </c>
      <c r="C2280" t="b">
        <v>0</v>
      </c>
      <c r="D2280" s="1">
        <v>38930</v>
      </c>
      <c r="E2280">
        <v>5</v>
      </c>
      <c r="F2280"/>
      <c r="G2280"/>
      <c r="H2280"/>
      <c r="I2280"/>
      <c r="J2280"/>
      <c r="K2280"/>
      <c r="L2280"/>
      <c r="M2280"/>
      <c r="N2280"/>
      <c r="O2280"/>
    </row>
    <row r="2281" spans="1:15" hidden="1" x14ac:dyDescent="0.25">
      <c r="A2281" t="s">
        <v>106</v>
      </c>
      <c r="B2281" t="s">
        <v>115</v>
      </c>
      <c r="C2281" t="b">
        <v>0</v>
      </c>
      <c r="D2281" s="1">
        <v>38930</v>
      </c>
      <c r="E2281">
        <v>5</v>
      </c>
      <c r="F2281"/>
      <c r="G2281"/>
      <c r="H2281"/>
      <c r="I2281"/>
      <c r="J2281"/>
      <c r="K2281"/>
      <c r="L2281"/>
      <c r="M2281"/>
      <c r="N2281"/>
      <c r="O2281"/>
    </row>
    <row r="2282" spans="1:15" hidden="1" x14ac:dyDescent="0.25">
      <c r="A2282" t="s">
        <v>106</v>
      </c>
      <c r="B2282" t="s">
        <v>115</v>
      </c>
      <c r="C2282" t="b">
        <v>0</v>
      </c>
      <c r="D2282" s="1">
        <v>38930</v>
      </c>
      <c r="E2282">
        <v>5</v>
      </c>
      <c r="F2282"/>
      <c r="G2282"/>
      <c r="H2282"/>
      <c r="I2282"/>
      <c r="J2282"/>
      <c r="K2282"/>
      <c r="L2282"/>
      <c r="M2282"/>
      <c r="N2282"/>
      <c r="O2282"/>
    </row>
    <row r="2283" spans="1:15" hidden="1" x14ac:dyDescent="0.25">
      <c r="A2283" t="s">
        <v>106</v>
      </c>
      <c r="B2283" t="s">
        <v>115</v>
      </c>
      <c r="C2283" t="b">
        <v>0</v>
      </c>
      <c r="D2283" s="1">
        <v>38930</v>
      </c>
      <c r="E2283">
        <v>5</v>
      </c>
      <c r="F2283"/>
      <c r="G2283"/>
      <c r="H2283"/>
      <c r="I2283"/>
      <c r="J2283"/>
      <c r="K2283"/>
      <c r="L2283"/>
      <c r="M2283"/>
      <c r="N2283"/>
      <c r="O2283"/>
    </row>
    <row r="2284" spans="1:15" hidden="1" x14ac:dyDescent="0.25">
      <c r="A2284" t="s">
        <v>106</v>
      </c>
      <c r="B2284" t="s">
        <v>115</v>
      </c>
      <c r="C2284" t="b">
        <v>0</v>
      </c>
      <c r="D2284" s="1">
        <v>38930</v>
      </c>
      <c r="E2284">
        <v>5</v>
      </c>
      <c r="F2284"/>
      <c r="G2284"/>
      <c r="H2284"/>
      <c r="I2284"/>
      <c r="J2284"/>
      <c r="K2284"/>
      <c r="L2284"/>
      <c r="M2284"/>
      <c r="N2284"/>
      <c r="O2284"/>
    </row>
    <row r="2285" spans="1:15" hidden="1" x14ac:dyDescent="0.25">
      <c r="A2285" t="s">
        <v>106</v>
      </c>
      <c r="B2285" t="s">
        <v>115</v>
      </c>
      <c r="C2285" t="b">
        <v>0</v>
      </c>
      <c r="D2285" s="1">
        <v>38930</v>
      </c>
      <c r="E2285">
        <v>5</v>
      </c>
      <c r="F2285"/>
      <c r="G2285"/>
      <c r="H2285"/>
      <c r="I2285"/>
      <c r="J2285"/>
      <c r="K2285"/>
      <c r="L2285"/>
      <c r="M2285"/>
      <c r="N2285"/>
      <c r="O2285"/>
    </row>
    <row r="2286" spans="1:15" hidden="1" x14ac:dyDescent="0.25">
      <c r="A2286" t="s">
        <v>106</v>
      </c>
      <c r="B2286" t="s">
        <v>115</v>
      </c>
      <c r="C2286" t="b">
        <v>0</v>
      </c>
      <c r="D2286" s="1">
        <v>38930</v>
      </c>
      <c r="E2286">
        <v>5</v>
      </c>
      <c r="F2286"/>
      <c r="G2286"/>
      <c r="H2286"/>
      <c r="I2286"/>
      <c r="J2286"/>
      <c r="K2286"/>
      <c r="L2286"/>
      <c r="M2286"/>
      <c r="N2286"/>
      <c r="O2286"/>
    </row>
    <row r="2287" spans="1:15" hidden="1" x14ac:dyDescent="0.25">
      <c r="A2287" t="s">
        <v>106</v>
      </c>
      <c r="B2287" t="s">
        <v>115</v>
      </c>
      <c r="C2287" t="b">
        <v>0</v>
      </c>
      <c r="D2287" s="1">
        <v>38930</v>
      </c>
      <c r="E2287">
        <v>5</v>
      </c>
      <c r="F2287"/>
      <c r="G2287"/>
      <c r="H2287"/>
      <c r="I2287"/>
      <c r="J2287"/>
      <c r="K2287"/>
      <c r="L2287"/>
      <c r="M2287"/>
      <c r="N2287"/>
      <c r="O2287"/>
    </row>
    <row r="2288" spans="1:15" hidden="1" x14ac:dyDescent="0.25">
      <c r="A2288" t="s">
        <v>106</v>
      </c>
      <c r="B2288" t="s">
        <v>115</v>
      </c>
      <c r="C2288" t="b">
        <v>0</v>
      </c>
      <c r="D2288" s="1">
        <v>38930</v>
      </c>
      <c r="E2288">
        <v>5</v>
      </c>
      <c r="F2288"/>
      <c r="G2288"/>
      <c r="H2288"/>
      <c r="I2288"/>
      <c r="J2288"/>
      <c r="K2288"/>
      <c r="L2288"/>
      <c r="M2288"/>
      <c r="N2288"/>
      <c r="O2288"/>
    </row>
    <row r="2289" spans="1:15" hidden="1" x14ac:dyDescent="0.25">
      <c r="A2289" t="s">
        <v>106</v>
      </c>
      <c r="B2289" t="s">
        <v>115</v>
      </c>
      <c r="C2289" t="b">
        <v>0</v>
      </c>
      <c r="D2289" s="1">
        <v>38930</v>
      </c>
      <c r="E2289">
        <v>5</v>
      </c>
      <c r="F2289"/>
      <c r="G2289"/>
      <c r="H2289"/>
      <c r="I2289"/>
      <c r="J2289"/>
      <c r="K2289"/>
      <c r="L2289"/>
      <c r="M2289"/>
      <c r="N2289"/>
      <c r="O2289"/>
    </row>
    <row r="2290" spans="1:15" hidden="1" x14ac:dyDescent="0.25">
      <c r="A2290" t="s">
        <v>21</v>
      </c>
      <c r="B2290" t="s">
        <v>115</v>
      </c>
      <c r="C2290" t="b">
        <v>0</v>
      </c>
      <c r="D2290" s="1">
        <v>38930</v>
      </c>
      <c r="E2290">
        <v>3</v>
      </c>
      <c r="F2290"/>
      <c r="G2290"/>
      <c r="H2290"/>
      <c r="I2290"/>
      <c r="J2290"/>
      <c r="K2290"/>
      <c r="L2290"/>
      <c r="M2290"/>
      <c r="N2290"/>
      <c r="O2290"/>
    </row>
    <row r="2291" spans="1:15" hidden="1" x14ac:dyDescent="0.25">
      <c r="A2291" t="s">
        <v>24</v>
      </c>
      <c r="B2291" t="s">
        <v>115</v>
      </c>
      <c r="C2291" t="b">
        <v>0</v>
      </c>
      <c r="D2291" s="1">
        <v>38930</v>
      </c>
      <c r="E2291">
        <v>5</v>
      </c>
      <c r="F2291"/>
      <c r="G2291"/>
      <c r="H2291"/>
      <c r="I2291"/>
      <c r="J2291"/>
      <c r="K2291"/>
      <c r="L2291"/>
      <c r="M2291"/>
      <c r="N2291"/>
      <c r="O2291"/>
    </row>
    <row r="2292" spans="1:15" hidden="1" x14ac:dyDescent="0.25">
      <c r="A2292" t="s">
        <v>30</v>
      </c>
      <c r="B2292" t="s">
        <v>115</v>
      </c>
      <c r="C2292" t="b">
        <v>0</v>
      </c>
      <c r="D2292" s="1">
        <v>38930</v>
      </c>
      <c r="E2292">
        <v>5</v>
      </c>
      <c r="F2292"/>
      <c r="G2292"/>
      <c r="H2292"/>
      <c r="I2292"/>
      <c r="J2292"/>
      <c r="K2292"/>
      <c r="L2292"/>
      <c r="M2292"/>
      <c r="N2292"/>
      <c r="O2292"/>
    </row>
    <row r="2293" spans="1:15" hidden="1" x14ac:dyDescent="0.25">
      <c r="A2293" t="s">
        <v>37</v>
      </c>
      <c r="B2293" t="s">
        <v>115</v>
      </c>
      <c r="C2293" t="b">
        <v>0</v>
      </c>
      <c r="D2293" s="1">
        <v>38930</v>
      </c>
      <c r="E2293">
        <v>5</v>
      </c>
      <c r="F2293"/>
      <c r="G2293"/>
      <c r="H2293"/>
      <c r="I2293"/>
      <c r="J2293"/>
      <c r="K2293"/>
      <c r="L2293"/>
      <c r="M2293"/>
      <c r="N2293"/>
      <c r="O2293"/>
    </row>
    <row r="2294" spans="1:15" hidden="1" x14ac:dyDescent="0.25">
      <c r="A2294" t="s">
        <v>39</v>
      </c>
      <c r="B2294" t="s">
        <v>115</v>
      </c>
      <c r="C2294" t="b">
        <v>0</v>
      </c>
      <c r="D2294" s="1">
        <v>38930</v>
      </c>
      <c r="E2294">
        <v>5</v>
      </c>
      <c r="F2294"/>
      <c r="G2294"/>
      <c r="H2294"/>
      <c r="I2294"/>
      <c r="J2294"/>
      <c r="K2294"/>
      <c r="L2294"/>
      <c r="M2294"/>
      <c r="N2294"/>
      <c r="O2294"/>
    </row>
    <row r="2295" spans="1:15" hidden="1" x14ac:dyDescent="0.25">
      <c r="A2295" t="s">
        <v>57</v>
      </c>
      <c r="B2295" t="s">
        <v>115</v>
      </c>
      <c r="C2295" t="b">
        <v>0</v>
      </c>
      <c r="D2295" s="1">
        <v>38930</v>
      </c>
      <c r="E2295">
        <v>5</v>
      </c>
      <c r="F2295"/>
      <c r="G2295"/>
      <c r="H2295"/>
      <c r="I2295"/>
      <c r="J2295"/>
      <c r="K2295"/>
      <c r="L2295"/>
      <c r="M2295"/>
      <c r="N2295"/>
      <c r="O2295"/>
    </row>
    <row r="2296" spans="1:15" hidden="1" x14ac:dyDescent="0.25">
      <c r="A2296" t="s">
        <v>69</v>
      </c>
      <c r="B2296" t="s">
        <v>115</v>
      </c>
      <c r="C2296" t="b">
        <v>0</v>
      </c>
      <c r="D2296" s="1">
        <v>38930</v>
      </c>
      <c r="E2296">
        <v>5</v>
      </c>
      <c r="F2296"/>
      <c r="G2296"/>
      <c r="H2296"/>
      <c r="I2296"/>
      <c r="J2296"/>
      <c r="K2296"/>
      <c r="L2296"/>
      <c r="M2296"/>
      <c r="N2296"/>
      <c r="O2296"/>
    </row>
    <row r="2297" spans="1:15" hidden="1" x14ac:dyDescent="0.25">
      <c r="A2297" t="s">
        <v>71</v>
      </c>
      <c r="B2297" t="s">
        <v>115</v>
      </c>
      <c r="C2297" t="b">
        <v>0</v>
      </c>
      <c r="D2297" s="1">
        <v>38930</v>
      </c>
      <c r="E2297">
        <v>5</v>
      </c>
      <c r="F2297"/>
      <c r="G2297"/>
      <c r="H2297"/>
      <c r="I2297"/>
      <c r="J2297"/>
      <c r="K2297"/>
      <c r="L2297"/>
      <c r="M2297"/>
      <c r="N2297"/>
      <c r="O2297"/>
    </row>
    <row r="2298" spans="1:15" hidden="1" x14ac:dyDescent="0.25">
      <c r="A2298" t="s">
        <v>86</v>
      </c>
      <c r="B2298" t="s">
        <v>115</v>
      </c>
      <c r="C2298" t="b">
        <v>0</v>
      </c>
      <c r="D2298" s="1">
        <v>38930</v>
      </c>
      <c r="E2298">
        <v>5</v>
      </c>
      <c r="F2298"/>
      <c r="G2298"/>
      <c r="H2298"/>
      <c r="I2298"/>
      <c r="J2298"/>
      <c r="K2298"/>
      <c r="L2298"/>
      <c r="M2298"/>
      <c r="N2298"/>
      <c r="O2298"/>
    </row>
    <row r="2299" spans="1:15" hidden="1" x14ac:dyDescent="0.25">
      <c r="A2299" t="s">
        <v>90</v>
      </c>
      <c r="B2299" t="s">
        <v>115</v>
      </c>
      <c r="C2299" t="b">
        <v>0</v>
      </c>
      <c r="D2299" s="1">
        <v>38930</v>
      </c>
      <c r="E2299">
        <v>5</v>
      </c>
      <c r="F2299"/>
      <c r="G2299"/>
      <c r="H2299"/>
      <c r="I2299"/>
      <c r="J2299"/>
      <c r="K2299"/>
      <c r="L2299"/>
      <c r="M2299"/>
      <c r="N2299"/>
      <c r="O2299"/>
    </row>
    <row r="2300" spans="1:15" hidden="1" x14ac:dyDescent="0.25">
      <c r="A2300" t="s">
        <v>100</v>
      </c>
      <c r="B2300" t="s">
        <v>117</v>
      </c>
      <c r="C2300" t="b">
        <v>0</v>
      </c>
      <c r="D2300" s="1">
        <v>38961</v>
      </c>
      <c r="E2300" s="2">
        <v>-85.48</v>
      </c>
      <c r="F2300"/>
      <c r="G2300"/>
      <c r="H2300"/>
      <c r="I2300"/>
      <c r="J2300"/>
      <c r="K2300"/>
      <c r="L2300"/>
      <c r="M2300"/>
      <c r="N2300"/>
      <c r="O2300"/>
    </row>
    <row r="2301" spans="1:15" hidden="1" x14ac:dyDescent="0.25">
      <c r="A2301" t="s">
        <v>101</v>
      </c>
      <c r="B2301" t="s">
        <v>117</v>
      </c>
      <c r="C2301" t="b">
        <v>0</v>
      </c>
      <c r="D2301" s="1">
        <v>38961</v>
      </c>
      <c r="E2301" s="2">
        <v>-5</v>
      </c>
      <c r="F2301"/>
      <c r="G2301"/>
      <c r="H2301"/>
      <c r="I2301"/>
      <c r="J2301"/>
      <c r="K2301"/>
      <c r="L2301"/>
      <c r="M2301"/>
      <c r="N2301"/>
      <c r="O2301"/>
    </row>
    <row r="2302" spans="1:15" hidden="1" x14ac:dyDescent="0.25">
      <c r="A2302" t="s">
        <v>14</v>
      </c>
      <c r="B2302" t="s">
        <v>115</v>
      </c>
      <c r="C2302" t="b">
        <v>0</v>
      </c>
      <c r="D2302" s="1">
        <v>38961</v>
      </c>
      <c r="E2302">
        <v>5</v>
      </c>
      <c r="F2302"/>
      <c r="G2302"/>
      <c r="H2302"/>
      <c r="I2302"/>
      <c r="J2302"/>
      <c r="K2302"/>
      <c r="L2302"/>
      <c r="M2302"/>
      <c r="N2302"/>
      <c r="O2302"/>
    </row>
    <row r="2303" spans="1:15" hidden="1" x14ac:dyDescent="0.25">
      <c r="A2303" t="s">
        <v>18</v>
      </c>
      <c r="B2303" t="s">
        <v>115</v>
      </c>
      <c r="C2303" t="b">
        <v>0</v>
      </c>
      <c r="D2303" s="1">
        <v>38961</v>
      </c>
      <c r="E2303">
        <v>5</v>
      </c>
      <c r="F2303"/>
      <c r="G2303"/>
      <c r="H2303"/>
      <c r="I2303"/>
      <c r="J2303"/>
      <c r="K2303"/>
      <c r="L2303"/>
      <c r="M2303"/>
      <c r="N2303"/>
      <c r="O2303"/>
    </row>
    <row r="2304" spans="1:15" hidden="1" x14ac:dyDescent="0.25">
      <c r="A2304" t="s">
        <v>106</v>
      </c>
      <c r="B2304" t="s">
        <v>115</v>
      </c>
      <c r="C2304" t="b">
        <v>0</v>
      </c>
      <c r="D2304" s="1">
        <v>38961</v>
      </c>
      <c r="E2304">
        <v>5</v>
      </c>
      <c r="F2304"/>
      <c r="G2304"/>
      <c r="H2304"/>
      <c r="I2304"/>
      <c r="J2304"/>
      <c r="K2304"/>
      <c r="L2304"/>
      <c r="M2304"/>
      <c r="N2304"/>
      <c r="O2304"/>
    </row>
    <row r="2305" spans="1:15" hidden="1" x14ac:dyDescent="0.25">
      <c r="A2305" t="s">
        <v>106</v>
      </c>
      <c r="B2305" t="s">
        <v>115</v>
      </c>
      <c r="C2305" t="b">
        <v>0</v>
      </c>
      <c r="D2305" s="1">
        <v>38961</v>
      </c>
      <c r="E2305">
        <v>5</v>
      </c>
      <c r="F2305"/>
      <c r="G2305"/>
      <c r="H2305"/>
      <c r="I2305"/>
      <c r="J2305"/>
      <c r="K2305"/>
      <c r="L2305"/>
      <c r="M2305"/>
      <c r="N2305"/>
      <c r="O2305"/>
    </row>
    <row r="2306" spans="1:15" hidden="1" x14ac:dyDescent="0.25">
      <c r="A2306" t="s">
        <v>106</v>
      </c>
      <c r="B2306" t="s">
        <v>115</v>
      </c>
      <c r="C2306" t="b">
        <v>0</v>
      </c>
      <c r="D2306" s="1">
        <v>38961</v>
      </c>
      <c r="E2306">
        <v>5</v>
      </c>
      <c r="F2306"/>
      <c r="G2306"/>
      <c r="H2306"/>
      <c r="I2306"/>
      <c r="J2306"/>
      <c r="K2306"/>
      <c r="L2306"/>
      <c r="M2306"/>
      <c r="N2306"/>
      <c r="O2306"/>
    </row>
    <row r="2307" spans="1:15" hidden="1" x14ac:dyDescent="0.25">
      <c r="A2307" t="s">
        <v>106</v>
      </c>
      <c r="B2307" t="s">
        <v>115</v>
      </c>
      <c r="C2307" t="b">
        <v>0</v>
      </c>
      <c r="D2307" s="1">
        <v>38961</v>
      </c>
      <c r="E2307">
        <v>5</v>
      </c>
      <c r="F2307"/>
      <c r="G2307"/>
      <c r="H2307"/>
      <c r="I2307"/>
      <c r="J2307"/>
      <c r="K2307"/>
      <c r="L2307"/>
      <c r="M2307"/>
      <c r="N2307"/>
      <c r="O2307"/>
    </row>
    <row r="2308" spans="1:15" hidden="1" x14ac:dyDescent="0.25">
      <c r="A2308" t="s">
        <v>106</v>
      </c>
      <c r="B2308" t="s">
        <v>115</v>
      </c>
      <c r="C2308" t="b">
        <v>0</v>
      </c>
      <c r="D2308" s="1">
        <v>38961</v>
      </c>
      <c r="E2308">
        <v>5</v>
      </c>
      <c r="F2308"/>
      <c r="G2308"/>
      <c r="H2308"/>
      <c r="I2308"/>
      <c r="J2308"/>
      <c r="K2308"/>
      <c r="L2308"/>
      <c r="M2308"/>
      <c r="N2308"/>
      <c r="O2308"/>
    </row>
    <row r="2309" spans="1:15" hidden="1" x14ac:dyDescent="0.25">
      <c r="A2309" t="s">
        <v>106</v>
      </c>
      <c r="B2309" t="s">
        <v>115</v>
      </c>
      <c r="C2309" t="b">
        <v>0</v>
      </c>
      <c r="D2309" s="1">
        <v>38961</v>
      </c>
      <c r="E2309">
        <v>5</v>
      </c>
      <c r="F2309"/>
      <c r="G2309"/>
      <c r="H2309"/>
      <c r="I2309"/>
      <c r="J2309"/>
      <c r="K2309"/>
      <c r="L2309"/>
      <c r="M2309"/>
      <c r="N2309"/>
      <c r="O2309"/>
    </row>
    <row r="2310" spans="1:15" hidden="1" x14ac:dyDescent="0.25">
      <c r="A2310" t="s">
        <v>106</v>
      </c>
      <c r="B2310" t="s">
        <v>115</v>
      </c>
      <c r="C2310" t="b">
        <v>0</v>
      </c>
      <c r="D2310" s="1">
        <v>38961</v>
      </c>
      <c r="E2310">
        <v>5</v>
      </c>
      <c r="F2310"/>
      <c r="G2310"/>
      <c r="H2310"/>
      <c r="I2310"/>
      <c r="J2310"/>
      <c r="K2310"/>
      <c r="L2310"/>
      <c r="M2310"/>
      <c r="N2310"/>
      <c r="O2310"/>
    </row>
    <row r="2311" spans="1:15" hidden="1" x14ac:dyDescent="0.25">
      <c r="A2311" t="s">
        <v>106</v>
      </c>
      <c r="B2311" t="s">
        <v>115</v>
      </c>
      <c r="C2311" t="b">
        <v>0</v>
      </c>
      <c r="D2311" s="1">
        <v>38961</v>
      </c>
      <c r="E2311">
        <v>5</v>
      </c>
      <c r="F2311"/>
      <c r="G2311"/>
      <c r="H2311"/>
      <c r="I2311"/>
      <c r="J2311"/>
      <c r="K2311"/>
      <c r="L2311"/>
      <c r="M2311"/>
      <c r="N2311"/>
      <c r="O2311"/>
    </row>
    <row r="2312" spans="1:15" hidden="1" x14ac:dyDescent="0.25">
      <c r="A2312" t="s">
        <v>106</v>
      </c>
      <c r="B2312" t="s">
        <v>115</v>
      </c>
      <c r="C2312" t="b">
        <v>0</v>
      </c>
      <c r="D2312" s="1">
        <v>38961</v>
      </c>
      <c r="E2312">
        <v>5</v>
      </c>
      <c r="F2312"/>
      <c r="G2312"/>
      <c r="H2312"/>
      <c r="I2312"/>
      <c r="J2312"/>
      <c r="K2312"/>
      <c r="L2312"/>
      <c r="M2312"/>
      <c r="N2312"/>
      <c r="O2312"/>
    </row>
    <row r="2313" spans="1:15" hidden="1" x14ac:dyDescent="0.25">
      <c r="A2313" t="s">
        <v>106</v>
      </c>
      <c r="B2313" t="s">
        <v>115</v>
      </c>
      <c r="C2313" t="b">
        <v>0</v>
      </c>
      <c r="D2313" s="1">
        <v>38961</v>
      </c>
      <c r="E2313">
        <v>5</v>
      </c>
      <c r="F2313"/>
      <c r="G2313"/>
      <c r="H2313"/>
      <c r="I2313"/>
      <c r="J2313"/>
      <c r="K2313"/>
      <c r="L2313"/>
      <c r="M2313"/>
      <c r="N2313"/>
      <c r="O2313"/>
    </row>
    <row r="2314" spans="1:15" hidden="1" x14ac:dyDescent="0.25">
      <c r="A2314" t="s">
        <v>106</v>
      </c>
      <c r="B2314" t="s">
        <v>115</v>
      </c>
      <c r="C2314" t="b">
        <v>0</v>
      </c>
      <c r="D2314" s="1">
        <v>38961</v>
      </c>
      <c r="E2314">
        <v>5</v>
      </c>
      <c r="F2314"/>
      <c r="G2314"/>
      <c r="H2314"/>
      <c r="I2314"/>
      <c r="J2314"/>
      <c r="K2314"/>
      <c r="L2314"/>
      <c r="M2314"/>
      <c r="N2314"/>
      <c r="O2314"/>
    </row>
    <row r="2315" spans="1:15" hidden="1" x14ac:dyDescent="0.25">
      <c r="A2315" t="s">
        <v>106</v>
      </c>
      <c r="B2315" t="s">
        <v>115</v>
      </c>
      <c r="C2315" t="b">
        <v>0</v>
      </c>
      <c r="D2315" s="1">
        <v>38961</v>
      </c>
      <c r="E2315">
        <v>5</v>
      </c>
      <c r="F2315"/>
      <c r="G2315"/>
      <c r="H2315"/>
      <c r="I2315"/>
      <c r="J2315"/>
      <c r="K2315"/>
      <c r="L2315"/>
      <c r="M2315"/>
      <c r="N2315"/>
      <c r="O2315"/>
    </row>
    <row r="2316" spans="1:15" hidden="1" x14ac:dyDescent="0.25">
      <c r="A2316" t="s">
        <v>106</v>
      </c>
      <c r="B2316" t="s">
        <v>115</v>
      </c>
      <c r="C2316" t="b">
        <v>0</v>
      </c>
      <c r="D2316" s="1">
        <v>38961</v>
      </c>
      <c r="E2316">
        <v>5</v>
      </c>
      <c r="F2316"/>
      <c r="G2316"/>
      <c r="H2316"/>
      <c r="I2316"/>
      <c r="J2316"/>
      <c r="K2316"/>
      <c r="L2316"/>
      <c r="M2316"/>
      <c r="N2316"/>
      <c r="O2316"/>
    </row>
    <row r="2317" spans="1:15" hidden="1" x14ac:dyDescent="0.25">
      <c r="A2317" t="s">
        <v>21</v>
      </c>
      <c r="B2317" t="s">
        <v>115</v>
      </c>
      <c r="C2317" t="b">
        <v>0</v>
      </c>
      <c r="D2317" s="1">
        <v>38961</v>
      </c>
      <c r="E2317">
        <v>3</v>
      </c>
      <c r="F2317"/>
      <c r="G2317"/>
      <c r="H2317"/>
      <c r="I2317"/>
      <c r="J2317"/>
      <c r="K2317"/>
      <c r="L2317"/>
      <c r="M2317"/>
      <c r="N2317"/>
      <c r="O2317"/>
    </row>
    <row r="2318" spans="1:15" hidden="1" x14ac:dyDescent="0.25">
      <c r="A2318" t="s">
        <v>24</v>
      </c>
      <c r="B2318" t="s">
        <v>115</v>
      </c>
      <c r="C2318" t="b">
        <v>0</v>
      </c>
      <c r="D2318" s="1">
        <v>38961</v>
      </c>
      <c r="E2318">
        <v>5</v>
      </c>
      <c r="F2318"/>
      <c r="G2318"/>
      <c r="H2318"/>
      <c r="I2318"/>
      <c r="J2318"/>
      <c r="K2318"/>
      <c r="L2318"/>
      <c r="M2318"/>
      <c r="N2318"/>
      <c r="O2318"/>
    </row>
    <row r="2319" spans="1:15" hidden="1" x14ac:dyDescent="0.25">
      <c r="A2319" t="s">
        <v>30</v>
      </c>
      <c r="B2319" t="s">
        <v>115</v>
      </c>
      <c r="C2319" t="b">
        <v>0</v>
      </c>
      <c r="D2319" s="1">
        <v>38961</v>
      </c>
      <c r="E2319">
        <v>5</v>
      </c>
      <c r="F2319"/>
      <c r="G2319"/>
      <c r="H2319"/>
      <c r="I2319"/>
      <c r="J2319"/>
      <c r="K2319"/>
      <c r="L2319"/>
      <c r="M2319"/>
      <c r="N2319"/>
      <c r="O2319"/>
    </row>
    <row r="2320" spans="1:15" hidden="1" x14ac:dyDescent="0.25">
      <c r="A2320" t="s">
        <v>37</v>
      </c>
      <c r="B2320" t="s">
        <v>115</v>
      </c>
      <c r="C2320" t="b">
        <v>0</v>
      </c>
      <c r="D2320" s="1">
        <v>38961</v>
      </c>
      <c r="E2320">
        <v>5</v>
      </c>
      <c r="F2320"/>
      <c r="G2320"/>
      <c r="H2320"/>
      <c r="I2320"/>
      <c r="J2320"/>
      <c r="K2320"/>
      <c r="L2320"/>
      <c r="M2320"/>
      <c r="N2320"/>
      <c r="O2320"/>
    </row>
    <row r="2321" spans="1:15" hidden="1" x14ac:dyDescent="0.25">
      <c r="A2321" t="s">
        <v>39</v>
      </c>
      <c r="B2321" t="s">
        <v>115</v>
      </c>
      <c r="C2321" t="b">
        <v>0</v>
      </c>
      <c r="D2321" s="1">
        <v>38961</v>
      </c>
      <c r="E2321">
        <v>5</v>
      </c>
      <c r="F2321"/>
      <c r="G2321"/>
      <c r="H2321"/>
      <c r="I2321"/>
      <c r="J2321"/>
      <c r="K2321"/>
      <c r="L2321"/>
      <c r="M2321"/>
      <c r="N2321"/>
      <c r="O2321"/>
    </row>
    <row r="2322" spans="1:15" hidden="1" x14ac:dyDescent="0.25">
      <c r="A2322" t="s">
        <v>57</v>
      </c>
      <c r="B2322" t="s">
        <v>115</v>
      </c>
      <c r="C2322" t="b">
        <v>0</v>
      </c>
      <c r="D2322" s="1">
        <v>38961</v>
      </c>
      <c r="E2322">
        <v>5</v>
      </c>
      <c r="F2322"/>
      <c r="G2322"/>
      <c r="H2322"/>
      <c r="I2322"/>
      <c r="J2322"/>
      <c r="K2322"/>
      <c r="L2322"/>
      <c r="M2322"/>
      <c r="N2322"/>
      <c r="O2322"/>
    </row>
    <row r="2323" spans="1:15" hidden="1" x14ac:dyDescent="0.25">
      <c r="A2323" t="s">
        <v>69</v>
      </c>
      <c r="B2323" t="s">
        <v>115</v>
      </c>
      <c r="C2323" t="b">
        <v>0</v>
      </c>
      <c r="D2323" s="1">
        <v>38961</v>
      </c>
      <c r="E2323">
        <v>5</v>
      </c>
      <c r="F2323"/>
      <c r="G2323"/>
      <c r="H2323"/>
      <c r="I2323"/>
      <c r="J2323"/>
      <c r="K2323"/>
      <c r="L2323"/>
      <c r="M2323"/>
      <c r="N2323"/>
      <c r="O2323"/>
    </row>
    <row r="2324" spans="1:15" hidden="1" x14ac:dyDescent="0.25">
      <c r="A2324" t="s">
        <v>71</v>
      </c>
      <c r="B2324" t="s">
        <v>115</v>
      </c>
      <c r="C2324" t="b">
        <v>0</v>
      </c>
      <c r="D2324" s="1">
        <v>38961</v>
      </c>
      <c r="E2324">
        <v>5</v>
      </c>
      <c r="F2324"/>
      <c r="G2324"/>
      <c r="H2324"/>
      <c r="I2324"/>
      <c r="J2324"/>
      <c r="K2324"/>
      <c r="L2324"/>
      <c r="M2324"/>
      <c r="N2324"/>
      <c r="O2324"/>
    </row>
    <row r="2325" spans="1:15" hidden="1" x14ac:dyDescent="0.25">
      <c r="A2325" t="s">
        <v>86</v>
      </c>
      <c r="B2325" t="s">
        <v>115</v>
      </c>
      <c r="C2325" t="b">
        <v>0</v>
      </c>
      <c r="D2325" s="1">
        <v>38961</v>
      </c>
      <c r="E2325">
        <v>5</v>
      </c>
      <c r="F2325"/>
      <c r="G2325"/>
      <c r="H2325"/>
      <c r="I2325"/>
      <c r="J2325"/>
      <c r="K2325"/>
      <c r="L2325"/>
      <c r="M2325"/>
      <c r="N2325"/>
      <c r="O2325"/>
    </row>
    <row r="2326" spans="1:15" hidden="1" x14ac:dyDescent="0.25">
      <c r="A2326" t="s">
        <v>90</v>
      </c>
      <c r="B2326" t="s">
        <v>115</v>
      </c>
      <c r="C2326" t="b">
        <v>0</v>
      </c>
      <c r="D2326" s="1">
        <v>38961</v>
      </c>
      <c r="E2326">
        <v>5</v>
      </c>
      <c r="F2326"/>
      <c r="G2326"/>
      <c r="H2326"/>
      <c r="I2326"/>
      <c r="J2326"/>
      <c r="K2326"/>
      <c r="L2326"/>
      <c r="M2326"/>
      <c r="N2326"/>
      <c r="O2326"/>
    </row>
    <row r="2327" spans="1:15" hidden="1" x14ac:dyDescent="0.25">
      <c r="A2327" t="s">
        <v>99</v>
      </c>
      <c r="B2327" t="s">
        <v>114</v>
      </c>
      <c r="C2327" t="b">
        <v>0</v>
      </c>
      <c r="D2327" s="1">
        <v>38961</v>
      </c>
      <c r="E2327">
        <v>26.42</v>
      </c>
      <c r="F2327"/>
      <c r="G2327"/>
      <c r="H2327"/>
      <c r="I2327"/>
      <c r="J2327"/>
      <c r="K2327"/>
      <c r="L2327"/>
      <c r="M2327"/>
      <c r="N2327"/>
      <c r="O2327"/>
    </row>
    <row r="2328" spans="1:15" hidden="1" x14ac:dyDescent="0.25">
      <c r="A2328" t="s">
        <v>100</v>
      </c>
      <c r="B2328" t="s">
        <v>117</v>
      </c>
      <c r="C2328" t="b">
        <v>0</v>
      </c>
      <c r="D2328" s="1">
        <v>38991</v>
      </c>
      <c r="E2328" s="2">
        <v>-119.97999999999999</v>
      </c>
      <c r="F2328"/>
      <c r="G2328"/>
      <c r="H2328"/>
      <c r="I2328"/>
      <c r="J2328"/>
      <c r="K2328"/>
      <c r="L2328"/>
      <c r="M2328"/>
      <c r="N2328"/>
      <c r="O2328"/>
    </row>
    <row r="2329" spans="1:15" hidden="1" x14ac:dyDescent="0.25">
      <c r="A2329" t="s">
        <v>101</v>
      </c>
      <c r="B2329" t="s">
        <v>117</v>
      </c>
      <c r="C2329" t="b">
        <v>0</v>
      </c>
      <c r="D2329" s="1">
        <v>38991</v>
      </c>
      <c r="E2329" s="2">
        <v>-5</v>
      </c>
      <c r="F2329"/>
      <c r="G2329"/>
      <c r="H2329"/>
      <c r="I2329"/>
      <c r="J2329"/>
      <c r="K2329"/>
      <c r="L2329"/>
      <c r="M2329"/>
      <c r="N2329"/>
      <c r="O2329"/>
    </row>
    <row r="2330" spans="1:15" hidden="1" x14ac:dyDescent="0.25">
      <c r="A2330" t="s">
        <v>14</v>
      </c>
      <c r="B2330" t="s">
        <v>115</v>
      </c>
      <c r="C2330" t="b">
        <v>0</v>
      </c>
      <c r="D2330" s="1">
        <v>38991</v>
      </c>
      <c r="E2330">
        <v>5</v>
      </c>
      <c r="F2330"/>
      <c r="G2330"/>
      <c r="H2330"/>
      <c r="I2330"/>
      <c r="J2330"/>
      <c r="K2330"/>
      <c r="L2330"/>
      <c r="M2330"/>
      <c r="N2330"/>
      <c r="O2330"/>
    </row>
    <row r="2331" spans="1:15" hidden="1" x14ac:dyDescent="0.25">
      <c r="A2331" t="s">
        <v>18</v>
      </c>
      <c r="B2331" t="s">
        <v>115</v>
      </c>
      <c r="C2331" t="b">
        <v>0</v>
      </c>
      <c r="D2331" s="1">
        <v>38991</v>
      </c>
      <c r="E2331">
        <v>5</v>
      </c>
      <c r="F2331"/>
      <c r="G2331"/>
      <c r="H2331"/>
      <c r="I2331"/>
      <c r="J2331"/>
      <c r="K2331"/>
      <c r="L2331"/>
      <c r="M2331"/>
      <c r="N2331"/>
      <c r="O2331"/>
    </row>
    <row r="2332" spans="1:15" hidden="1" x14ac:dyDescent="0.25">
      <c r="A2332" t="s">
        <v>106</v>
      </c>
      <c r="B2332" t="s">
        <v>115</v>
      </c>
      <c r="C2332" t="b">
        <v>0</v>
      </c>
      <c r="D2332" s="1">
        <v>38991</v>
      </c>
      <c r="E2332">
        <v>5</v>
      </c>
      <c r="F2332"/>
      <c r="G2332"/>
      <c r="H2332"/>
      <c r="I2332"/>
      <c r="J2332"/>
      <c r="K2332"/>
      <c r="L2332"/>
      <c r="M2332"/>
      <c r="N2332"/>
      <c r="O2332"/>
    </row>
    <row r="2333" spans="1:15" hidden="1" x14ac:dyDescent="0.25">
      <c r="A2333" t="s">
        <v>106</v>
      </c>
      <c r="B2333" t="s">
        <v>115</v>
      </c>
      <c r="C2333" t="b">
        <v>0</v>
      </c>
      <c r="D2333" s="1">
        <v>38991</v>
      </c>
      <c r="E2333">
        <v>5</v>
      </c>
      <c r="F2333"/>
      <c r="G2333"/>
      <c r="H2333"/>
      <c r="I2333"/>
      <c r="J2333"/>
      <c r="K2333"/>
      <c r="L2333"/>
      <c r="M2333"/>
      <c r="N2333"/>
      <c r="O2333"/>
    </row>
    <row r="2334" spans="1:15" hidden="1" x14ac:dyDescent="0.25">
      <c r="A2334" t="s">
        <v>106</v>
      </c>
      <c r="B2334" t="s">
        <v>115</v>
      </c>
      <c r="C2334" t="b">
        <v>0</v>
      </c>
      <c r="D2334" s="1">
        <v>38991</v>
      </c>
      <c r="E2334">
        <v>5</v>
      </c>
      <c r="F2334"/>
      <c r="G2334"/>
      <c r="H2334"/>
      <c r="I2334"/>
      <c r="J2334"/>
      <c r="K2334"/>
      <c r="L2334"/>
      <c r="M2334"/>
      <c r="N2334"/>
      <c r="O2334"/>
    </row>
    <row r="2335" spans="1:15" hidden="1" x14ac:dyDescent="0.25">
      <c r="A2335" t="s">
        <v>106</v>
      </c>
      <c r="B2335" t="s">
        <v>115</v>
      </c>
      <c r="C2335" t="b">
        <v>0</v>
      </c>
      <c r="D2335" s="1">
        <v>38991</v>
      </c>
      <c r="E2335">
        <v>5</v>
      </c>
      <c r="F2335"/>
      <c r="G2335"/>
      <c r="H2335"/>
      <c r="I2335"/>
      <c r="J2335"/>
      <c r="K2335"/>
      <c r="L2335"/>
      <c r="M2335"/>
      <c r="N2335"/>
      <c r="O2335"/>
    </row>
    <row r="2336" spans="1:15" hidden="1" x14ac:dyDescent="0.25">
      <c r="A2336" t="s">
        <v>106</v>
      </c>
      <c r="B2336" t="s">
        <v>115</v>
      </c>
      <c r="C2336" t="b">
        <v>0</v>
      </c>
      <c r="D2336" s="1">
        <v>38991</v>
      </c>
      <c r="E2336">
        <v>5</v>
      </c>
      <c r="F2336"/>
      <c r="G2336"/>
      <c r="H2336"/>
      <c r="I2336"/>
      <c r="J2336"/>
      <c r="K2336"/>
      <c r="L2336"/>
      <c r="M2336"/>
      <c r="N2336"/>
      <c r="O2336"/>
    </row>
    <row r="2337" spans="1:15" hidden="1" x14ac:dyDescent="0.25">
      <c r="A2337" t="s">
        <v>106</v>
      </c>
      <c r="B2337" t="s">
        <v>115</v>
      </c>
      <c r="C2337" t="b">
        <v>0</v>
      </c>
      <c r="D2337" s="1">
        <v>38991</v>
      </c>
      <c r="E2337">
        <v>5</v>
      </c>
      <c r="F2337"/>
      <c r="G2337"/>
      <c r="H2337"/>
      <c r="I2337"/>
      <c r="J2337"/>
      <c r="K2337"/>
      <c r="L2337"/>
      <c r="M2337"/>
      <c r="N2337"/>
      <c r="O2337"/>
    </row>
    <row r="2338" spans="1:15" hidden="1" x14ac:dyDescent="0.25">
      <c r="A2338" t="s">
        <v>106</v>
      </c>
      <c r="B2338" t="s">
        <v>115</v>
      </c>
      <c r="C2338" t="b">
        <v>0</v>
      </c>
      <c r="D2338" s="1">
        <v>38991</v>
      </c>
      <c r="E2338">
        <v>5</v>
      </c>
      <c r="F2338"/>
      <c r="G2338"/>
      <c r="H2338"/>
      <c r="I2338"/>
      <c r="J2338"/>
      <c r="K2338"/>
      <c r="L2338"/>
      <c r="M2338"/>
      <c r="N2338"/>
      <c r="O2338"/>
    </row>
    <row r="2339" spans="1:15" hidden="1" x14ac:dyDescent="0.25">
      <c r="A2339" t="s">
        <v>106</v>
      </c>
      <c r="B2339" t="s">
        <v>115</v>
      </c>
      <c r="C2339" t="b">
        <v>0</v>
      </c>
      <c r="D2339" s="1">
        <v>38991</v>
      </c>
      <c r="E2339">
        <v>5</v>
      </c>
      <c r="F2339"/>
      <c r="G2339"/>
      <c r="H2339"/>
      <c r="I2339"/>
      <c r="J2339"/>
      <c r="K2339"/>
      <c r="L2339"/>
      <c r="M2339"/>
      <c r="N2339"/>
      <c r="O2339"/>
    </row>
    <row r="2340" spans="1:15" hidden="1" x14ac:dyDescent="0.25">
      <c r="A2340" t="s">
        <v>106</v>
      </c>
      <c r="B2340" t="s">
        <v>115</v>
      </c>
      <c r="C2340" t="b">
        <v>0</v>
      </c>
      <c r="D2340" s="1">
        <v>38991</v>
      </c>
      <c r="E2340">
        <v>5</v>
      </c>
      <c r="F2340"/>
      <c r="G2340"/>
      <c r="H2340"/>
      <c r="I2340"/>
      <c r="J2340"/>
      <c r="K2340"/>
      <c r="L2340"/>
      <c r="M2340"/>
      <c r="N2340"/>
      <c r="O2340"/>
    </row>
    <row r="2341" spans="1:15" hidden="1" x14ac:dyDescent="0.25">
      <c r="A2341" t="s">
        <v>106</v>
      </c>
      <c r="B2341" t="s">
        <v>115</v>
      </c>
      <c r="C2341" t="b">
        <v>0</v>
      </c>
      <c r="D2341" s="1">
        <v>38991</v>
      </c>
      <c r="E2341">
        <v>5</v>
      </c>
      <c r="F2341"/>
      <c r="G2341"/>
      <c r="H2341"/>
      <c r="I2341"/>
      <c r="J2341"/>
      <c r="K2341"/>
      <c r="L2341"/>
      <c r="M2341"/>
      <c r="N2341"/>
      <c r="O2341"/>
    </row>
    <row r="2342" spans="1:15" hidden="1" x14ac:dyDescent="0.25">
      <c r="A2342" t="s">
        <v>106</v>
      </c>
      <c r="B2342" t="s">
        <v>115</v>
      </c>
      <c r="C2342" t="b">
        <v>0</v>
      </c>
      <c r="D2342" s="1">
        <v>38991</v>
      </c>
      <c r="E2342">
        <v>5</v>
      </c>
      <c r="F2342"/>
      <c r="G2342"/>
      <c r="H2342"/>
      <c r="I2342"/>
      <c r="J2342"/>
      <c r="K2342"/>
      <c r="L2342"/>
      <c r="M2342"/>
      <c r="N2342"/>
      <c r="O2342"/>
    </row>
    <row r="2343" spans="1:15" hidden="1" x14ac:dyDescent="0.25">
      <c r="A2343" t="s">
        <v>106</v>
      </c>
      <c r="B2343" t="s">
        <v>115</v>
      </c>
      <c r="C2343" t="b">
        <v>0</v>
      </c>
      <c r="D2343" s="1">
        <v>38991</v>
      </c>
      <c r="E2343">
        <v>5</v>
      </c>
      <c r="F2343"/>
      <c r="G2343"/>
      <c r="H2343"/>
      <c r="I2343"/>
      <c r="J2343"/>
      <c r="K2343"/>
      <c r="L2343"/>
      <c r="M2343"/>
      <c r="N2343"/>
      <c r="O2343"/>
    </row>
    <row r="2344" spans="1:15" hidden="1" x14ac:dyDescent="0.25">
      <c r="A2344" t="s">
        <v>106</v>
      </c>
      <c r="B2344" t="s">
        <v>115</v>
      </c>
      <c r="C2344" t="b">
        <v>0</v>
      </c>
      <c r="D2344" s="1">
        <v>38991</v>
      </c>
      <c r="E2344">
        <v>5</v>
      </c>
      <c r="F2344"/>
      <c r="G2344"/>
      <c r="H2344"/>
      <c r="I2344"/>
      <c r="J2344"/>
      <c r="K2344"/>
      <c r="L2344"/>
      <c r="M2344"/>
      <c r="N2344"/>
      <c r="O2344"/>
    </row>
    <row r="2345" spans="1:15" hidden="1" x14ac:dyDescent="0.25">
      <c r="A2345" t="s">
        <v>106</v>
      </c>
      <c r="B2345" t="s">
        <v>115</v>
      </c>
      <c r="C2345" t="b">
        <v>0</v>
      </c>
      <c r="D2345" s="1">
        <v>38991</v>
      </c>
      <c r="E2345">
        <v>5</v>
      </c>
      <c r="F2345"/>
      <c r="G2345"/>
      <c r="H2345"/>
      <c r="I2345"/>
      <c r="J2345"/>
      <c r="K2345"/>
      <c r="L2345"/>
      <c r="M2345"/>
      <c r="N2345"/>
      <c r="O2345"/>
    </row>
    <row r="2346" spans="1:15" hidden="1" x14ac:dyDescent="0.25">
      <c r="A2346" t="s">
        <v>21</v>
      </c>
      <c r="B2346" t="s">
        <v>115</v>
      </c>
      <c r="C2346" t="b">
        <v>0</v>
      </c>
      <c r="D2346" s="1">
        <v>38991</v>
      </c>
      <c r="E2346">
        <v>3</v>
      </c>
      <c r="F2346"/>
      <c r="G2346"/>
      <c r="H2346"/>
      <c r="I2346"/>
      <c r="J2346"/>
      <c r="K2346"/>
      <c r="L2346"/>
      <c r="M2346"/>
      <c r="N2346"/>
      <c r="O2346"/>
    </row>
    <row r="2347" spans="1:15" hidden="1" x14ac:dyDescent="0.25">
      <c r="A2347" t="s">
        <v>24</v>
      </c>
      <c r="B2347" t="s">
        <v>115</v>
      </c>
      <c r="C2347" t="b">
        <v>0</v>
      </c>
      <c r="D2347" s="1">
        <v>38991</v>
      </c>
      <c r="E2347">
        <v>5</v>
      </c>
      <c r="F2347"/>
      <c r="G2347"/>
      <c r="H2347"/>
      <c r="I2347"/>
      <c r="J2347"/>
      <c r="K2347"/>
      <c r="L2347"/>
      <c r="M2347"/>
      <c r="N2347"/>
      <c r="O2347"/>
    </row>
    <row r="2348" spans="1:15" hidden="1" x14ac:dyDescent="0.25">
      <c r="A2348" t="s">
        <v>30</v>
      </c>
      <c r="B2348" t="s">
        <v>115</v>
      </c>
      <c r="C2348" t="b">
        <v>0</v>
      </c>
      <c r="D2348" s="1">
        <v>38991</v>
      </c>
      <c r="E2348">
        <v>5</v>
      </c>
      <c r="F2348"/>
      <c r="G2348"/>
      <c r="H2348"/>
      <c r="I2348"/>
      <c r="J2348"/>
      <c r="K2348"/>
      <c r="L2348"/>
      <c r="M2348"/>
      <c r="N2348"/>
      <c r="O2348"/>
    </row>
    <row r="2349" spans="1:15" hidden="1" x14ac:dyDescent="0.25">
      <c r="A2349" t="s">
        <v>37</v>
      </c>
      <c r="B2349" t="s">
        <v>115</v>
      </c>
      <c r="C2349" t="b">
        <v>0</v>
      </c>
      <c r="D2349" s="1">
        <v>38991</v>
      </c>
      <c r="E2349">
        <v>5</v>
      </c>
      <c r="F2349"/>
      <c r="G2349"/>
      <c r="H2349"/>
      <c r="I2349"/>
      <c r="J2349"/>
      <c r="K2349"/>
      <c r="L2349"/>
      <c r="M2349"/>
      <c r="N2349"/>
      <c r="O2349"/>
    </row>
    <row r="2350" spans="1:15" hidden="1" x14ac:dyDescent="0.25">
      <c r="A2350" t="s">
        <v>39</v>
      </c>
      <c r="B2350" t="s">
        <v>115</v>
      </c>
      <c r="C2350" t="b">
        <v>0</v>
      </c>
      <c r="D2350" s="1">
        <v>38991</v>
      </c>
      <c r="E2350">
        <v>5</v>
      </c>
      <c r="F2350"/>
      <c r="G2350"/>
      <c r="H2350"/>
      <c r="I2350"/>
      <c r="J2350"/>
      <c r="K2350"/>
      <c r="L2350"/>
      <c r="M2350"/>
      <c r="N2350"/>
      <c r="O2350"/>
    </row>
    <row r="2351" spans="1:15" hidden="1" x14ac:dyDescent="0.25">
      <c r="A2351" t="s">
        <v>57</v>
      </c>
      <c r="B2351" t="s">
        <v>115</v>
      </c>
      <c r="C2351" t="b">
        <v>0</v>
      </c>
      <c r="D2351" s="1">
        <v>38991</v>
      </c>
      <c r="E2351">
        <v>5</v>
      </c>
      <c r="F2351"/>
      <c r="G2351"/>
      <c r="H2351"/>
      <c r="I2351"/>
      <c r="J2351"/>
      <c r="K2351"/>
      <c r="L2351"/>
      <c r="M2351"/>
      <c r="N2351"/>
      <c r="O2351"/>
    </row>
    <row r="2352" spans="1:15" hidden="1" x14ac:dyDescent="0.25">
      <c r="A2352" t="s">
        <v>69</v>
      </c>
      <c r="B2352" t="s">
        <v>115</v>
      </c>
      <c r="C2352" t="b">
        <v>0</v>
      </c>
      <c r="D2352" s="1">
        <v>38991</v>
      </c>
      <c r="E2352">
        <v>5</v>
      </c>
      <c r="F2352"/>
      <c r="G2352"/>
      <c r="H2352"/>
      <c r="I2352"/>
      <c r="J2352"/>
      <c r="K2352"/>
      <c r="L2352"/>
      <c r="M2352"/>
      <c r="N2352"/>
      <c r="O2352"/>
    </row>
    <row r="2353" spans="1:15" hidden="1" x14ac:dyDescent="0.25">
      <c r="A2353" t="s">
        <v>71</v>
      </c>
      <c r="B2353" t="s">
        <v>115</v>
      </c>
      <c r="C2353" t="b">
        <v>0</v>
      </c>
      <c r="D2353" s="1">
        <v>38991</v>
      </c>
      <c r="E2353">
        <v>5</v>
      </c>
      <c r="F2353"/>
      <c r="G2353"/>
      <c r="H2353"/>
      <c r="I2353"/>
      <c r="J2353"/>
      <c r="K2353"/>
      <c r="L2353"/>
      <c r="M2353"/>
      <c r="N2353"/>
      <c r="O2353"/>
    </row>
    <row r="2354" spans="1:15" hidden="1" x14ac:dyDescent="0.25">
      <c r="A2354" t="s">
        <v>86</v>
      </c>
      <c r="B2354" t="s">
        <v>115</v>
      </c>
      <c r="C2354" t="b">
        <v>0</v>
      </c>
      <c r="D2354" s="1">
        <v>38991</v>
      </c>
      <c r="E2354">
        <v>5</v>
      </c>
      <c r="F2354"/>
      <c r="G2354"/>
      <c r="H2354"/>
      <c r="I2354"/>
      <c r="J2354"/>
      <c r="K2354"/>
      <c r="L2354"/>
      <c r="M2354"/>
      <c r="N2354"/>
      <c r="O2354"/>
    </row>
    <row r="2355" spans="1:15" hidden="1" x14ac:dyDescent="0.25">
      <c r="A2355" t="s">
        <v>90</v>
      </c>
      <c r="B2355" t="s">
        <v>115</v>
      </c>
      <c r="C2355" t="b">
        <v>0</v>
      </c>
      <c r="D2355" s="1">
        <v>38991</v>
      </c>
      <c r="E2355">
        <v>5</v>
      </c>
      <c r="F2355"/>
      <c r="G2355"/>
      <c r="H2355"/>
      <c r="I2355"/>
      <c r="J2355"/>
      <c r="K2355"/>
      <c r="L2355"/>
      <c r="M2355"/>
      <c r="N2355"/>
      <c r="O2355"/>
    </row>
    <row r="2356" spans="1:15" hidden="1" x14ac:dyDescent="0.25">
      <c r="A2356" t="s">
        <v>100</v>
      </c>
      <c r="B2356" t="s">
        <v>117</v>
      </c>
      <c r="C2356" t="b">
        <v>0</v>
      </c>
      <c r="D2356" s="1">
        <v>39022</v>
      </c>
      <c r="E2356" s="2">
        <v>-119.67</v>
      </c>
      <c r="F2356"/>
      <c r="G2356"/>
      <c r="H2356"/>
      <c r="I2356"/>
      <c r="J2356"/>
      <c r="K2356"/>
      <c r="L2356"/>
      <c r="M2356"/>
      <c r="N2356"/>
      <c r="O2356"/>
    </row>
    <row r="2357" spans="1:15" hidden="1" x14ac:dyDescent="0.25">
      <c r="A2357" t="s">
        <v>101</v>
      </c>
      <c r="B2357" t="s">
        <v>117</v>
      </c>
      <c r="C2357" t="b">
        <v>0</v>
      </c>
      <c r="D2357" s="1">
        <v>39022</v>
      </c>
      <c r="E2357" s="2">
        <v>-5.29</v>
      </c>
      <c r="F2357"/>
      <c r="G2357"/>
      <c r="H2357"/>
      <c r="I2357"/>
      <c r="J2357"/>
      <c r="K2357"/>
      <c r="L2357"/>
      <c r="M2357"/>
      <c r="N2357"/>
      <c r="O2357"/>
    </row>
    <row r="2358" spans="1:15" hidden="1" x14ac:dyDescent="0.25">
      <c r="A2358" t="s">
        <v>11</v>
      </c>
      <c r="B2358" t="s">
        <v>115</v>
      </c>
      <c r="C2358" t="b">
        <v>0</v>
      </c>
      <c r="D2358" s="1">
        <v>39022</v>
      </c>
      <c r="E2358">
        <v>5</v>
      </c>
      <c r="F2358"/>
      <c r="G2358"/>
      <c r="H2358"/>
      <c r="I2358"/>
      <c r="J2358"/>
      <c r="K2358"/>
      <c r="L2358"/>
      <c r="M2358"/>
      <c r="N2358"/>
      <c r="O2358"/>
    </row>
    <row r="2359" spans="1:15" hidden="1" x14ac:dyDescent="0.25">
      <c r="A2359" t="s">
        <v>14</v>
      </c>
      <c r="B2359" t="s">
        <v>115</v>
      </c>
      <c r="C2359" t="b">
        <v>0</v>
      </c>
      <c r="D2359" s="1">
        <v>39022</v>
      </c>
      <c r="E2359">
        <v>5</v>
      </c>
      <c r="F2359"/>
      <c r="G2359"/>
      <c r="H2359"/>
      <c r="I2359"/>
      <c r="J2359"/>
      <c r="K2359"/>
      <c r="L2359"/>
      <c r="M2359"/>
      <c r="N2359"/>
      <c r="O2359"/>
    </row>
    <row r="2360" spans="1:15" hidden="1" x14ac:dyDescent="0.25">
      <c r="A2360" t="s">
        <v>18</v>
      </c>
      <c r="B2360" t="s">
        <v>115</v>
      </c>
      <c r="C2360" t="b">
        <v>0</v>
      </c>
      <c r="D2360" s="1">
        <v>39022</v>
      </c>
      <c r="E2360">
        <v>5</v>
      </c>
      <c r="F2360"/>
      <c r="G2360"/>
      <c r="H2360"/>
      <c r="I2360"/>
      <c r="J2360"/>
      <c r="K2360"/>
      <c r="L2360"/>
      <c r="M2360"/>
      <c r="N2360"/>
      <c r="O2360"/>
    </row>
    <row r="2361" spans="1:15" hidden="1" x14ac:dyDescent="0.25">
      <c r="A2361" t="s">
        <v>106</v>
      </c>
      <c r="B2361" t="s">
        <v>115</v>
      </c>
      <c r="C2361" t="b">
        <v>0</v>
      </c>
      <c r="D2361" s="1">
        <v>39022</v>
      </c>
      <c r="E2361">
        <v>5</v>
      </c>
      <c r="F2361"/>
      <c r="G2361"/>
      <c r="H2361"/>
      <c r="I2361"/>
      <c r="J2361"/>
      <c r="K2361"/>
      <c r="L2361"/>
      <c r="M2361"/>
      <c r="N2361"/>
      <c r="O2361"/>
    </row>
    <row r="2362" spans="1:15" hidden="1" x14ac:dyDescent="0.25">
      <c r="A2362" t="s">
        <v>106</v>
      </c>
      <c r="B2362" t="s">
        <v>115</v>
      </c>
      <c r="C2362" t="b">
        <v>0</v>
      </c>
      <c r="D2362" s="1">
        <v>39022</v>
      </c>
      <c r="E2362">
        <v>5</v>
      </c>
      <c r="F2362"/>
      <c r="G2362"/>
      <c r="H2362"/>
      <c r="I2362"/>
      <c r="J2362"/>
      <c r="K2362"/>
      <c r="L2362"/>
      <c r="M2362"/>
      <c r="N2362"/>
      <c r="O2362"/>
    </row>
    <row r="2363" spans="1:15" hidden="1" x14ac:dyDescent="0.25">
      <c r="A2363" t="s">
        <v>106</v>
      </c>
      <c r="B2363" t="s">
        <v>115</v>
      </c>
      <c r="C2363" t="b">
        <v>0</v>
      </c>
      <c r="D2363" s="1">
        <v>39022</v>
      </c>
      <c r="E2363">
        <v>5</v>
      </c>
      <c r="F2363"/>
      <c r="G2363"/>
      <c r="H2363"/>
      <c r="I2363"/>
      <c r="J2363"/>
      <c r="K2363"/>
      <c r="L2363"/>
      <c r="M2363"/>
      <c r="N2363"/>
      <c r="O2363"/>
    </row>
    <row r="2364" spans="1:15" hidden="1" x14ac:dyDescent="0.25">
      <c r="A2364" t="s">
        <v>106</v>
      </c>
      <c r="B2364" t="s">
        <v>115</v>
      </c>
      <c r="C2364" t="b">
        <v>0</v>
      </c>
      <c r="D2364" s="1">
        <v>39022</v>
      </c>
      <c r="E2364">
        <v>5.29</v>
      </c>
      <c r="F2364"/>
      <c r="G2364"/>
      <c r="H2364"/>
      <c r="I2364"/>
      <c r="J2364"/>
      <c r="K2364"/>
      <c r="L2364"/>
      <c r="M2364"/>
      <c r="N2364"/>
      <c r="O2364"/>
    </row>
    <row r="2365" spans="1:15" hidden="1" x14ac:dyDescent="0.25">
      <c r="A2365" t="s">
        <v>106</v>
      </c>
      <c r="B2365" t="s">
        <v>115</v>
      </c>
      <c r="C2365" t="b">
        <v>0</v>
      </c>
      <c r="D2365" s="1">
        <v>39022</v>
      </c>
      <c r="E2365">
        <v>5</v>
      </c>
      <c r="F2365"/>
      <c r="G2365"/>
      <c r="H2365"/>
      <c r="I2365"/>
      <c r="J2365"/>
      <c r="K2365"/>
      <c r="L2365"/>
      <c r="M2365"/>
      <c r="N2365"/>
      <c r="O2365"/>
    </row>
    <row r="2366" spans="1:15" hidden="1" x14ac:dyDescent="0.25">
      <c r="A2366" t="s">
        <v>106</v>
      </c>
      <c r="B2366" t="s">
        <v>115</v>
      </c>
      <c r="C2366" t="b">
        <v>0</v>
      </c>
      <c r="D2366" s="1">
        <v>39022</v>
      </c>
      <c r="E2366">
        <v>5</v>
      </c>
      <c r="F2366"/>
      <c r="G2366"/>
      <c r="H2366"/>
      <c r="I2366"/>
      <c r="J2366"/>
      <c r="K2366"/>
      <c r="L2366"/>
      <c r="M2366"/>
      <c r="N2366"/>
      <c r="O2366"/>
    </row>
    <row r="2367" spans="1:15" hidden="1" x14ac:dyDescent="0.25">
      <c r="A2367" t="s">
        <v>106</v>
      </c>
      <c r="B2367" t="s">
        <v>115</v>
      </c>
      <c r="C2367" t="b">
        <v>0</v>
      </c>
      <c r="D2367" s="1">
        <v>39022</v>
      </c>
      <c r="E2367">
        <v>5</v>
      </c>
      <c r="F2367"/>
      <c r="G2367"/>
      <c r="H2367"/>
      <c r="I2367"/>
      <c r="J2367"/>
      <c r="K2367"/>
      <c r="L2367"/>
      <c r="M2367"/>
      <c r="N2367"/>
      <c r="O2367"/>
    </row>
    <row r="2368" spans="1:15" hidden="1" x14ac:dyDescent="0.25">
      <c r="A2368" t="s">
        <v>106</v>
      </c>
      <c r="B2368" t="s">
        <v>115</v>
      </c>
      <c r="C2368" t="b">
        <v>0</v>
      </c>
      <c r="D2368" s="1">
        <v>39022</v>
      </c>
      <c r="E2368">
        <v>5</v>
      </c>
      <c r="F2368"/>
      <c r="G2368"/>
      <c r="H2368"/>
      <c r="I2368"/>
      <c r="J2368"/>
      <c r="K2368"/>
      <c r="L2368"/>
      <c r="M2368"/>
      <c r="N2368"/>
      <c r="O2368"/>
    </row>
    <row r="2369" spans="1:15" hidden="1" x14ac:dyDescent="0.25">
      <c r="A2369" t="s">
        <v>106</v>
      </c>
      <c r="B2369" t="s">
        <v>115</v>
      </c>
      <c r="C2369" t="b">
        <v>0</v>
      </c>
      <c r="D2369" s="1">
        <v>39022</v>
      </c>
      <c r="E2369">
        <v>5</v>
      </c>
      <c r="F2369"/>
      <c r="G2369"/>
      <c r="H2369"/>
      <c r="I2369"/>
      <c r="J2369"/>
      <c r="K2369"/>
      <c r="L2369"/>
      <c r="M2369"/>
      <c r="N2369"/>
      <c r="O2369"/>
    </row>
    <row r="2370" spans="1:15" hidden="1" x14ac:dyDescent="0.25">
      <c r="A2370" t="s">
        <v>106</v>
      </c>
      <c r="B2370" t="s">
        <v>115</v>
      </c>
      <c r="C2370" t="b">
        <v>0</v>
      </c>
      <c r="D2370" s="1">
        <v>39022</v>
      </c>
      <c r="E2370">
        <v>5</v>
      </c>
      <c r="F2370"/>
      <c r="G2370"/>
      <c r="H2370"/>
      <c r="I2370"/>
      <c r="J2370"/>
      <c r="K2370"/>
      <c r="L2370"/>
      <c r="M2370"/>
      <c r="N2370"/>
      <c r="O2370"/>
    </row>
    <row r="2371" spans="1:15" hidden="1" x14ac:dyDescent="0.25">
      <c r="A2371" t="s">
        <v>106</v>
      </c>
      <c r="B2371" t="s">
        <v>115</v>
      </c>
      <c r="C2371" t="b">
        <v>0</v>
      </c>
      <c r="D2371" s="1">
        <v>39022</v>
      </c>
      <c r="E2371">
        <v>5</v>
      </c>
      <c r="F2371"/>
      <c r="G2371"/>
      <c r="H2371"/>
      <c r="I2371"/>
      <c r="J2371"/>
      <c r="K2371"/>
      <c r="L2371"/>
      <c r="M2371"/>
      <c r="N2371"/>
      <c r="O2371"/>
    </row>
    <row r="2372" spans="1:15" hidden="1" x14ac:dyDescent="0.25">
      <c r="A2372" t="s">
        <v>106</v>
      </c>
      <c r="B2372" t="s">
        <v>115</v>
      </c>
      <c r="C2372" t="b">
        <v>0</v>
      </c>
      <c r="D2372" s="1">
        <v>39022</v>
      </c>
      <c r="E2372">
        <v>5</v>
      </c>
      <c r="F2372"/>
      <c r="G2372"/>
      <c r="H2372"/>
      <c r="I2372"/>
      <c r="J2372"/>
      <c r="K2372"/>
      <c r="L2372"/>
      <c r="M2372"/>
      <c r="N2372"/>
      <c r="O2372"/>
    </row>
    <row r="2373" spans="1:15" hidden="1" x14ac:dyDescent="0.25">
      <c r="A2373" t="s">
        <v>106</v>
      </c>
      <c r="B2373" t="s">
        <v>115</v>
      </c>
      <c r="C2373" t="b">
        <v>0</v>
      </c>
      <c r="D2373" s="1">
        <v>39022</v>
      </c>
      <c r="E2373">
        <v>5</v>
      </c>
      <c r="F2373"/>
      <c r="G2373"/>
      <c r="H2373"/>
      <c r="I2373"/>
      <c r="J2373"/>
      <c r="K2373"/>
      <c r="L2373"/>
      <c r="M2373"/>
      <c r="N2373"/>
      <c r="O2373"/>
    </row>
    <row r="2374" spans="1:15" hidden="1" x14ac:dyDescent="0.25">
      <c r="A2374" t="s">
        <v>106</v>
      </c>
      <c r="B2374" t="s">
        <v>115</v>
      </c>
      <c r="C2374" t="b">
        <v>0</v>
      </c>
      <c r="D2374" s="1">
        <v>39022</v>
      </c>
      <c r="E2374">
        <v>5</v>
      </c>
      <c r="F2374"/>
      <c r="G2374"/>
      <c r="H2374"/>
      <c r="I2374"/>
      <c r="J2374"/>
      <c r="K2374"/>
      <c r="L2374"/>
      <c r="M2374"/>
      <c r="N2374"/>
      <c r="O2374"/>
    </row>
    <row r="2375" spans="1:15" hidden="1" x14ac:dyDescent="0.25">
      <c r="A2375" t="s">
        <v>24</v>
      </c>
      <c r="B2375" t="s">
        <v>115</v>
      </c>
      <c r="C2375" t="b">
        <v>0</v>
      </c>
      <c r="D2375" s="1">
        <v>39022</v>
      </c>
      <c r="E2375">
        <v>5</v>
      </c>
      <c r="F2375"/>
      <c r="G2375"/>
      <c r="H2375"/>
      <c r="I2375"/>
      <c r="J2375"/>
      <c r="K2375"/>
      <c r="L2375"/>
      <c r="M2375"/>
      <c r="N2375"/>
      <c r="O2375"/>
    </row>
    <row r="2376" spans="1:15" hidden="1" x14ac:dyDescent="0.25">
      <c r="A2376" t="s">
        <v>30</v>
      </c>
      <c r="B2376" t="s">
        <v>115</v>
      </c>
      <c r="C2376" t="b">
        <v>0</v>
      </c>
      <c r="D2376" s="1">
        <v>39022</v>
      </c>
      <c r="E2376">
        <v>5</v>
      </c>
      <c r="F2376"/>
      <c r="G2376"/>
      <c r="H2376"/>
      <c r="I2376"/>
      <c r="J2376"/>
      <c r="K2376"/>
      <c r="L2376"/>
      <c r="M2376"/>
      <c r="N2376"/>
      <c r="O2376"/>
    </row>
    <row r="2377" spans="1:15" hidden="1" x14ac:dyDescent="0.25">
      <c r="A2377" t="s">
        <v>37</v>
      </c>
      <c r="B2377" t="s">
        <v>115</v>
      </c>
      <c r="C2377" t="b">
        <v>0</v>
      </c>
      <c r="D2377" s="1">
        <v>39022</v>
      </c>
      <c r="E2377">
        <v>5</v>
      </c>
      <c r="F2377"/>
      <c r="G2377"/>
      <c r="H2377"/>
      <c r="I2377"/>
      <c r="J2377"/>
      <c r="K2377"/>
      <c r="L2377"/>
      <c r="M2377"/>
      <c r="N2377"/>
      <c r="O2377"/>
    </row>
    <row r="2378" spans="1:15" hidden="1" x14ac:dyDescent="0.25">
      <c r="A2378" t="s">
        <v>39</v>
      </c>
      <c r="B2378" t="s">
        <v>115</v>
      </c>
      <c r="C2378" t="b">
        <v>0</v>
      </c>
      <c r="D2378" s="1">
        <v>39022</v>
      </c>
      <c r="E2378">
        <v>5</v>
      </c>
      <c r="F2378"/>
      <c r="G2378"/>
      <c r="H2378"/>
      <c r="I2378"/>
      <c r="J2378"/>
      <c r="K2378"/>
      <c r="L2378"/>
      <c r="M2378"/>
      <c r="N2378"/>
      <c r="O2378"/>
    </row>
    <row r="2379" spans="1:15" hidden="1" x14ac:dyDescent="0.25">
      <c r="A2379" t="s">
        <v>57</v>
      </c>
      <c r="B2379" t="s">
        <v>115</v>
      </c>
      <c r="C2379" t="b">
        <v>0</v>
      </c>
      <c r="D2379" s="1">
        <v>39022</v>
      </c>
      <c r="E2379">
        <v>5</v>
      </c>
      <c r="F2379"/>
      <c r="G2379"/>
      <c r="H2379"/>
      <c r="I2379"/>
      <c r="J2379"/>
      <c r="K2379"/>
      <c r="L2379"/>
      <c r="M2379"/>
      <c r="N2379"/>
      <c r="O2379"/>
    </row>
    <row r="2380" spans="1:15" hidden="1" x14ac:dyDescent="0.25">
      <c r="A2380" t="s">
        <v>69</v>
      </c>
      <c r="B2380" t="s">
        <v>115</v>
      </c>
      <c r="C2380" t="b">
        <v>0</v>
      </c>
      <c r="D2380" s="1">
        <v>39022</v>
      </c>
      <c r="E2380">
        <v>5</v>
      </c>
      <c r="F2380"/>
      <c r="G2380"/>
      <c r="H2380"/>
      <c r="I2380"/>
      <c r="J2380"/>
      <c r="K2380"/>
      <c r="L2380"/>
      <c r="M2380"/>
      <c r="N2380"/>
      <c r="O2380"/>
    </row>
    <row r="2381" spans="1:15" hidden="1" x14ac:dyDescent="0.25">
      <c r="A2381" t="s">
        <v>71</v>
      </c>
      <c r="B2381" t="s">
        <v>115</v>
      </c>
      <c r="C2381" t="b">
        <v>0</v>
      </c>
      <c r="D2381" s="1">
        <v>39022</v>
      </c>
      <c r="E2381">
        <v>5</v>
      </c>
      <c r="F2381"/>
      <c r="G2381"/>
      <c r="H2381"/>
      <c r="I2381"/>
      <c r="J2381"/>
      <c r="K2381"/>
      <c r="L2381"/>
      <c r="M2381"/>
      <c r="N2381"/>
      <c r="O2381"/>
    </row>
    <row r="2382" spans="1:15" hidden="1" x14ac:dyDescent="0.25">
      <c r="A2382" t="s">
        <v>86</v>
      </c>
      <c r="B2382" t="s">
        <v>115</v>
      </c>
      <c r="C2382" t="b">
        <v>0</v>
      </c>
      <c r="D2382" s="1">
        <v>39022</v>
      </c>
      <c r="E2382">
        <v>5</v>
      </c>
      <c r="F2382"/>
      <c r="G2382"/>
      <c r="H2382"/>
      <c r="I2382"/>
      <c r="J2382"/>
      <c r="K2382"/>
      <c r="L2382"/>
      <c r="M2382"/>
      <c r="N2382"/>
      <c r="O2382"/>
    </row>
    <row r="2383" spans="1:15" hidden="1" x14ac:dyDescent="0.25">
      <c r="A2383" t="s">
        <v>90</v>
      </c>
      <c r="B2383" t="s">
        <v>115</v>
      </c>
      <c r="C2383" t="b">
        <v>0</v>
      </c>
      <c r="D2383" s="1">
        <v>39022</v>
      </c>
      <c r="E2383">
        <v>5</v>
      </c>
      <c r="F2383"/>
      <c r="G2383"/>
      <c r="H2383"/>
      <c r="I2383"/>
      <c r="J2383"/>
      <c r="K2383"/>
      <c r="L2383"/>
      <c r="M2383"/>
      <c r="N2383"/>
      <c r="O2383"/>
    </row>
    <row r="2384" spans="1:15" hidden="1" x14ac:dyDescent="0.25">
      <c r="A2384" t="s">
        <v>99</v>
      </c>
      <c r="B2384" t="s">
        <v>114</v>
      </c>
      <c r="C2384" t="b">
        <v>0</v>
      </c>
      <c r="D2384" s="1">
        <v>39022</v>
      </c>
      <c r="E2384">
        <v>29</v>
      </c>
      <c r="F2384"/>
      <c r="G2384"/>
      <c r="H2384"/>
      <c r="I2384"/>
      <c r="J2384"/>
      <c r="K2384"/>
      <c r="L2384"/>
      <c r="M2384"/>
      <c r="N2384"/>
      <c r="O2384"/>
    </row>
    <row r="2385" spans="1:15" hidden="1" x14ac:dyDescent="0.25">
      <c r="A2385" t="s">
        <v>100</v>
      </c>
      <c r="B2385" t="s">
        <v>117</v>
      </c>
      <c r="C2385" t="b">
        <v>0</v>
      </c>
      <c r="D2385" s="1">
        <v>39052</v>
      </c>
      <c r="E2385" s="2">
        <v>-122.19</v>
      </c>
      <c r="F2385"/>
      <c r="G2385"/>
      <c r="H2385"/>
      <c r="I2385"/>
      <c r="J2385"/>
      <c r="K2385"/>
      <c r="L2385"/>
      <c r="M2385"/>
      <c r="N2385"/>
      <c r="O2385"/>
    </row>
    <row r="2386" spans="1:15" hidden="1" x14ac:dyDescent="0.25">
      <c r="A2386" t="s">
        <v>103</v>
      </c>
      <c r="B2386" t="s">
        <v>117</v>
      </c>
      <c r="C2386" t="b">
        <v>0</v>
      </c>
      <c r="D2386" s="1">
        <v>39052</v>
      </c>
      <c r="E2386" s="2">
        <v>-5</v>
      </c>
      <c r="F2386"/>
      <c r="G2386"/>
      <c r="H2386"/>
      <c r="I2386"/>
      <c r="J2386"/>
      <c r="K2386"/>
      <c r="L2386"/>
      <c r="M2386"/>
      <c r="N2386"/>
      <c r="O2386"/>
    </row>
    <row r="2387" spans="1:15" hidden="1" x14ac:dyDescent="0.25">
      <c r="A2387" t="s">
        <v>101</v>
      </c>
      <c r="B2387" t="s">
        <v>117</v>
      </c>
      <c r="C2387" t="b">
        <v>0</v>
      </c>
      <c r="D2387" s="1">
        <v>39052</v>
      </c>
      <c r="E2387" s="2">
        <v>-16</v>
      </c>
      <c r="F2387"/>
      <c r="G2387"/>
      <c r="H2387"/>
      <c r="I2387"/>
      <c r="J2387"/>
      <c r="K2387"/>
      <c r="L2387"/>
      <c r="M2387"/>
      <c r="N2387"/>
      <c r="O2387"/>
    </row>
    <row r="2388" spans="1:15" hidden="1" x14ac:dyDescent="0.25">
      <c r="A2388" t="s">
        <v>11</v>
      </c>
      <c r="B2388" t="s">
        <v>115</v>
      </c>
      <c r="C2388" t="b">
        <v>0</v>
      </c>
      <c r="D2388" s="1">
        <v>39052</v>
      </c>
      <c r="E2388">
        <v>5</v>
      </c>
      <c r="F2388"/>
      <c r="G2388"/>
      <c r="H2388"/>
      <c r="I2388"/>
      <c r="J2388"/>
      <c r="K2388"/>
      <c r="L2388"/>
      <c r="M2388"/>
      <c r="N2388"/>
      <c r="O2388"/>
    </row>
    <row r="2389" spans="1:15" hidden="1" x14ac:dyDescent="0.25">
      <c r="A2389" t="s">
        <v>14</v>
      </c>
      <c r="B2389" t="s">
        <v>115</v>
      </c>
      <c r="C2389" t="b">
        <v>0</v>
      </c>
      <c r="D2389" s="1">
        <v>39052</v>
      </c>
      <c r="E2389">
        <v>5</v>
      </c>
      <c r="F2389"/>
      <c r="G2389"/>
      <c r="H2389"/>
      <c r="I2389"/>
      <c r="J2389"/>
      <c r="K2389"/>
      <c r="L2389"/>
      <c r="M2389"/>
      <c r="N2389"/>
      <c r="O2389"/>
    </row>
    <row r="2390" spans="1:15" hidden="1" x14ac:dyDescent="0.25">
      <c r="A2390" t="s">
        <v>18</v>
      </c>
      <c r="B2390" t="s">
        <v>115</v>
      </c>
      <c r="C2390" t="b">
        <v>0</v>
      </c>
      <c r="D2390" s="1">
        <v>39052</v>
      </c>
      <c r="E2390">
        <v>5</v>
      </c>
      <c r="F2390"/>
      <c r="G2390"/>
      <c r="H2390"/>
      <c r="I2390"/>
      <c r="J2390"/>
      <c r="K2390"/>
      <c r="L2390"/>
      <c r="M2390"/>
      <c r="N2390"/>
      <c r="O2390"/>
    </row>
    <row r="2391" spans="1:15" hidden="1" x14ac:dyDescent="0.25">
      <c r="A2391" t="s">
        <v>106</v>
      </c>
      <c r="B2391" t="s">
        <v>115</v>
      </c>
      <c r="C2391" t="b">
        <v>0</v>
      </c>
      <c r="D2391" s="1">
        <v>39052</v>
      </c>
      <c r="E2391">
        <v>5</v>
      </c>
      <c r="F2391"/>
      <c r="G2391"/>
      <c r="H2391"/>
      <c r="I2391"/>
      <c r="J2391"/>
      <c r="K2391"/>
      <c r="L2391"/>
      <c r="M2391"/>
      <c r="N2391"/>
      <c r="O2391"/>
    </row>
    <row r="2392" spans="1:15" hidden="1" x14ac:dyDescent="0.25">
      <c r="A2392" t="s">
        <v>106</v>
      </c>
      <c r="B2392" t="s">
        <v>115</v>
      </c>
      <c r="C2392" t="b">
        <v>0</v>
      </c>
      <c r="D2392" s="1">
        <v>39052</v>
      </c>
      <c r="E2392">
        <v>5</v>
      </c>
      <c r="F2392"/>
      <c r="G2392"/>
      <c r="H2392"/>
      <c r="I2392"/>
      <c r="J2392"/>
      <c r="K2392"/>
      <c r="L2392"/>
      <c r="M2392"/>
      <c r="N2392"/>
      <c r="O2392"/>
    </row>
    <row r="2393" spans="1:15" hidden="1" x14ac:dyDescent="0.25">
      <c r="A2393" t="s">
        <v>106</v>
      </c>
      <c r="B2393" t="s">
        <v>115</v>
      </c>
      <c r="C2393" t="b">
        <v>0</v>
      </c>
      <c r="D2393" s="1">
        <v>39052</v>
      </c>
      <c r="E2393">
        <v>5</v>
      </c>
      <c r="F2393"/>
      <c r="G2393"/>
      <c r="H2393"/>
      <c r="I2393"/>
      <c r="J2393"/>
      <c r="K2393"/>
      <c r="L2393"/>
      <c r="M2393"/>
      <c r="N2393"/>
      <c r="O2393"/>
    </row>
    <row r="2394" spans="1:15" hidden="1" x14ac:dyDescent="0.25">
      <c r="A2394" t="s">
        <v>106</v>
      </c>
      <c r="B2394" t="s">
        <v>115</v>
      </c>
      <c r="C2394" t="b">
        <v>0</v>
      </c>
      <c r="D2394" s="1">
        <v>39052</v>
      </c>
      <c r="E2394">
        <v>5</v>
      </c>
      <c r="F2394"/>
      <c r="G2394"/>
      <c r="H2394"/>
      <c r="I2394"/>
      <c r="J2394"/>
      <c r="K2394"/>
      <c r="L2394"/>
      <c r="M2394"/>
      <c r="N2394"/>
      <c r="O2394"/>
    </row>
    <row r="2395" spans="1:15" hidden="1" x14ac:dyDescent="0.25">
      <c r="A2395" t="s">
        <v>106</v>
      </c>
      <c r="B2395" t="s">
        <v>115</v>
      </c>
      <c r="C2395" t="b">
        <v>0</v>
      </c>
      <c r="D2395" s="1">
        <v>39052</v>
      </c>
      <c r="E2395">
        <v>5</v>
      </c>
      <c r="F2395"/>
      <c r="G2395"/>
      <c r="H2395"/>
      <c r="I2395"/>
      <c r="J2395"/>
      <c r="K2395"/>
      <c r="L2395"/>
      <c r="M2395"/>
      <c r="N2395"/>
      <c r="O2395"/>
    </row>
    <row r="2396" spans="1:15" hidden="1" x14ac:dyDescent="0.25">
      <c r="A2396" t="s">
        <v>106</v>
      </c>
      <c r="B2396" t="s">
        <v>115</v>
      </c>
      <c r="C2396" t="b">
        <v>0</v>
      </c>
      <c r="D2396" s="1">
        <v>39052</v>
      </c>
      <c r="E2396">
        <v>5</v>
      </c>
      <c r="F2396"/>
      <c r="G2396"/>
      <c r="H2396"/>
      <c r="I2396"/>
      <c r="J2396"/>
      <c r="K2396"/>
      <c r="L2396"/>
      <c r="M2396"/>
      <c r="N2396"/>
      <c r="O2396"/>
    </row>
    <row r="2397" spans="1:15" hidden="1" x14ac:dyDescent="0.25">
      <c r="A2397" t="s">
        <v>106</v>
      </c>
      <c r="B2397" t="s">
        <v>115</v>
      </c>
      <c r="C2397" t="b">
        <v>0</v>
      </c>
      <c r="D2397" s="1">
        <v>39052</v>
      </c>
      <c r="E2397">
        <v>5</v>
      </c>
      <c r="F2397"/>
      <c r="G2397"/>
      <c r="H2397"/>
      <c r="I2397"/>
      <c r="J2397"/>
      <c r="K2397"/>
      <c r="L2397"/>
      <c r="M2397"/>
      <c r="N2397"/>
      <c r="O2397"/>
    </row>
    <row r="2398" spans="1:15" hidden="1" x14ac:dyDescent="0.25">
      <c r="A2398" t="s">
        <v>106</v>
      </c>
      <c r="B2398" t="s">
        <v>115</v>
      </c>
      <c r="C2398" t="b">
        <v>0</v>
      </c>
      <c r="D2398" s="1">
        <v>39052</v>
      </c>
      <c r="E2398">
        <v>5</v>
      </c>
      <c r="F2398"/>
      <c r="G2398"/>
      <c r="H2398"/>
      <c r="I2398"/>
      <c r="J2398"/>
      <c r="K2398"/>
      <c r="L2398"/>
      <c r="M2398"/>
      <c r="N2398"/>
      <c r="O2398"/>
    </row>
    <row r="2399" spans="1:15" hidden="1" x14ac:dyDescent="0.25">
      <c r="A2399" t="s">
        <v>106</v>
      </c>
      <c r="B2399" t="s">
        <v>115</v>
      </c>
      <c r="C2399" t="b">
        <v>0</v>
      </c>
      <c r="D2399" s="1">
        <v>39052</v>
      </c>
      <c r="E2399">
        <v>5</v>
      </c>
      <c r="F2399"/>
      <c r="G2399"/>
      <c r="H2399"/>
      <c r="I2399"/>
      <c r="J2399"/>
      <c r="K2399"/>
      <c r="L2399"/>
      <c r="M2399"/>
      <c r="N2399"/>
      <c r="O2399"/>
    </row>
    <row r="2400" spans="1:15" hidden="1" x14ac:dyDescent="0.25">
      <c r="A2400" t="s">
        <v>106</v>
      </c>
      <c r="B2400" t="s">
        <v>115</v>
      </c>
      <c r="C2400" t="b">
        <v>0</v>
      </c>
      <c r="D2400" s="1">
        <v>39052</v>
      </c>
      <c r="E2400">
        <v>5</v>
      </c>
      <c r="F2400"/>
      <c r="G2400"/>
      <c r="H2400"/>
      <c r="I2400"/>
      <c r="J2400"/>
      <c r="K2400"/>
      <c r="L2400"/>
      <c r="M2400"/>
      <c r="N2400"/>
      <c r="O2400"/>
    </row>
    <row r="2401" spans="1:15" hidden="1" x14ac:dyDescent="0.25">
      <c r="A2401" t="s">
        <v>106</v>
      </c>
      <c r="B2401" t="s">
        <v>115</v>
      </c>
      <c r="C2401" t="b">
        <v>0</v>
      </c>
      <c r="D2401" s="1">
        <v>39052</v>
      </c>
      <c r="E2401">
        <v>5</v>
      </c>
      <c r="F2401"/>
      <c r="G2401"/>
      <c r="H2401"/>
      <c r="I2401"/>
      <c r="J2401"/>
      <c r="K2401"/>
      <c r="L2401"/>
      <c r="M2401"/>
      <c r="N2401"/>
      <c r="O2401"/>
    </row>
    <row r="2402" spans="1:15" hidden="1" x14ac:dyDescent="0.25">
      <c r="A2402" t="s">
        <v>106</v>
      </c>
      <c r="B2402" t="s">
        <v>115</v>
      </c>
      <c r="C2402" t="b">
        <v>0</v>
      </c>
      <c r="D2402" s="1">
        <v>39052</v>
      </c>
      <c r="E2402">
        <v>5</v>
      </c>
      <c r="F2402"/>
      <c r="G2402"/>
      <c r="H2402"/>
      <c r="I2402"/>
      <c r="J2402"/>
      <c r="K2402"/>
      <c r="L2402"/>
      <c r="M2402"/>
      <c r="N2402"/>
      <c r="O2402"/>
    </row>
    <row r="2403" spans="1:15" hidden="1" x14ac:dyDescent="0.25">
      <c r="A2403" t="s">
        <v>106</v>
      </c>
      <c r="B2403" t="s">
        <v>115</v>
      </c>
      <c r="C2403" t="b">
        <v>0</v>
      </c>
      <c r="D2403" s="1">
        <v>39052</v>
      </c>
      <c r="E2403">
        <v>5</v>
      </c>
      <c r="F2403"/>
      <c r="G2403"/>
      <c r="H2403"/>
      <c r="I2403"/>
      <c r="J2403"/>
      <c r="K2403"/>
      <c r="L2403"/>
      <c r="M2403"/>
      <c r="N2403"/>
      <c r="O2403"/>
    </row>
    <row r="2404" spans="1:15" hidden="1" x14ac:dyDescent="0.25">
      <c r="A2404" t="s">
        <v>30</v>
      </c>
      <c r="B2404" t="s">
        <v>115</v>
      </c>
      <c r="C2404" t="b">
        <v>0</v>
      </c>
      <c r="D2404" s="1">
        <v>39052</v>
      </c>
      <c r="E2404">
        <v>5</v>
      </c>
      <c r="F2404"/>
      <c r="G2404"/>
      <c r="H2404"/>
      <c r="I2404"/>
      <c r="J2404"/>
      <c r="K2404"/>
      <c r="L2404"/>
      <c r="M2404"/>
      <c r="N2404"/>
      <c r="O2404"/>
    </row>
    <row r="2405" spans="1:15" hidden="1" x14ac:dyDescent="0.25">
      <c r="A2405" t="s">
        <v>37</v>
      </c>
      <c r="B2405" t="s">
        <v>115</v>
      </c>
      <c r="C2405" t="b">
        <v>0</v>
      </c>
      <c r="D2405" s="1">
        <v>39052</v>
      </c>
      <c r="E2405">
        <v>5</v>
      </c>
      <c r="F2405"/>
      <c r="G2405"/>
      <c r="H2405"/>
      <c r="I2405"/>
      <c r="J2405"/>
      <c r="K2405"/>
      <c r="L2405"/>
      <c r="M2405"/>
      <c r="N2405"/>
      <c r="O2405"/>
    </row>
    <row r="2406" spans="1:15" hidden="1" x14ac:dyDescent="0.25">
      <c r="A2406" t="s">
        <v>39</v>
      </c>
      <c r="B2406" t="s">
        <v>115</v>
      </c>
      <c r="C2406" t="b">
        <v>0</v>
      </c>
      <c r="D2406" s="1">
        <v>39052</v>
      </c>
      <c r="E2406">
        <v>5</v>
      </c>
      <c r="F2406"/>
      <c r="G2406"/>
      <c r="H2406"/>
      <c r="I2406"/>
      <c r="J2406"/>
      <c r="K2406"/>
      <c r="L2406"/>
      <c r="M2406"/>
      <c r="N2406"/>
      <c r="O2406"/>
    </row>
    <row r="2407" spans="1:15" hidden="1" x14ac:dyDescent="0.25">
      <c r="A2407" t="s">
        <v>57</v>
      </c>
      <c r="B2407" t="s">
        <v>115</v>
      </c>
      <c r="C2407" t="b">
        <v>0</v>
      </c>
      <c r="D2407" s="1">
        <v>39052</v>
      </c>
      <c r="E2407">
        <v>5</v>
      </c>
      <c r="F2407"/>
      <c r="G2407"/>
      <c r="H2407"/>
      <c r="I2407"/>
      <c r="J2407"/>
      <c r="K2407"/>
      <c r="L2407"/>
      <c r="M2407"/>
      <c r="N2407"/>
      <c r="O2407"/>
    </row>
    <row r="2408" spans="1:15" hidden="1" x14ac:dyDescent="0.25">
      <c r="A2408" t="s">
        <v>69</v>
      </c>
      <c r="B2408" t="s">
        <v>115</v>
      </c>
      <c r="C2408" t="b">
        <v>0</v>
      </c>
      <c r="D2408" s="1">
        <v>39052</v>
      </c>
      <c r="E2408">
        <v>5</v>
      </c>
      <c r="F2408"/>
      <c r="G2408"/>
      <c r="H2408"/>
      <c r="I2408"/>
      <c r="J2408"/>
      <c r="K2408"/>
      <c r="L2408"/>
      <c r="M2408"/>
      <c r="N2408"/>
      <c r="O2408"/>
    </row>
    <row r="2409" spans="1:15" hidden="1" x14ac:dyDescent="0.25">
      <c r="A2409" t="s">
        <v>71</v>
      </c>
      <c r="B2409" t="s">
        <v>115</v>
      </c>
      <c r="C2409" t="b">
        <v>0</v>
      </c>
      <c r="D2409" s="1">
        <v>39052</v>
      </c>
      <c r="E2409">
        <v>5</v>
      </c>
      <c r="F2409"/>
      <c r="G2409"/>
      <c r="H2409"/>
      <c r="I2409"/>
      <c r="J2409"/>
      <c r="K2409"/>
      <c r="L2409"/>
      <c r="M2409"/>
      <c r="N2409"/>
      <c r="O2409"/>
    </row>
    <row r="2410" spans="1:15" hidden="1" x14ac:dyDescent="0.25">
      <c r="A2410" t="s">
        <v>86</v>
      </c>
      <c r="B2410" t="s">
        <v>115</v>
      </c>
      <c r="C2410" t="b">
        <v>0</v>
      </c>
      <c r="D2410" s="1">
        <v>39052</v>
      </c>
      <c r="E2410">
        <v>5</v>
      </c>
      <c r="F2410"/>
      <c r="G2410"/>
      <c r="H2410"/>
      <c r="I2410"/>
      <c r="J2410"/>
      <c r="K2410"/>
      <c r="L2410"/>
      <c r="M2410"/>
      <c r="N2410"/>
      <c r="O2410"/>
    </row>
    <row r="2411" spans="1:15" hidden="1" x14ac:dyDescent="0.25">
      <c r="A2411" t="s">
        <v>90</v>
      </c>
      <c r="B2411" t="s">
        <v>115</v>
      </c>
      <c r="C2411" t="b">
        <v>0</v>
      </c>
      <c r="D2411" s="1">
        <v>39052</v>
      </c>
      <c r="E2411">
        <v>5</v>
      </c>
      <c r="F2411"/>
      <c r="G2411"/>
      <c r="H2411"/>
      <c r="I2411"/>
      <c r="J2411"/>
      <c r="K2411"/>
      <c r="L2411"/>
      <c r="M2411"/>
      <c r="N2411"/>
      <c r="O2411"/>
    </row>
    <row r="2412" spans="1:15" hidden="1" x14ac:dyDescent="0.25">
      <c r="A2412" t="s">
        <v>100</v>
      </c>
      <c r="B2412" t="s">
        <v>117</v>
      </c>
      <c r="C2412" t="b">
        <v>0</v>
      </c>
      <c r="D2412" s="1">
        <v>39083</v>
      </c>
      <c r="E2412" s="2">
        <v>-112.07</v>
      </c>
      <c r="F2412"/>
      <c r="G2412"/>
      <c r="H2412"/>
      <c r="I2412"/>
      <c r="J2412"/>
      <c r="K2412"/>
      <c r="L2412"/>
      <c r="M2412"/>
      <c r="N2412"/>
      <c r="O2412"/>
    </row>
    <row r="2413" spans="1:15" hidden="1" x14ac:dyDescent="0.25">
      <c r="A2413" t="s">
        <v>104</v>
      </c>
      <c r="B2413" t="s">
        <v>117</v>
      </c>
      <c r="C2413" t="b">
        <v>0</v>
      </c>
      <c r="D2413" s="1">
        <v>39083</v>
      </c>
      <c r="E2413" s="2">
        <v>-12</v>
      </c>
      <c r="F2413"/>
      <c r="G2413"/>
      <c r="H2413"/>
      <c r="I2413"/>
      <c r="J2413"/>
      <c r="K2413"/>
      <c r="L2413"/>
      <c r="M2413"/>
      <c r="N2413"/>
      <c r="O2413"/>
    </row>
    <row r="2414" spans="1:15" hidden="1" x14ac:dyDescent="0.25">
      <c r="A2414" t="s">
        <v>103</v>
      </c>
      <c r="B2414" t="s">
        <v>117</v>
      </c>
      <c r="C2414" t="b">
        <v>0</v>
      </c>
      <c r="D2414" s="1">
        <v>39083</v>
      </c>
      <c r="E2414" s="2">
        <v>-5</v>
      </c>
      <c r="F2414"/>
      <c r="G2414"/>
      <c r="H2414"/>
      <c r="I2414"/>
      <c r="J2414"/>
      <c r="K2414"/>
      <c r="L2414"/>
      <c r="M2414"/>
      <c r="N2414"/>
      <c r="O2414"/>
    </row>
    <row r="2415" spans="1:15" hidden="1" x14ac:dyDescent="0.25">
      <c r="A2415" t="s">
        <v>101</v>
      </c>
      <c r="B2415" t="s">
        <v>117</v>
      </c>
      <c r="C2415" t="b">
        <v>0</v>
      </c>
      <c r="D2415" s="1">
        <v>39083</v>
      </c>
      <c r="E2415" s="2">
        <v>-5</v>
      </c>
      <c r="F2415"/>
      <c r="G2415"/>
      <c r="H2415"/>
      <c r="I2415"/>
      <c r="J2415"/>
      <c r="K2415"/>
      <c r="L2415"/>
      <c r="M2415"/>
      <c r="N2415"/>
      <c r="O2415"/>
    </row>
    <row r="2416" spans="1:15" hidden="1" x14ac:dyDescent="0.25">
      <c r="A2416" t="s">
        <v>11</v>
      </c>
      <c r="B2416" t="s">
        <v>115</v>
      </c>
      <c r="C2416" t="b">
        <v>0</v>
      </c>
      <c r="D2416" s="1">
        <v>39083</v>
      </c>
      <c r="E2416">
        <v>5</v>
      </c>
      <c r="F2416"/>
      <c r="G2416"/>
      <c r="H2416"/>
      <c r="I2416"/>
      <c r="J2416"/>
      <c r="K2416"/>
      <c r="L2416"/>
      <c r="M2416"/>
      <c r="N2416"/>
      <c r="O2416"/>
    </row>
    <row r="2417" spans="1:15" hidden="1" x14ac:dyDescent="0.25">
      <c r="A2417" t="s">
        <v>14</v>
      </c>
      <c r="B2417" t="s">
        <v>115</v>
      </c>
      <c r="C2417" t="b">
        <v>0</v>
      </c>
      <c r="D2417" s="1">
        <v>39083</v>
      </c>
      <c r="E2417">
        <v>5</v>
      </c>
      <c r="F2417"/>
      <c r="G2417"/>
      <c r="H2417"/>
      <c r="I2417"/>
      <c r="J2417"/>
      <c r="K2417"/>
      <c r="L2417"/>
      <c r="M2417"/>
      <c r="N2417"/>
      <c r="O2417"/>
    </row>
    <row r="2418" spans="1:15" hidden="1" x14ac:dyDescent="0.25">
      <c r="A2418" t="s">
        <v>106</v>
      </c>
      <c r="B2418" t="s">
        <v>115</v>
      </c>
      <c r="C2418" t="b">
        <v>0</v>
      </c>
      <c r="D2418" s="1">
        <v>39083</v>
      </c>
      <c r="E2418">
        <v>5</v>
      </c>
      <c r="F2418"/>
      <c r="G2418"/>
      <c r="H2418"/>
      <c r="I2418"/>
      <c r="J2418"/>
      <c r="K2418"/>
      <c r="L2418"/>
      <c r="M2418"/>
      <c r="N2418"/>
      <c r="O2418"/>
    </row>
    <row r="2419" spans="1:15" hidden="1" x14ac:dyDescent="0.25">
      <c r="A2419" t="s">
        <v>106</v>
      </c>
      <c r="B2419" t="s">
        <v>115</v>
      </c>
      <c r="C2419" t="b">
        <v>0</v>
      </c>
      <c r="D2419" s="1">
        <v>39083</v>
      </c>
      <c r="E2419">
        <v>5</v>
      </c>
      <c r="F2419"/>
      <c r="G2419"/>
      <c r="H2419"/>
      <c r="I2419"/>
      <c r="J2419"/>
      <c r="K2419"/>
      <c r="L2419"/>
      <c r="M2419"/>
      <c r="N2419"/>
      <c r="O2419"/>
    </row>
    <row r="2420" spans="1:15" hidden="1" x14ac:dyDescent="0.25">
      <c r="A2420" t="s">
        <v>106</v>
      </c>
      <c r="B2420" t="s">
        <v>115</v>
      </c>
      <c r="C2420" t="b">
        <v>0</v>
      </c>
      <c r="D2420" s="1">
        <v>39083</v>
      </c>
      <c r="E2420">
        <v>5</v>
      </c>
      <c r="F2420"/>
      <c r="G2420"/>
      <c r="H2420"/>
      <c r="I2420"/>
      <c r="J2420"/>
      <c r="K2420"/>
      <c r="L2420"/>
      <c r="M2420"/>
      <c r="N2420"/>
      <c r="O2420"/>
    </row>
    <row r="2421" spans="1:15" hidden="1" x14ac:dyDescent="0.25">
      <c r="A2421" t="s">
        <v>106</v>
      </c>
      <c r="B2421" t="s">
        <v>115</v>
      </c>
      <c r="C2421" t="b">
        <v>0</v>
      </c>
      <c r="D2421" s="1">
        <v>39083</v>
      </c>
      <c r="E2421">
        <v>5</v>
      </c>
      <c r="F2421"/>
      <c r="G2421"/>
      <c r="H2421"/>
      <c r="I2421"/>
      <c r="J2421"/>
      <c r="K2421"/>
      <c r="L2421"/>
      <c r="M2421"/>
      <c r="N2421"/>
      <c r="O2421"/>
    </row>
    <row r="2422" spans="1:15" hidden="1" x14ac:dyDescent="0.25">
      <c r="A2422" t="s">
        <v>106</v>
      </c>
      <c r="B2422" t="s">
        <v>115</v>
      </c>
      <c r="C2422" t="b">
        <v>0</v>
      </c>
      <c r="D2422" s="1">
        <v>39083</v>
      </c>
      <c r="E2422">
        <v>5</v>
      </c>
      <c r="F2422"/>
      <c r="G2422"/>
      <c r="H2422"/>
      <c r="I2422"/>
      <c r="J2422"/>
      <c r="K2422"/>
      <c r="L2422"/>
      <c r="M2422"/>
      <c r="N2422"/>
      <c r="O2422"/>
    </row>
    <row r="2423" spans="1:15" hidden="1" x14ac:dyDescent="0.25">
      <c r="A2423" t="s">
        <v>106</v>
      </c>
      <c r="B2423" t="s">
        <v>115</v>
      </c>
      <c r="C2423" t="b">
        <v>0</v>
      </c>
      <c r="D2423" s="1">
        <v>39083</v>
      </c>
      <c r="E2423">
        <v>5</v>
      </c>
      <c r="F2423"/>
      <c r="G2423"/>
      <c r="H2423"/>
      <c r="I2423"/>
      <c r="J2423"/>
      <c r="K2423"/>
      <c r="L2423"/>
      <c r="M2423"/>
      <c r="N2423"/>
      <c r="O2423"/>
    </row>
    <row r="2424" spans="1:15" hidden="1" x14ac:dyDescent="0.25">
      <c r="A2424" t="s">
        <v>106</v>
      </c>
      <c r="B2424" t="s">
        <v>115</v>
      </c>
      <c r="C2424" t="b">
        <v>0</v>
      </c>
      <c r="D2424" s="1">
        <v>39083</v>
      </c>
      <c r="E2424">
        <v>5</v>
      </c>
      <c r="F2424"/>
      <c r="G2424"/>
      <c r="H2424"/>
      <c r="I2424"/>
      <c r="J2424"/>
      <c r="K2424"/>
      <c r="L2424"/>
      <c r="M2424"/>
      <c r="N2424"/>
      <c r="O2424"/>
    </row>
    <row r="2425" spans="1:15" hidden="1" x14ac:dyDescent="0.25">
      <c r="A2425" t="s">
        <v>106</v>
      </c>
      <c r="B2425" t="s">
        <v>115</v>
      </c>
      <c r="C2425" t="b">
        <v>0</v>
      </c>
      <c r="D2425" s="1">
        <v>39083</v>
      </c>
      <c r="E2425">
        <v>5</v>
      </c>
      <c r="F2425"/>
      <c r="G2425"/>
      <c r="H2425"/>
      <c r="I2425"/>
      <c r="J2425"/>
      <c r="K2425"/>
      <c r="L2425"/>
      <c r="M2425"/>
      <c r="N2425"/>
      <c r="O2425"/>
    </row>
    <row r="2426" spans="1:15" hidden="1" x14ac:dyDescent="0.25">
      <c r="A2426" t="s">
        <v>106</v>
      </c>
      <c r="B2426" t="s">
        <v>115</v>
      </c>
      <c r="C2426" t="b">
        <v>0</v>
      </c>
      <c r="D2426" s="1">
        <v>39083</v>
      </c>
      <c r="E2426">
        <v>2</v>
      </c>
      <c r="F2426"/>
      <c r="G2426"/>
      <c r="H2426"/>
      <c r="I2426"/>
      <c r="J2426"/>
      <c r="K2426"/>
      <c r="L2426"/>
      <c r="M2426"/>
      <c r="N2426"/>
      <c r="O2426"/>
    </row>
    <row r="2427" spans="1:15" hidden="1" x14ac:dyDescent="0.25">
      <c r="A2427" t="s">
        <v>106</v>
      </c>
      <c r="B2427" t="s">
        <v>115</v>
      </c>
      <c r="C2427" t="b">
        <v>0</v>
      </c>
      <c r="D2427" s="1">
        <v>39083</v>
      </c>
      <c r="E2427">
        <v>5</v>
      </c>
      <c r="F2427"/>
      <c r="G2427"/>
      <c r="H2427"/>
      <c r="I2427"/>
      <c r="J2427"/>
      <c r="K2427"/>
      <c r="L2427"/>
      <c r="M2427"/>
      <c r="N2427"/>
      <c r="O2427"/>
    </row>
    <row r="2428" spans="1:15" hidden="1" x14ac:dyDescent="0.25">
      <c r="A2428" t="s">
        <v>106</v>
      </c>
      <c r="B2428" t="s">
        <v>115</v>
      </c>
      <c r="C2428" t="b">
        <v>0</v>
      </c>
      <c r="D2428" s="1">
        <v>39083</v>
      </c>
      <c r="E2428">
        <v>5</v>
      </c>
      <c r="F2428"/>
      <c r="G2428"/>
      <c r="H2428"/>
      <c r="I2428"/>
      <c r="J2428"/>
      <c r="K2428"/>
      <c r="L2428"/>
      <c r="M2428"/>
      <c r="N2428"/>
      <c r="O2428"/>
    </row>
    <row r="2429" spans="1:15" hidden="1" x14ac:dyDescent="0.25">
      <c r="A2429" t="s">
        <v>106</v>
      </c>
      <c r="B2429" t="s">
        <v>115</v>
      </c>
      <c r="C2429" t="b">
        <v>0</v>
      </c>
      <c r="D2429" s="1">
        <v>39083</v>
      </c>
      <c r="E2429">
        <v>5</v>
      </c>
      <c r="F2429"/>
      <c r="G2429"/>
      <c r="H2429"/>
      <c r="I2429"/>
      <c r="J2429"/>
      <c r="K2429"/>
      <c r="L2429"/>
      <c r="M2429"/>
      <c r="N2429"/>
      <c r="O2429"/>
    </row>
    <row r="2430" spans="1:15" hidden="1" x14ac:dyDescent="0.25">
      <c r="A2430" t="s">
        <v>106</v>
      </c>
      <c r="B2430" t="s">
        <v>115</v>
      </c>
      <c r="C2430" t="b">
        <v>0</v>
      </c>
      <c r="D2430" s="1">
        <v>39083</v>
      </c>
      <c r="E2430">
        <v>5</v>
      </c>
      <c r="F2430"/>
      <c r="G2430"/>
      <c r="H2430"/>
      <c r="I2430"/>
      <c r="J2430"/>
      <c r="K2430"/>
      <c r="L2430"/>
      <c r="M2430"/>
      <c r="N2430"/>
      <c r="O2430"/>
    </row>
    <row r="2431" spans="1:15" hidden="1" x14ac:dyDescent="0.25">
      <c r="A2431" t="s">
        <v>24</v>
      </c>
      <c r="B2431" t="s">
        <v>115</v>
      </c>
      <c r="C2431" t="b">
        <v>0</v>
      </c>
      <c r="D2431" s="1">
        <v>39083</v>
      </c>
      <c r="E2431">
        <v>5</v>
      </c>
      <c r="F2431"/>
      <c r="G2431"/>
      <c r="H2431"/>
      <c r="I2431"/>
      <c r="J2431"/>
      <c r="K2431"/>
      <c r="L2431"/>
      <c r="M2431"/>
      <c r="N2431"/>
      <c r="O2431"/>
    </row>
    <row r="2432" spans="1:15" hidden="1" x14ac:dyDescent="0.25">
      <c r="A2432" t="s">
        <v>30</v>
      </c>
      <c r="B2432" t="s">
        <v>115</v>
      </c>
      <c r="C2432" t="b">
        <v>0</v>
      </c>
      <c r="D2432" s="1">
        <v>39083</v>
      </c>
      <c r="E2432">
        <v>5</v>
      </c>
      <c r="F2432"/>
      <c r="G2432"/>
      <c r="H2432"/>
      <c r="I2432"/>
      <c r="J2432"/>
      <c r="K2432"/>
      <c r="L2432"/>
      <c r="M2432"/>
      <c r="N2432"/>
      <c r="O2432"/>
    </row>
    <row r="2433" spans="1:15" hidden="1" x14ac:dyDescent="0.25">
      <c r="A2433" t="s">
        <v>37</v>
      </c>
      <c r="B2433" t="s">
        <v>115</v>
      </c>
      <c r="C2433" t="b">
        <v>0</v>
      </c>
      <c r="D2433" s="1">
        <v>39083</v>
      </c>
      <c r="E2433">
        <v>5</v>
      </c>
      <c r="F2433"/>
      <c r="G2433"/>
      <c r="H2433"/>
      <c r="I2433"/>
      <c r="J2433"/>
      <c r="K2433"/>
      <c r="L2433"/>
      <c r="M2433"/>
      <c r="N2433"/>
      <c r="O2433"/>
    </row>
    <row r="2434" spans="1:15" hidden="1" x14ac:dyDescent="0.25">
      <c r="A2434" t="s">
        <v>39</v>
      </c>
      <c r="B2434" t="s">
        <v>115</v>
      </c>
      <c r="C2434" t="b">
        <v>0</v>
      </c>
      <c r="D2434" s="1">
        <v>39083</v>
      </c>
      <c r="E2434">
        <v>5</v>
      </c>
      <c r="F2434"/>
      <c r="G2434"/>
      <c r="H2434"/>
      <c r="I2434"/>
      <c r="J2434"/>
      <c r="K2434"/>
      <c r="L2434"/>
      <c r="M2434"/>
      <c r="N2434"/>
      <c r="O2434"/>
    </row>
    <row r="2435" spans="1:15" hidden="1" x14ac:dyDescent="0.25">
      <c r="A2435" t="s">
        <v>57</v>
      </c>
      <c r="B2435" t="s">
        <v>115</v>
      </c>
      <c r="C2435" t="b">
        <v>0</v>
      </c>
      <c r="D2435" s="1">
        <v>39083</v>
      </c>
      <c r="E2435">
        <v>5</v>
      </c>
      <c r="F2435"/>
      <c r="G2435"/>
      <c r="H2435"/>
      <c r="I2435"/>
      <c r="J2435"/>
      <c r="K2435"/>
      <c r="L2435"/>
      <c r="M2435"/>
      <c r="N2435"/>
      <c r="O2435"/>
    </row>
    <row r="2436" spans="1:15" hidden="1" x14ac:dyDescent="0.25">
      <c r="A2436" t="s">
        <v>71</v>
      </c>
      <c r="B2436" t="s">
        <v>115</v>
      </c>
      <c r="C2436" t="b">
        <v>0</v>
      </c>
      <c r="D2436" s="1">
        <v>39083</v>
      </c>
      <c r="E2436">
        <v>5</v>
      </c>
      <c r="F2436"/>
      <c r="G2436"/>
      <c r="H2436"/>
      <c r="I2436"/>
      <c r="J2436"/>
      <c r="K2436"/>
      <c r="L2436"/>
      <c r="M2436"/>
      <c r="N2436"/>
      <c r="O2436"/>
    </row>
    <row r="2437" spans="1:15" hidden="1" x14ac:dyDescent="0.25">
      <c r="A2437" t="s">
        <v>86</v>
      </c>
      <c r="B2437" t="s">
        <v>115</v>
      </c>
      <c r="C2437" t="b">
        <v>0</v>
      </c>
      <c r="D2437" s="1">
        <v>39083</v>
      </c>
      <c r="E2437">
        <v>5</v>
      </c>
      <c r="F2437"/>
      <c r="G2437"/>
      <c r="H2437"/>
      <c r="I2437"/>
      <c r="J2437"/>
      <c r="K2437"/>
      <c r="L2437"/>
      <c r="M2437"/>
      <c r="N2437"/>
      <c r="O2437"/>
    </row>
    <row r="2438" spans="1:15" hidden="1" x14ac:dyDescent="0.25">
      <c r="A2438" t="s">
        <v>90</v>
      </c>
      <c r="B2438" t="s">
        <v>115</v>
      </c>
      <c r="C2438" t="b">
        <v>0</v>
      </c>
      <c r="D2438" s="1">
        <v>39083</v>
      </c>
      <c r="E2438">
        <v>5</v>
      </c>
      <c r="F2438"/>
      <c r="G2438"/>
      <c r="H2438"/>
      <c r="I2438"/>
      <c r="J2438"/>
      <c r="K2438"/>
      <c r="L2438"/>
      <c r="M2438"/>
      <c r="N2438"/>
      <c r="O2438"/>
    </row>
    <row r="2439" spans="1:15" hidden="1" x14ac:dyDescent="0.25">
      <c r="A2439" t="s">
        <v>99</v>
      </c>
      <c r="B2439" t="s">
        <v>114</v>
      </c>
      <c r="C2439" t="b">
        <v>0</v>
      </c>
      <c r="D2439" s="1">
        <v>39083</v>
      </c>
      <c r="E2439">
        <v>32.26</v>
      </c>
      <c r="F2439"/>
      <c r="G2439"/>
      <c r="H2439"/>
      <c r="I2439"/>
      <c r="J2439"/>
      <c r="K2439"/>
      <c r="L2439"/>
      <c r="M2439"/>
      <c r="N2439"/>
      <c r="O2439"/>
    </row>
    <row r="2440" spans="1:15" hidden="1" x14ac:dyDescent="0.25">
      <c r="A2440" t="s">
        <v>103</v>
      </c>
      <c r="B2440" t="s">
        <v>117</v>
      </c>
      <c r="C2440" t="b">
        <v>0</v>
      </c>
      <c r="D2440" s="1">
        <v>39114</v>
      </c>
      <c r="E2440" s="2">
        <v>-5</v>
      </c>
      <c r="F2440"/>
      <c r="G2440"/>
      <c r="H2440"/>
      <c r="I2440"/>
      <c r="J2440"/>
      <c r="K2440"/>
      <c r="L2440"/>
      <c r="M2440"/>
      <c r="N2440"/>
      <c r="O2440"/>
    </row>
    <row r="2441" spans="1:15" hidden="1" x14ac:dyDescent="0.25">
      <c r="A2441" t="s">
        <v>101</v>
      </c>
      <c r="B2441" t="s">
        <v>117</v>
      </c>
      <c r="C2441" t="b">
        <v>0</v>
      </c>
      <c r="D2441" s="1">
        <v>39114</v>
      </c>
      <c r="E2441" s="2">
        <v>-10</v>
      </c>
      <c r="F2441"/>
      <c r="G2441"/>
      <c r="H2441"/>
      <c r="I2441"/>
      <c r="J2441"/>
      <c r="K2441"/>
      <c r="L2441"/>
      <c r="M2441"/>
      <c r="N2441"/>
      <c r="O2441"/>
    </row>
    <row r="2442" spans="1:15" hidden="1" x14ac:dyDescent="0.25">
      <c r="A2442" t="s">
        <v>14</v>
      </c>
      <c r="B2442" t="s">
        <v>115</v>
      </c>
      <c r="C2442" t="b">
        <v>0</v>
      </c>
      <c r="D2442" s="1">
        <v>39114</v>
      </c>
      <c r="E2442">
        <v>5</v>
      </c>
      <c r="F2442"/>
      <c r="G2442"/>
      <c r="H2442"/>
      <c r="I2442"/>
      <c r="J2442"/>
      <c r="K2442"/>
      <c r="L2442"/>
      <c r="M2442"/>
      <c r="N2442"/>
      <c r="O2442"/>
    </row>
    <row r="2443" spans="1:15" hidden="1" x14ac:dyDescent="0.25">
      <c r="A2443" t="s">
        <v>106</v>
      </c>
      <c r="B2443" t="s">
        <v>115</v>
      </c>
      <c r="C2443" t="b">
        <v>0</v>
      </c>
      <c r="D2443" s="1">
        <v>39114</v>
      </c>
      <c r="E2443">
        <v>5</v>
      </c>
      <c r="F2443"/>
      <c r="G2443"/>
      <c r="H2443"/>
      <c r="I2443"/>
      <c r="J2443"/>
      <c r="K2443"/>
      <c r="L2443"/>
      <c r="M2443"/>
      <c r="N2443"/>
      <c r="O2443"/>
    </row>
    <row r="2444" spans="1:15" hidden="1" x14ac:dyDescent="0.25">
      <c r="A2444" t="s">
        <v>106</v>
      </c>
      <c r="B2444" t="s">
        <v>115</v>
      </c>
      <c r="C2444" t="b">
        <v>0</v>
      </c>
      <c r="D2444" s="1">
        <v>39114</v>
      </c>
      <c r="E2444">
        <v>5</v>
      </c>
      <c r="F2444"/>
      <c r="G2444"/>
      <c r="H2444"/>
      <c r="I2444"/>
      <c r="J2444"/>
      <c r="K2444"/>
      <c r="L2444"/>
      <c r="M2444"/>
      <c r="N2444"/>
      <c r="O2444"/>
    </row>
    <row r="2445" spans="1:15" hidden="1" x14ac:dyDescent="0.25">
      <c r="A2445" t="s">
        <v>106</v>
      </c>
      <c r="B2445" t="s">
        <v>115</v>
      </c>
      <c r="C2445" t="b">
        <v>0</v>
      </c>
      <c r="D2445" s="1">
        <v>39114</v>
      </c>
      <c r="E2445">
        <v>5</v>
      </c>
      <c r="F2445"/>
      <c r="G2445"/>
      <c r="H2445"/>
      <c r="I2445"/>
      <c r="J2445"/>
      <c r="K2445"/>
      <c r="L2445"/>
      <c r="M2445"/>
      <c r="N2445"/>
      <c r="O2445"/>
    </row>
    <row r="2446" spans="1:15" hidden="1" x14ac:dyDescent="0.25">
      <c r="A2446" t="s">
        <v>106</v>
      </c>
      <c r="B2446" t="s">
        <v>115</v>
      </c>
      <c r="C2446" t="b">
        <v>0</v>
      </c>
      <c r="D2446" s="1">
        <v>39114</v>
      </c>
      <c r="E2446">
        <v>5</v>
      </c>
      <c r="F2446"/>
      <c r="G2446"/>
      <c r="H2446"/>
      <c r="I2446"/>
      <c r="J2446"/>
      <c r="K2446"/>
      <c r="L2446"/>
      <c r="M2446"/>
      <c r="N2446"/>
      <c r="O2446"/>
    </row>
    <row r="2447" spans="1:15" hidden="1" x14ac:dyDescent="0.25">
      <c r="A2447" t="s">
        <v>106</v>
      </c>
      <c r="B2447" t="s">
        <v>115</v>
      </c>
      <c r="C2447" t="b">
        <v>0</v>
      </c>
      <c r="D2447" s="1">
        <v>39114</v>
      </c>
      <c r="E2447">
        <v>5</v>
      </c>
      <c r="F2447"/>
      <c r="G2447"/>
      <c r="H2447"/>
      <c r="I2447"/>
      <c r="J2447"/>
      <c r="K2447"/>
      <c r="L2447"/>
      <c r="M2447"/>
      <c r="N2447"/>
      <c r="O2447"/>
    </row>
    <row r="2448" spans="1:15" hidden="1" x14ac:dyDescent="0.25">
      <c r="A2448" t="s">
        <v>106</v>
      </c>
      <c r="B2448" t="s">
        <v>115</v>
      </c>
      <c r="C2448" t="b">
        <v>0</v>
      </c>
      <c r="D2448" s="1">
        <v>39114</v>
      </c>
      <c r="E2448">
        <v>5</v>
      </c>
      <c r="F2448"/>
      <c r="G2448"/>
      <c r="H2448"/>
      <c r="I2448"/>
      <c r="J2448"/>
      <c r="K2448"/>
      <c r="L2448"/>
      <c r="M2448"/>
      <c r="N2448"/>
      <c r="O2448"/>
    </row>
    <row r="2449" spans="1:15" hidden="1" x14ac:dyDescent="0.25">
      <c r="A2449" t="s">
        <v>106</v>
      </c>
      <c r="B2449" t="s">
        <v>115</v>
      </c>
      <c r="C2449" t="b">
        <v>0</v>
      </c>
      <c r="D2449" s="1">
        <v>39114</v>
      </c>
      <c r="E2449">
        <v>5</v>
      </c>
      <c r="F2449"/>
      <c r="G2449"/>
      <c r="H2449"/>
      <c r="I2449"/>
      <c r="J2449"/>
      <c r="K2449"/>
      <c r="L2449"/>
      <c r="M2449"/>
      <c r="N2449"/>
      <c r="O2449"/>
    </row>
    <row r="2450" spans="1:15" hidden="1" x14ac:dyDescent="0.25">
      <c r="A2450" t="s">
        <v>106</v>
      </c>
      <c r="B2450" t="s">
        <v>115</v>
      </c>
      <c r="C2450" t="b">
        <v>0</v>
      </c>
      <c r="D2450" s="1">
        <v>39114</v>
      </c>
      <c r="E2450">
        <v>5</v>
      </c>
      <c r="F2450"/>
      <c r="G2450"/>
      <c r="H2450"/>
      <c r="I2450"/>
      <c r="J2450"/>
      <c r="K2450"/>
      <c r="L2450"/>
      <c r="M2450"/>
      <c r="N2450"/>
      <c r="O2450"/>
    </row>
    <row r="2451" spans="1:15" hidden="1" x14ac:dyDescent="0.25">
      <c r="A2451" t="s">
        <v>106</v>
      </c>
      <c r="B2451" t="s">
        <v>115</v>
      </c>
      <c r="C2451" t="b">
        <v>0</v>
      </c>
      <c r="D2451" s="1">
        <v>39114</v>
      </c>
      <c r="E2451">
        <v>5</v>
      </c>
      <c r="F2451"/>
      <c r="G2451"/>
      <c r="H2451"/>
      <c r="I2451"/>
      <c r="J2451"/>
      <c r="K2451"/>
      <c r="L2451"/>
      <c r="M2451"/>
      <c r="N2451"/>
      <c r="O2451"/>
    </row>
    <row r="2452" spans="1:15" hidden="1" x14ac:dyDescent="0.25">
      <c r="A2452" t="s">
        <v>106</v>
      </c>
      <c r="B2452" t="s">
        <v>115</v>
      </c>
      <c r="C2452" t="b">
        <v>0</v>
      </c>
      <c r="D2452" s="1">
        <v>39114</v>
      </c>
      <c r="E2452">
        <v>5</v>
      </c>
      <c r="F2452"/>
      <c r="G2452"/>
      <c r="H2452"/>
      <c r="I2452"/>
      <c r="J2452"/>
      <c r="K2452"/>
      <c r="L2452"/>
      <c r="M2452"/>
      <c r="N2452"/>
      <c r="O2452"/>
    </row>
    <row r="2453" spans="1:15" hidden="1" x14ac:dyDescent="0.25">
      <c r="A2453" t="s">
        <v>106</v>
      </c>
      <c r="B2453" t="s">
        <v>115</v>
      </c>
      <c r="C2453" t="b">
        <v>0</v>
      </c>
      <c r="D2453" s="1">
        <v>39114</v>
      </c>
      <c r="E2453">
        <v>5</v>
      </c>
      <c r="F2453"/>
      <c r="G2453"/>
      <c r="H2453"/>
      <c r="I2453"/>
      <c r="J2453"/>
      <c r="K2453"/>
      <c r="L2453"/>
      <c r="M2453"/>
      <c r="N2453"/>
      <c r="O2453"/>
    </row>
    <row r="2454" spans="1:15" hidden="1" x14ac:dyDescent="0.25">
      <c r="A2454" t="s">
        <v>106</v>
      </c>
      <c r="B2454" t="s">
        <v>115</v>
      </c>
      <c r="C2454" t="b">
        <v>0</v>
      </c>
      <c r="D2454" s="1">
        <v>39114</v>
      </c>
      <c r="E2454">
        <v>5</v>
      </c>
      <c r="F2454"/>
      <c r="G2454"/>
      <c r="H2454"/>
      <c r="I2454"/>
      <c r="J2454"/>
      <c r="K2454"/>
      <c r="L2454"/>
      <c r="M2454"/>
      <c r="N2454"/>
      <c r="O2454"/>
    </row>
    <row r="2455" spans="1:15" hidden="1" x14ac:dyDescent="0.25">
      <c r="A2455" t="s">
        <v>24</v>
      </c>
      <c r="B2455" t="s">
        <v>115</v>
      </c>
      <c r="C2455" t="b">
        <v>0</v>
      </c>
      <c r="D2455" s="1">
        <v>39114</v>
      </c>
      <c r="E2455">
        <v>5</v>
      </c>
      <c r="F2455"/>
      <c r="G2455"/>
      <c r="H2455"/>
      <c r="I2455"/>
      <c r="J2455"/>
      <c r="K2455"/>
      <c r="L2455"/>
      <c r="M2455"/>
      <c r="N2455"/>
      <c r="O2455"/>
    </row>
    <row r="2456" spans="1:15" hidden="1" x14ac:dyDescent="0.25">
      <c r="A2456" t="s">
        <v>30</v>
      </c>
      <c r="B2456" t="s">
        <v>115</v>
      </c>
      <c r="C2456" t="b">
        <v>0</v>
      </c>
      <c r="D2456" s="1">
        <v>39114</v>
      </c>
      <c r="E2456">
        <v>5</v>
      </c>
      <c r="F2456"/>
      <c r="G2456"/>
      <c r="H2456"/>
      <c r="I2456"/>
      <c r="J2456"/>
      <c r="K2456"/>
      <c r="L2456"/>
      <c r="M2456"/>
      <c r="N2456"/>
      <c r="O2456"/>
    </row>
    <row r="2457" spans="1:15" hidden="1" x14ac:dyDescent="0.25">
      <c r="A2457" t="s">
        <v>37</v>
      </c>
      <c r="B2457" t="s">
        <v>115</v>
      </c>
      <c r="C2457" t="b">
        <v>0</v>
      </c>
      <c r="D2457" s="1">
        <v>39114</v>
      </c>
      <c r="E2457">
        <v>5</v>
      </c>
      <c r="F2457"/>
      <c r="G2457"/>
      <c r="H2457"/>
      <c r="I2457"/>
      <c r="J2457"/>
      <c r="K2457"/>
      <c r="L2457"/>
      <c r="M2457"/>
      <c r="N2457"/>
      <c r="O2457"/>
    </row>
    <row r="2458" spans="1:15" hidden="1" x14ac:dyDescent="0.25">
      <c r="A2458" t="s">
        <v>39</v>
      </c>
      <c r="B2458" t="s">
        <v>115</v>
      </c>
      <c r="C2458" t="b">
        <v>0</v>
      </c>
      <c r="D2458" s="1">
        <v>39114</v>
      </c>
      <c r="E2458">
        <v>5</v>
      </c>
      <c r="F2458"/>
      <c r="G2458"/>
      <c r="H2458"/>
      <c r="I2458"/>
      <c r="J2458"/>
      <c r="K2458"/>
      <c r="L2458"/>
      <c r="M2458"/>
      <c r="N2458"/>
      <c r="O2458"/>
    </row>
    <row r="2459" spans="1:15" hidden="1" x14ac:dyDescent="0.25">
      <c r="A2459" t="s">
        <v>57</v>
      </c>
      <c r="B2459" t="s">
        <v>115</v>
      </c>
      <c r="C2459" t="b">
        <v>0</v>
      </c>
      <c r="D2459" s="1">
        <v>39114</v>
      </c>
      <c r="E2459">
        <v>5</v>
      </c>
      <c r="F2459"/>
      <c r="G2459"/>
      <c r="H2459"/>
      <c r="I2459"/>
      <c r="J2459"/>
      <c r="K2459"/>
      <c r="L2459"/>
      <c r="M2459"/>
      <c r="N2459"/>
      <c r="O2459"/>
    </row>
    <row r="2460" spans="1:15" hidden="1" x14ac:dyDescent="0.25">
      <c r="A2460" t="s">
        <v>71</v>
      </c>
      <c r="B2460" t="s">
        <v>115</v>
      </c>
      <c r="C2460" t="b">
        <v>0</v>
      </c>
      <c r="D2460" s="1">
        <v>39114</v>
      </c>
      <c r="E2460">
        <v>5</v>
      </c>
      <c r="F2460"/>
      <c r="G2460"/>
      <c r="H2460"/>
      <c r="I2460"/>
      <c r="J2460"/>
      <c r="K2460"/>
      <c r="L2460"/>
      <c r="M2460"/>
      <c r="N2460"/>
      <c r="O2460"/>
    </row>
    <row r="2461" spans="1:15" hidden="1" x14ac:dyDescent="0.25">
      <c r="A2461" t="s">
        <v>86</v>
      </c>
      <c r="B2461" t="s">
        <v>115</v>
      </c>
      <c r="C2461" t="b">
        <v>0</v>
      </c>
      <c r="D2461" s="1">
        <v>39114</v>
      </c>
      <c r="E2461">
        <v>5</v>
      </c>
      <c r="F2461"/>
      <c r="G2461"/>
      <c r="H2461"/>
      <c r="I2461"/>
      <c r="J2461"/>
      <c r="K2461"/>
      <c r="L2461"/>
      <c r="M2461"/>
      <c r="N2461"/>
      <c r="O2461"/>
    </row>
    <row r="2462" spans="1:15" hidden="1" x14ac:dyDescent="0.25">
      <c r="A2462" t="s">
        <v>90</v>
      </c>
      <c r="B2462" t="s">
        <v>115</v>
      </c>
      <c r="C2462" t="b">
        <v>0</v>
      </c>
      <c r="D2462" s="1">
        <v>39114</v>
      </c>
      <c r="E2462">
        <v>5</v>
      </c>
      <c r="F2462"/>
      <c r="G2462"/>
      <c r="H2462"/>
      <c r="I2462"/>
      <c r="J2462"/>
      <c r="K2462"/>
      <c r="L2462"/>
      <c r="M2462"/>
      <c r="N2462"/>
      <c r="O2462"/>
    </row>
    <row r="2463" spans="1:15" hidden="1" x14ac:dyDescent="0.25">
      <c r="A2463" t="s">
        <v>99</v>
      </c>
      <c r="B2463" t="s">
        <v>114</v>
      </c>
      <c r="C2463" t="b">
        <v>0</v>
      </c>
      <c r="D2463" s="1">
        <v>39114</v>
      </c>
      <c r="E2463">
        <v>24.52</v>
      </c>
      <c r="F2463"/>
      <c r="G2463"/>
      <c r="H2463"/>
      <c r="I2463"/>
      <c r="J2463"/>
      <c r="K2463"/>
      <c r="L2463"/>
      <c r="M2463"/>
      <c r="N2463"/>
      <c r="O2463"/>
    </row>
    <row r="2464" spans="1:15" hidden="1" x14ac:dyDescent="0.25">
      <c r="A2464" t="s">
        <v>100</v>
      </c>
      <c r="B2464" t="s">
        <v>117</v>
      </c>
      <c r="C2464" t="b">
        <v>0</v>
      </c>
      <c r="D2464" s="1">
        <v>39142</v>
      </c>
      <c r="E2464" s="2">
        <v>-153.43</v>
      </c>
      <c r="F2464"/>
      <c r="G2464"/>
      <c r="H2464"/>
      <c r="I2464"/>
      <c r="J2464"/>
      <c r="K2464"/>
      <c r="L2464"/>
      <c r="M2464"/>
      <c r="N2464"/>
      <c r="O2464"/>
    </row>
    <row r="2465" spans="1:15" hidden="1" x14ac:dyDescent="0.25">
      <c r="A2465" t="s">
        <v>104</v>
      </c>
      <c r="B2465" t="s">
        <v>117</v>
      </c>
      <c r="C2465" t="b">
        <v>0</v>
      </c>
      <c r="D2465" s="1">
        <v>39142</v>
      </c>
      <c r="E2465" s="2">
        <v>-9.57</v>
      </c>
      <c r="F2465"/>
      <c r="G2465"/>
      <c r="H2465"/>
      <c r="I2465"/>
      <c r="J2465"/>
      <c r="K2465"/>
      <c r="L2465"/>
      <c r="M2465"/>
      <c r="N2465"/>
      <c r="O2465"/>
    </row>
    <row r="2466" spans="1:15" hidden="1" x14ac:dyDescent="0.25">
      <c r="A2466" t="s">
        <v>101</v>
      </c>
      <c r="B2466" t="s">
        <v>117</v>
      </c>
      <c r="C2466" t="b">
        <v>0</v>
      </c>
      <c r="D2466" s="1">
        <v>39142</v>
      </c>
      <c r="E2466" s="2">
        <v>-5</v>
      </c>
      <c r="F2466"/>
      <c r="G2466"/>
      <c r="H2466"/>
      <c r="I2466"/>
      <c r="J2466"/>
      <c r="K2466"/>
      <c r="L2466"/>
      <c r="M2466"/>
      <c r="N2466"/>
      <c r="O2466"/>
    </row>
    <row r="2467" spans="1:15" hidden="1" x14ac:dyDescent="0.25">
      <c r="A2467" t="s">
        <v>14</v>
      </c>
      <c r="B2467" t="s">
        <v>115</v>
      </c>
      <c r="C2467" t="b">
        <v>0</v>
      </c>
      <c r="D2467" s="1">
        <v>39142</v>
      </c>
      <c r="E2467">
        <v>5</v>
      </c>
      <c r="F2467"/>
      <c r="G2467"/>
      <c r="H2467"/>
      <c r="I2467"/>
      <c r="J2467"/>
      <c r="K2467"/>
      <c r="L2467"/>
      <c r="M2467"/>
      <c r="N2467"/>
      <c r="O2467"/>
    </row>
    <row r="2468" spans="1:15" hidden="1" x14ac:dyDescent="0.25">
      <c r="A2468" t="s">
        <v>106</v>
      </c>
      <c r="B2468" t="s">
        <v>115</v>
      </c>
      <c r="C2468" t="b">
        <v>0</v>
      </c>
      <c r="D2468" s="1">
        <v>39142</v>
      </c>
      <c r="E2468">
        <v>5</v>
      </c>
      <c r="F2468"/>
      <c r="G2468"/>
      <c r="H2468"/>
      <c r="I2468"/>
      <c r="J2468"/>
      <c r="K2468"/>
      <c r="L2468"/>
      <c r="M2468"/>
      <c r="N2468"/>
      <c r="O2468"/>
    </row>
    <row r="2469" spans="1:15" hidden="1" x14ac:dyDescent="0.25">
      <c r="A2469" t="s">
        <v>106</v>
      </c>
      <c r="B2469" t="s">
        <v>115</v>
      </c>
      <c r="C2469" t="b">
        <v>0</v>
      </c>
      <c r="D2469" s="1">
        <v>39142</v>
      </c>
      <c r="E2469">
        <v>5</v>
      </c>
      <c r="F2469"/>
      <c r="G2469"/>
      <c r="H2469"/>
      <c r="I2469"/>
      <c r="J2469"/>
      <c r="K2469"/>
      <c r="L2469"/>
      <c r="M2469"/>
      <c r="N2469"/>
      <c r="O2469"/>
    </row>
    <row r="2470" spans="1:15" hidden="1" x14ac:dyDescent="0.25">
      <c r="A2470" t="s">
        <v>106</v>
      </c>
      <c r="B2470" t="s">
        <v>115</v>
      </c>
      <c r="C2470" t="b">
        <v>0</v>
      </c>
      <c r="D2470" s="1">
        <v>39142</v>
      </c>
      <c r="E2470">
        <v>5</v>
      </c>
      <c r="F2470"/>
      <c r="G2470"/>
      <c r="H2470"/>
      <c r="I2470"/>
      <c r="J2470"/>
      <c r="K2470"/>
      <c r="L2470"/>
      <c r="M2470"/>
      <c r="N2470"/>
      <c r="O2470"/>
    </row>
    <row r="2471" spans="1:15" hidden="1" x14ac:dyDescent="0.25">
      <c r="A2471" t="s">
        <v>106</v>
      </c>
      <c r="B2471" t="s">
        <v>115</v>
      </c>
      <c r="C2471" t="b">
        <v>0</v>
      </c>
      <c r="D2471" s="1">
        <v>39142</v>
      </c>
      <c r="E2471">
        <v>5</v>
      </c>
      <c r="F2471"/>
      <c r="G2471"/>
      <c r="H2471"/>
      <c r="I2471"/>
      <c r="J2471"/>
      <c r="K2471"/>
      <c r="L2471"/>
      <c r="M2471"/>
      <c r="N2471"/>
      <c r="O2471"/>
    </row>
    <row r="2472" spans="1:15" hidden="1" x14ac:dyDescent="0.25">
      <c r="A2472" t="s">
        <v>106</v>
      </c>
      <c r="B2472" t="s">
        <v>115</v>
      </c>
      <c r="C2472" t="b">
        <v>0</v>
      </c>
      <c r="D2472" s="1">
        <v>39142</v>
      </c>
      <c r="E2472">
        <v>5</v>
      </c>
      <c r="F2472"/>
      <c r="G2472"/>
      <c r="H2472"/>
      <c r="I2472"/>
      <c r="J2472"/>
      <c r="K2472"/>
      <c r="L2472"/>
      <c r="M2472"/>
      <c r="N2472"/>
      <c r="O2472"/>
    </row>
    <row r="2473" spans="1:15" hidden="1" x14ac:dyDescent="0.25">
      <c r="A2473" t="s">
        <v>106</v>
      </c>
      <c r="B2473" t="s">
        <v>115</v>
      </c>
      <c r="C2473" t="b">
        <v>0</v>
      </c>
      <c r="D2473" s="1">
        <v>39142</v>
      </c>
      <c r="E2473">
        <v>5</v>
      </c>
      <c r="F2473"/>
      <c r="G2473"/>
      <c r="H2473"/>
      <c r="I2473"/>
      <c r="J2473"/>
      <c r="K2473"/>
      <c r="L2473"/>
      <c r="M2473"/>
      <c r="N2473"/>
      <c r="O2473"/>
    </row>
    <row r="2474" spans="1:15" hidden="1" x14ac:dyDescent="0.25">
      <c r="A2474" t="s">
        <v>106</v>
      </c>
      <c r="B2474" t="s">
        <v>115</v>
      </c>
      <c r="C2474" t="b">
        <v>0</v>
      </c>
      <c r="D2474" s="1">
        <v>39142</v>
      </c>
      <c r="E2474">
        <v>5</v>
      </c>
      <c r="F2474"/>
      <c r="G2474"/>
      <c r="H2474"/>
      <c r="I2474"/>
      <c r="J2474"/>
      <c r="K2474"/>
      <c r="L2474"/>
      <c r="M2474"/>
      <c r="N2474"/>
      <c r="O2474"/>
    </row>
    <row r="2475" spans="1:15" hidden="1" x14ac:dyDescent="0.25">
      <c r="A2475" t="s">
        <v>106</v>
      </c>
      <c r="B2475" t="s">
        <v>115</v>
      </c>
      <c r="C2475" t="b">
        <v>0</v>
      </c>
      <c r="D2475" s="1">
        <v>39142</v>
      </c>
      <c r="E2475">
        <v>5</v>
      </c>
      <c r="F2475"/>
      <c r="G2475"/>
      <c r="H2475"/>
      <c r="I2475"/>
      <c r="J2475"/>
      <c r="K2475"/>
      <c r="L2475"/>
      <c r="M2475"/>
      <c r="N2475"/>
      <c r="O2475"/>
    </row>
    <row r="2476" spans="1:15" hidden="1" x14ac:dyDescent="0.25">
      <c r="A2476" t="s">
        <v>106</v>
      </c>
      <c r="B2476" t="s">
        <v>115</v>
      </c>
      <c r="C2476" t="b">
        <v>0</v>
      </c>
      <c r="D2476" s="1">
        <v>39142</v>
      </c>
      <c r="E2476">
        <v>5</v>
      </c>
      <c r="F2476"/>
      <c r="G2476"/>
      <c r="H2476"/>
      <c r="I2476"/>
      <c r="J2476"/>
      <c r="K2476"/>
      <c r="L2476"/>
      <c r="M2476"/>
      <c r="N2476"/>
      <c r="O2476"/>
    </row>
    <row r="2477" spans="1:15" hidden="1" x14ac:dyDescent="0.25">
      <c r="A2477" t="s">
        <v>106</v>
      </c>
      <c r="B2477" t="s">
        <v>115</v>
      </c>
      <c r="C2477" t="b">
        <v>0</v>
      </c>
      <c r="D2477" s="1">
        <v>39142</v>
      </c>
      <c r="E2477">
        <v>5</v>
      </c>
      <c r="F2477"/>
      <c r="G2477"/>
      <c r="H2477"/>
      <c r="I2477"/>
      <c r="J2477"/>
      <c r="K2477"/>
      <c r="L2477"/>
      <c r="M2477"/>
      <c r="N2477"/>
      <c r="O2477"/>
    </row>
    <row r="2478" spans="1:15" hidden="1" x14ac:dyDescent="0.25">
      <c r="A2478" t="s">
        <v>106</v>
      </c>
      <c r="B2478" t="s">
        <v>115</v>
      </c>
      <c r="C2478" t="b">
        <v>0</v>
      </c>
      <c r="D2478" s="1">
        <v>39142</v>
      </c>
      <c r="E2478">
        <v>5</v>
      </c>
      <c r="F2478"/>
      <c r="G2478"/>
      <c r="H2478"/>
      <c r="I2478"/>
      <c r="J2478"/>
      <c r="K2478"/>
      <c r="L2478"/>
      <c r="M2478"/>
      <c r="N2478"/>
      <c r="O2478"/>
    </row>
    <row r="2479" spans="1:15" hidden="1" x14ac:dyDescent="0.25">
      <c r="A2479" t="s">
        <v>30</v>
      </c>
      <c r="B2479" t="s">
        <v>115</v>
      </c>
      <c r="C2479" t="b">
        <v>0</v>
      </c>
      <c r="D2479" s="1">
        <v>39142</v>
      </c>
      <c r="E2479">
        <v>5</v>
      </c>
      <c r="F2479"/>
      <c r="G2479"/>
      <c r="H2479"/>
      <c r="I2479"/>
      <c r="J2479"/>
      <c r="K2479"/>
      <c r="L2479"/>
      <c r="M2479"/>
      <c r="N2479"/>
      <c r="O2479"/>
    </row>
    <row r="2480" spans="1:15" hidden="1" x14ac:dyDescent="0.25">
      <c r="A2480" t="s">
        <v>39</v>
      </c>
      <c r="B2480" t="s">
        <v>115</v>
      </c>
      <c r="C2480" t="b">
        <v>0</v>
      </c>
      <c r="D2480" s="1">
        <v>39142</v>
      </c>
      <c r="E2480">
        <v>5</v>
      </c>
      <c r="F2480"/>
      <c r="G2480"/>
      <c r="H2480"/>
      <c r="I2480"/>
      <c r="J2480"/>
      <c r="K2480"/>
      <c r="L2480"/>
      <c r="M2480"/>
      <c r="N2480"/>
      <c r="O2480"/>
    </row>
    <row r="2481" spans="1:15" hidden="1" x14ac:dyDescent="0.25">
      <c r="A2481" t="s">
        <v>57</v>
      </c>
      <c r="B2481" t="s">
        <v>115</v>
      </c>
      <c r="C2481" t="b">
        <v>0</v>
      </c>
      <c r="D2481" s="1">
        <v>39142</v>
      </c>
      <c r="E2481">
        <v>5</v>
      </c>
      <c r="F2481"/>
      <c r="G2481"/>
      <c r="H2481"/>
      <c r="I2481"/>
      <c r="J2481"/>
      <c r="K2481"/>
      <c r="L2481"/>
      <c r="M2481"/>
      <c r="N2481"/>
      <c r="O2481"/>
    </row>
    <row r="2482" spans="1:15" hidden="1" x14ac:dyDescent="0.25">
      <c r="A2482" t="s">
        <v>69</v>
      </c>
      <c r="B2482" t="s">
        <v>115</v>
      </c>
      <c r="C2482" t="b">
        <v>0</v>
      </c>
      <c r="D2482" s="1">
        <v>39142</v>
      </c>
      <c r="E2482">
        <v>5</v>
      </c>
      <c r="F2482"/>
      <c r="G2482"/>
      <c r="H2482"/>
      <c r="I2482"/>
      <c r="J2482"/>
      <c r="K2482"/>
      <c r="L2482"/>
      <c r="M2482"/>
      <c r="N2482"/>
      <c r="O2482"/>
    </row>
    <row r="2483" spans="1:15" hidden="1" x14ac:dyDescent="0.25">
      <c r="A2483" t="s">
        <v>71</v>
      </c>
      <c r="B2483" t="s">
        <v>115</v>
      </c>
      <c r="C2483" t="b">
        <v>0</v>
      </c>
      <c r="D2483" s="1">
        <v>39142</v>
      </c>
      <c r="E2483">
        <v>5</v>
      </c>
      <c r="F2483"/>
      <c r="G2483"/>
      <c r="H2483"/>
      <c r="I2483"/>
      <c r="J2483"/>
      <c r="K2483"/>
      <c r="L2483"/>
      <c r="M2483"/>
      <c r="N2483"/>
      <c r="O2483"/>
    </row>
    <row r="2484" spans="1:15" hidden="1" x14ac:dyDescent="0.25">
      <c r="A2484" t="s">
        <v>86</v>
      </c>
      <c r="B2484" t="s">
        <v>115</v>
      </c>
      <c r="C2484" t="b">
        <v>0</v>
      </c>
      <c r="D2484" s="1">
        <v>39142</v>
      </c>
      <c r="E2484">
        <v>5</v>
      </c>
      <c r="F2484"/>
      <c r="G2484"/>
      <c r="H2484"/>
      <c r="I2484"/>
      <c r="J2484"/>
      <c r="K2484"/>
      <c r="L2484"/>
      <c r="M2484"/>
      <c r="N2484"/>
      <c r="O2484"/>
    </row>
    <row r="2485" spans="1:15" hidden="1" x14ac:dyDescent="0.25">
      <c r="A2485" t="s">
        <v>90</v>
      </c>
      <c r="B2485" t="s">
        <v>115</v>
      </c>
      <c r="C2485" t="b">
        <v>0</v>
      </c>
      <c r="D2485" s="1">
        <v>39142</v>
      </c>
      <c r="E2485">
        <v>5</v>
      </c>
      <c r="F2485"/>
      <c r="G2485"/>
      <c r="H2485"/>
      <c r="I2485"/>
      <c r="J2485"/>
      <c r="K2485"/>
      <c r="L2485"/>
      <c r="M2485"/>
      <c r="N2485"/>
      <c r="O2485"/>
    </row>
    <row r="2486" spans="1:15" hidden="1" x14ac:dyDescent="0.25">
      <c r="A2486" t="s">
        <v>100</v>
      </c>
      <c r="B2486" t="s">
        <v>117</v>
      </c>
      <c r="C2486" t="b">
        <v>0</v>
      </c>
      <c r="D2486" s="1">
        <v>39173</v>
      </c>
      <c r="E2486" s="2">
        <v>-5</v>
      </c>
      <c r="F2486"/>
      <c r="G2486"/>
      <c r="H2486"/>
      <c r="I2486"/>
      <c r="J2486"/>
      <c r="K2486"/>
      <c r="L2486"/>
      <c r="M2486"/>
      <c r="N2486"/>
      <c r="O2486"/>
    </row>
    <row r="2487" spans="1:15" hidden="1" x14ac:dyDescent="0.25">
      <c r="A2487" t="s">
        <v>101</v>
      </c>
      <c r="B2487" t="s">
        <v>117</v>
      </c>
      <c r="C2487" t="b">
        <v>0</v>
      </c>
      <c r="D2487" s="1">
        <v>39173</v>
      </c>
      <c r="E2487" s="2">
        <v>-10.56</v>
      </c>
      <c r="F2487"/>
      <c r="G2487"/>
      <c r="H2487"/>
      <c r="I2487"/>
      <c r="J2487"/>
      <c r="K2487"/>
      <c r="L2487"/>
      <c r="M2487"/>
      <c r="N2487"/>
      <c r="O2487"/>
    </row>
    <row r="2488" spans="1:15" hidden="1" x14ac:dyDescent="0.25">
      <c r="A2488" t="s">
        <v>14</v>
      </c>
      <c r="B2488" t="s">
        <v>115</v>
      </c>
      <c r="C2488" t="b">
        <v>0</v>
      </c>
      <c r="D2488" s="1">
        <v>39173</v>
      </c>
      <c r="E2488">
        <v>5</v>
      </c>
      <c r="F2488"/>
      <c r="G2488"/>
      <c r="H2488"/>
      <c r="I2488"/>
      <c r="J2488"/>
      <c r="K2488"/>
      <c r="L2488"/>
      <c r="M2488"/>
      <c r="N2488"/>
      <c r="O2488"/>
    </row>
    <row r="2489" spans="1:15" hidden="1" x14ac:dyDescent="0.25">
      <c r="A2489" t="s">
        <v>106</v>
      </c>
      <c r="B2489" t="s">
        <v>115</v>
      </c>
      <c r="C2489" t="b">
        <v>0</v>
      </c>
      <c r="D2489" s="1">
        <v>39173</v>
      </c>
      <c r="E2489">
        <v>5</v>
      </c>
      <c r="F2489"/>
      <c r="G2489"/>
      <c r="H2489"/>
      <c r="I2489"/>
      <c r="J2489"/>
      <c r="K2489"/>
      <c r="L2489"/>
      <c r="M2489"/>
      <c r="N2489"/>
      <c r="O2489"/>
    </row>
    <row r="2490" spans="1:15" hidden="1" x14ac:dyDescent="0.25">
      <c r="A2490" t="s">
        <v>106</v>
      </c>
      <c r="B2490" t="s">
        <v>115</v>
      </c>
      <c r="C2490" t="b">
        <v>0</v>
      </c>
      <c r="D2490" s="1">
        <v>39173</v>
      </c>
      <c r="E2490">
        <v>5</v>
      </c>
      <c r="F2490"/>
      <c r="G2490"/>
      <c r="H2490"/>
      <c r="I2490"/>
      <c r="J2490"/>
      <c r="K2490"/>
      <c r="L2490"/>
      <c r="M2490"/>
      <c r="N2490"/>
      <c r="O2490"/>
    </row>
    <row r="2491" spans="1:15" hidden="1" x14ac:dyDescent="0.25">
      <c r="A2491" t="s">
        <v>106</v>
      </c>
      <c r="B2491" t="s">
        <v>115</v>
      </c>
      <c r="C2491" t="b">
        <v>0</v>
      </c>
      <c r="D2491" s="1">
        <v>39173</v>
      </c>
      <c r="E2491">
        <v>5</v>
      </c>
      <c r="F2491"/>
      <c r="G2491"/>
      <c r="H2491"/>
      <c r="I2491"/>
      <c r="J2491"/>
      <c r="K2491"/>
      <c r="L2491"/>
      <c r="M2491"/>
      <c r="N2491"/>
      <c r="O2491"/>
    </row>
    <row r="2492" spans="1:15" hidden="1" x14ac:dyDescent="0.25">
      <c r="A2492" t="s">
        <v>106</v>
      </c>
      <c r="B2492" t="s">
        <v>115</v>
      </c>
      <c r="C2492" t="b">
        <v>0</v>
      </c>
      <c r="D2492" s="1">
        <v>39173</v>
      </c>
      <c r="E2492">
        <v>5</v>
      </c>
      <c r="F2492"/>
      <c r="G2492"/>
      <c r="H2492"/>
      <c r="I2492"/>
      <c r="J2492"/>
      <c r="K2492"/>
      <c r="L2492"/>
      <c r="M2492"/>
      <c r="N2492"/>
      <c r="O2492"/>
    </row>
    <row r="2493" spans="1:15" hidden="1" x14ac:dyDescent="0.25">
      <c r="A2493" t="s">
        <v>106</v>
      </c>
      <c r="B2493" t="s">
        <v>115</v>
      </c>
      <c r="C2493" t="b">
        <v>0</v>
      </c>
      <c r="D2493" s="1">
        <v>39173</v>
      </c>
      <c r="E2493">
        <v>5</v>
      </c>
      <c r="F2493"/>
      <c r="G2493"/>
      <c r="H2493"/>
      <c r="I2493"/>
      <c r="J2493"/>
      <c r="K2493"/>
      <c r="L2493"/>
      <c r="M2493"/>
      <c r="N2493"/>
      <c r="O2493"/>
    </row>
    <row r="2494" spans="1:15" hidden="1" x14ac:dyDescent="0.25">
      <c r="A2494" t="s">
        <v>106</v>
      </c>
      <c r="B2494" t="s">
        <v>115</v>
      </c>
      <c r="C2494" t="b">
        <v>0</v>
      </c>
      <c r="D2494" s="1">
        <v>39173</v>
      </c>
      <c r="E2494">
        <v>5</v>
      </c>
      <c r="F2494"/>
      <c r="G2494"/>
      <c r="H2494"/>
      <c r="I2494"/>
      <c r="J2494"/>
      <c r="K2494"/>
      <c r="L2494"/>
      <c r="M2494"/>
      <c r="N2494"/>
      <c r="O2494"/>
    </row>
    <row r="2495" spans="1:15" hidden="1" x14ac:dyDescent="0.25">
      <c r="A2495" t="s">
        <v>106</v>
      </c>
      <c r="B2495" t="s">
        <v>115</v>
      </c>
      <c r="C2495" t="b">
        <v>0</v>
      </c>
      <c r="D2495" s="1">
        <v>39173</v>
      </c>
      <c r="E2495">
        <v>5</v>
      </c>
      <c r="F2495"/>
      <c r="G2495"/>
      <c r="H2495"/>
      <c r="I2495"/>
      <c r="J2495"/>
      <c r="K2495"/>
      <c r="L2495"/>
      <c r="M2495"/>
      <c r="N2495"/>
      <c r="O2495"/>
    </row>
    <row r="2496" spans="1:15" hidden="1" x14ac:dyDescent="0.25">
      <c r="A2496" t="s">
        <v>106</v>
      </c>
      <c r="B2496" t="s">
        <v>115</v>
      </c>
      <c r="C2496" t="b">
        <v>0</v>
      </c>
      <c r="D2496" s="1">
        <v>39173</v>
      </c>
      <c r="E2496">
        <v>5</v>
      </c>
      <c r="F2496"/>
      <c r="G2496"/>
      <c r="H2496"/>
      <c r="I2496"/>
      <c r="J2496"/>
      <c r="K2496"/>
      <c r="L2496"/>
      <c r="M2496"/>
      <c r="N2496"/>
      <c r="O2496"/>
    </row>
    <row r="2497" spans="1:15" hidden="1" x14ac:dyDescent="0.25">
      <c r="A2497" t="s">
        <v>106</v>
      </c>
      <c r="B2497" t="s">
        <v>115</v>
      </c>
      <c r="C2497" t="b">
        <v>0</v>
      </c>
      <c r="D2497" s="1">
        <v>39173</v>
      </c>
      <c r="E2497">
        <v>5</v>
      </c>
      <c r="F2497"/>
      <c r="G2497"/>
      <c r="H2497"/>
      <c r="I2497"/>
      <c r="J2497"/>
      <c r="K2497"/>
      <c r="L2497"/>
      <c r="M2497"/>
      <c r="N2497"/>
      <c r="O2497"/>
    </row>
    <row r="2498" spans="1:15" hidden="1" x14ac:dyDescent="0.25">
      <c r="A2498" t="s">
        <v>106</v>
      </c>
      <c r="B2498" t="s">
        <v>115</v>
      </c>
      <c r="C2498" t="b">
        <v>0</v>
      </c>
      <c r="D2498" s="1">
        <v>39173</v>
      </c>
      <c r="E2498">
        <v>5</v>
      </c>
      <c r="F2498"/>
      <c r="G2498"/>
      <c r="H2498"/>
      <c r="I2498"/>
      <c r="J2498"/>
      <c r="K2498"/>
      <c r="L2498"/>
      <c r="M2498"/>
      <c r="N2498"/>
      <c r="O2498"/>
    </row>
    <row r="2499" spans="1:15" hidden="1" x14ac:dyDescent="0.25">
      <c r="A2499" t="s">
        <v>106</v>
      </c>
      <c r="B2499" t="s">
        <v>115</v>
      </c>
      <c r="C2499" t="b">
        <v>0</v>
      </c>
      <c r="D2499" s="1">
        <v>39173</v>
      </c>
      <c r="E2499">
        <v>5</v>
      </c>
      <c r="F2499"/>
      <c r="G2499"/>
      <c r="H2499"/>
      <c r="I2499"/>
      <c r="J2499"/>
      <c r="K2499"/>
      <c r="L2499"/>
      <c r="M2499"/>
      <c r="N2499"/>
      <c r="O2499"/>
    </row>
    <row r="2500" spans="1:15" hidden="1" x14ac:dyDescent="0.25">
      <c r="A2500" t="s">
        <v>106</v>
      </c>
      <c r="B2500" t="s">
        <v>115</v>
      </c>
      <c r="C2500" t="b">
        <v>0</v>
      </c>
      <c r="D2500" s="1">
        <v>39173</v>
      </c>
      <c r="E2500">
        <v>5</v>
      </c>
      <c r="F2500"/>
      <c r="G2500"/>
      <c r="H2500"/>
      <c r="I2500"/>
      <c r="J2500"/>
      <c r="K2500"/>
      <c r="L2500"/>
      <c r="M2500"/>
      <c r="N2500"/>
      <c r="O2500"/>
    </row>
    <row r="2501" spans="1:15" hidden="1" x14ac:dyDescent="0.25">
      <c r="A2501" t="s">
        <v>24</v>
      </c>
      <c r="B2501" t="s">
        <v>115</v>
      </c>
      <c r="C2501" t="b">
        <v>0</v>
      </c>
      <c r="D2501" s="1">
        <v>39173</v>
      </c>
      <c r="E2501">
        <v>5</v>
      </c>
      <c r="F2501"/>
      <c r="G2501"/>
      <c r="H2501"/>
      <c r="I2501"/>
      <c r="J2501"/>
      <c r="K2501"/>
      <c r="L2501"/>
      <c r="M2501"/>
      <c r="N2501"/>
      <c r="O2501"/>
    </row>
    <row r="2502" spans="1:15" hidden="1" x14ac:dyDescent="0.25">
      <c r="A2502" t="s">
        <v>30</v>
      </c>
      <c r="B2502" t="s">
        <v>115</v>
      </c>
      <c r="C2502" t="b">
        <v>0</v>
      </c>
      <c r="D2502" s="1">
        <v>39173</v>
      </c>
      <c r="E2502">
        <v>5</v>
      </c>
      <c r="F2502"/>
      <c r="G2502"/>
      <c r="H2502"/>
      <c r="I2502"/>
      <c r="J2502"/>
      <c r="K2502"/>
      <c r="L2502"/>
      <c r="M2502"/>
      <c r="N2502"/>
      <c r="O2502"/>
    </row>
    <row r="2503" spans="1:15" hidden="1" x14ac:dyDescent="0.25">
      <c r="A2503" t="s">
        <v>37</v>
      </c>
      <c r="B2503" t="s">
        <v>115</v>
      </c>
      <c r="C2503" t="b">
        <v>0</v>
      </c>
      <c r="D2503" s="1">
        <v>39173</v>
      </c>
      <c r="E2503">
        <v>5</v>
      </c>
      <c r="F2503"/>
      <c r="G2503"/>
      <c r="H2503"/>
      <c r="I2503"/>
      <c r="J2503"/>
      <c r="K2503"/>
      <c r="L2503"/>
      <c r="M2503"/>
      <c r="N2503"/>
      <c r="O2503"/>
    </row>
    <row r="2504" spans="1:15" hidden="1" x14ac:dyDescent="0.25">
      <c r="A2504" t="s">
        <v>39</v>
      </c>
      <c r="B2504" t="s">
        <v>115</v>
      </c>
      <c r="C2504" t="b">
        <v>0</v>
      </c>
      <c r="D2504" s="1">
        <v>39173</v>
      </c>
      <c r="E2504">
        <v>5</v>
      </c>
      <c r="F2504"/>
      <c r="G2504"/>
      <c r="H2504"/>
      <c r="I2504"/>
      <c r="J2504"/>
      <c r="K2504"/>
      <c r="L2504"/>
      <c r="M2504"/>
      <c r="N2504"/>
      <c r="O2504"/>
    </row>
    <row r="2505" spans="1:15" hidden="1" x14ac:dyDescent="0.25">
      <c r="A2505" t="s">
        <v>57</v>
      </c>
      <c r="B2505" t="s">
        <v>115</v>
      </c>
      <c r="C2505" t="b">
        <v>0</v>
      </c>
      <c r="D2505" s="1">
        <v>39173</v>
      </c>
      <c r="E2505">
        <v>5</v>
      </c>
      <c r="F2505"/>
      <c r="G2505"/>
      <c r="H2505"/>
      <c r="I2505"/>
      <c r="J2505"/>
      <c r="K2505"/>
      <c r="L2505"/>
      <c r="M2505"/>
      <c r="N2505"/>
      <c r="O2505"/>
    </row>
    <row r="2506" spans="1:15" hidden="1" x14ac:dyDescent="0.25">
      <c r="A2506" t="s">
        <v>69</v>
      </c>
      <c r="B2506" t="s">
        <v>115</v>
      </c>
      <c r="C2506" t="b">
        <v>0</v>
      </c>
      <c r="D2506" s="1">
        <v>39173</v>
      </c>
      <c r="E2506">
        <v>5</v>
      </c>
      <c r="F2506"/>
      <c r="G2506"/>
      <c r="H2506"/>
      <c r="I2506"/>
      <c r="J2506"/>
      <c r="K2506"/>
      <c r="L2506"/>
      <c r="M2506"/>
      <c r="N2506"/>
      <c r="O2506"/>
    </row>
    <row r="2507" spans="1:15" hidden="1" x14ac:dyDescent="0.25">
      <c r="A2507" t="s">
        <v>71</v>
      </c>
      <c r="B2507" t="s">
        <v>115</v>
      </c>
      <c r="C2507" t="b">
        <v>0</v>
      </c>
      <c r="D2507" s="1">
        <v>39173</v>
      </c>
      <c r="E2507">
        <v>5</v>
      </c>
      <c r="F2507"/>
      <c r="G2507"/>
      <c r="H2507"/>
      <c r="I2507"/>
      <c r="J2507"/>
      <c r="K2507"/>
      <c r="L2507"/>
      <c r="M2507"/>
      <c r="N2507"/>
      <c r="O2507"/>
    </row>
    <row r="2508" spans="1:15" hidden="1" x14ac:dyDescent="0.25">
      <c r="A2508" t="s">
        <v>86</v>
      </c>
      <c r="B2508" t="s">
        <v>115</v>
      </c>
      <c r="C2508" t="b">
        <v>0</v>
      </c>
      <c r="D2508" s="1">
        <v>39173</v>
      </c>
      <c r="E2508">
        <v>5</v>
      </c>
      <c r="F2508"/>
      <c r="G2508"/>
      <c r="H2508"/>
      <c r="I2508"/>
      <c r="J2508"/>
      <c r="K2508"/>
      <c r="L2508"/>
      <c r="M2508"/>
      <c r="N2508"/>
      <c r="O2508"/>
    </row>
    <row r="2509" spans="1:15" hidden="1" x14ac:dyDescent="0.25">
      <c r="A2509" t="s">
        <v>90</v>
      </c>
      <c r="B2509" t="s">
        <v>115</v>
      </c>
      <c r="C2509" t="b">
        <v>0</v>
      </c>
      <c r="D2509" s="1">
        <v>39173</v>
      </c>
      <c r="E2509">
        <v>5</v>
      </c>
      <c r="F2509"/>
      <c r="G2509"/>
      <c r="H2509"/>
      <c r="I2509"/>
      <c r="J2509"/>
      <c r="K2509"/>
      <c r="L2509"/>
      <c r="M2509"/>
      <c r="N2509"/>
      <c r="O2509"/>
    </row>
    <row r="2510" spans="1:15" hidden="1" x14ac:dyDescent="0.25">
      <c r="A2510" t="s">
        <v>99</v>
      </c>
      <c r="B2510" t="s">
        <v>114</v>
      </c>
      <c r="C2510" t="b">
        <v>0</v>
      </c>
      <c r="D2510" s="1">
        <v>39173</v>
      </c>
      <c r="E2510">
        <v>45.25</v>
      </c>
      <c r="F2510"/>
      <c r="G2510"/>
      <c r="H2510"/>
      <c r="I2510"/>
      <c r="J2510"/>
      <c r="K2510"/>
      <c r="L2510"/>
      <c r="M2510"/>
      <c r="N2510"/>
      <c r="O2510"/>
    </row>
    <row r="2511" spans="1:15" hidden="1" x14ac:dyDescent="0.25">
      <c r="A2511" t="s">
        <v>100</v>
      </c>
      <c r="B2511" t="s">
        <v>117</v>
      </c>
      <c r="C2511" t="b">
        <v>0</v>
      </c>
      <c r="D2511" s="1">
        <v>39203</v>
      </c>
      <c r="E2511" s="2">
        <v>-75.72</v>
      </c>
      <c r="F2511"/>
      <c r="G2511"/>
      <c r="H2511"/>
      <c r="I2511"/>
      <c r="J2511"/>
      <c r="K2511"/>
      <c r="L2511"/>
      <c r="M2511"/>
      <c r="N2511"/>
      <c r="O2511"/>
    </row>
    <row r="2512" spans="1:15" hidden="1" x14ac:dyDescent="0.25">
      <c r="A2512" t="s">
        <v>103</v>
      </c>
      <c r="B2512" t="s">
        <v>117</v>
      </c>
      <c r="C2512" t="b">
        <v>0</v>
      </c>
      <c r="D2512" s="1">
        <v>39203</v>
      </c>
      <c r="E2512" s="2">
        <v>-5</v>
      </c>
      <c r="F2512"/>
      <c r="G2512"/>
      <c r="H2512"/>
      <c r="I2512"/>
      <c r="J2512"/>
      <c r="K2512"/>
      <c r="L2512"/>
      <c r="M2512"/>
      <c r="N2512"/>
      <c r="O2512"/>
    </row>
    <row r="2513" spans="1:15" hidden="1" x14ac:dyDescent="0.25">
      <c r="A2513" t="s">
        <v>101</v>
      </c>
      <c r="B2513" t="s">
        <v>117</v>
      </c>
      <c r="C2513" t="b">
        <v>0</v>
      </c>
      <c r="D2513" s="1">
        <v>39203</v>
      </c>
      <c r="E2513" s="2">
        <v>-18.16</v>
      </c>
      <c r="F2513"/>
      <c r="G2513"/>
      <c r="H2513"/>
      <c r="I2513"/>
      <c r="J2513"/>
      <c r="K2513"/>
      <c r="L2513"/>
      <c r="M2513"/>
      <c r="N2513"/>
      <c r="O2513"/>
    </row>
    <row r="2514" spans="1:15" hidden="1" x14ac:dyDescent="0.25">
      <c r="A2514" t="s">
        <v>14</v>
      </c>
      <c r="B2514" t="s">
        <v>115</v>
      </c>
      <c r="C2514" t="b">
        <v>0</v>
      </c>
      <c r="D2514" s="1">
        <v>39203</v>
      </c>
      <c r="E2514">
        <v>5</v>
      </c>
      <c r="F2514"/>
      <c r="G2514"/>
      <c r="H2514"/>
      <c r="I2514"/>
      <c r="J2514"/>
      <c r="K2514"/>
      <c r="L2514"/>
      <c r="M2514"/>
      <c r="N2514"/>
      <c r="O2514"/>
    </row>
    <row r="2515" spans="1:15" hidden="1" x14ac:dyDescent="0.25">
      <c r="A2515" t="s">
        <v>22</v>
      </c>
      <c r="B2515" t="s">
        <v>115</v>
      </c>
      <c r="C2515" t="b">
        <v>0</v>
      </c>
      <c r="D2515" s="1">
        <v>39203</v>
      </c>
      <c r="E2515">
        <v>2</v>
      </c>
      <c r="F2515"/>
      <c r="G2515"/>
      <c r="H2515"/>
      <c r="I2515"/>
      <c r="J2515"/>
      <c r="K2515"/>
      <c r="L2515"/>
      <c r="M2515"/>
      <c r="N2515"/>
      <c r="O2515"/>
    </row>
    <row r="2516" spans="1:15" hidden="1" x14ac:dyDescent="0.25">
      <c r="A2516" t="s">
        <v>106</v>
      </c>
      <c r="B2516" t="s">
        <v>115</v>
      </c>
      <c r="C2516" t="b">
        <v>0</v>
      </c>
      <c r="D2516" s="1">
        <v>39203</v>
      </c>
      <c r="E2516">
        <v>5</v>
      </c>
      <c r="F2516"/>
      <c r="G2516"/>
      <c r="H2516"/>
      <c r="I2516"/>
      <c r="J2516"/>
      <c r="K2516"/>
      <c r="L2516"/>
      <c r="M2516"/>
      <c r="N2516"/>
      <c r="O2516"/>
    </row>
    <row r="2517" spans="1:15" hidden="1" x14ac:dyDescent="0.25">
      <c r="A2517" t="s">
        <v>106</v>
      </c>
      <c r="B2517" t="s">
        <v>115</v>
      </c>
      <c r="C2517" t="b">
        <v>0</v>
      </c>
      <c r="D2517" s="1">
        <v>39203</v>
      </c>
      <c r="E2517">
        <v>5</v>
      </c>
      <c r="F2517"/>
      <c r="G2517"/>
      <c r="H2517"/>
      <c r="I2517"/>
      <c r="J2517"/>
      <c r="K2517"/>
      <c r="L2517"/>
      <c r="M2517"/>
      <c r="N2517"/>
      <c r="O2517"/>
    </row>
    <row r="2518" spans="1:15" hidden="1" x14ac:dyDescent="0.25">
      <c r="A2518" t="s">
        <v>106</v>
      </c>
      <c r="B2518" t="s">
        <v>115</v>
      </c>
      <c r="C2518" t="b">
        <v>0</v>
      </c>
      <c r="D2518" s="1">
        <v>39203</v>
      </c>
      <c r="E2518">
        <v>5</v>
      </c>
      <c r="F2518"/>
      <c r="G2518"/>
      <c r="H2518"/>
      <c r="I2518"/>
      <c r="J2518"/>
      <c r="K2518"/>
      <c r="L2518"/>
      <c r="M2518"/>
      <c r="N2518"/>
      <c r="O2518"/>
    </row>
    <row r="2519" spans="1:15" hidden="1" x14ac:dyDescent="0.25">
      <c r="A2519" t="s">
        <v>106</v>
      </c>
      <c r="B2519" t="s">
        <v>115</v>
      </c>
      <c r="C2519" t="b">
        <v>0</v>
      </c>
      <c r="D2519" s="1">
        <v>39203</v>
      </c>
      <c r="E2519">
        <v>5</v>
      </c>
      <c r="F2519"/>
      <c r="G2519"/>
      <c r="H2519"/>
      <c r="I2519"/>
      <c r="J2519"/>
      <c r="K2519"/>
      <c r="L2519"/>
      <c r="M2519"/>
      <c r="N2519"/>
      <c r="O2519"/>
    </row>
    <row r="2520" spans="1:15" hidden="1" x14ac:dyDescent="0.25">
      <c r="A2520" t="s">
        <v>106</v>
      </c>
      <c r="B2520" t="s">
        <v>115</v>
      </c>
      <c r="C2520" t="b">
        <v>0</v>
      </c>
      <c r="D2520" s="1">
        <v>39203</v>
      </c>
      <c r="E2520">
        <v>5</v>
      </c>
      <c r="F2520"/>
      <c r="G2520"/>
      <c r="H2520"/>
      <c r="I2520"/>
      <c r="J2520"/>
      <c r="K2520"/>
      <c r="L2520"/>
      <c r="M2520"/>
      <c r="N2520"/>
      <c r="O2520"/>
    </row>
    <row r="2521" spans="1:15" hidden="1" x14ac:dyDescent="0.25">
      <c r="A2521" t="s">
        <v>106</v>
      </c>
      <c r="B2521" t="s">
        <v>115</v>
      </c>
      <c r="C2521" t="b">
        <v>0</v>
      </c>
      <c r="D2521" s="1">
        <v>39203</v>
      </c>
      <c r="E2521">
        <v>2</v>
      </c>
      <c r="F2521"/>
      <c r="G2521"/>
      <c r="H2521"/>
      <c r="I2521"/>
      <c r="J2521"/>
      <c r="K2521"/>
      <c r="L2521"/>
      <c r="M2521"/>
      <c r="N2521"/>
      <c r="O2521"/>
    </row>
    <row r="2522" spans="1:15" hidden="1" x14ac:dyDescent="0.25">
      <c r="A2522" t="s">
        <v>106</v>
      </c>
      <c r="B2522" t="s">
        <v>115</v>
      </c>
      <c r="C2522" t="b">
        <v>0</v>
      </c>
      <c r="D2522" s="1">
        <v>39203</v>
      </c>
      <c r="E2522">
        <v>5</v>
      </c>
      <c r="F2522"/>
      <c r="G2522"/>
      <c r="H2522"/>
      <c r="I2522"/>
      <c r="J2522"/>
      <c r="K2522"/>
      <c r="L2522"/>
      <c r="M2522"/>
      <c r="N2522"/>
      <c r="O2522"/>
    </row>
    <row r="2523" spans="1:15" hidden="1" x14ac:dyDescent="0.25">
      <c r="A2523" t="s">
        <v>106</v>
      </c>
      <c r="B2523" t="s">
        <v>115</v>
      </c>
      <c r="C2523" t="b">
        <v>0</v>
      </c>
      <c r="D2523" s="1">
        <v>39203</v>
      </c>
      <c r="E2523">
        <v>5</v>
      </c>
      <c r="F2523"/>
      <c r="G2523"/>
      <c r="H2523"/>
      <c r="I2523"/>
      <c r="J2523"/>
      <c r="K2523"/>
      <c r="L2523"/>
      <c r="M2523"/>
      <c r="N2523"/>
      <c r="O2523"/>
    </row>
    <row r="2524" spans="1:15" hidden="1" x14ac:dyDescent="0.25">
      <c r="A2524" t="s">
        <v>106</v>
      </c>
      <c r="B2524" t="s">
        <v>115</v>
      </c>
      <c r="C2524" t="b">
        <v>0</v>
      </c>
      <c r="D2524" s="1">
        <v>39203</v>
      </c>
      <c r="E2524">
        <v>5</v>
      </c>
      <c r="F2524"/>
      <c r="G2524"/>
      <c r="H2524"/>
      <c r="I2524"/>
      <c r="J2524"/>
      <c r="K2524"/>
      <c r="L2524"/>
      <c r="M2524"/>
      <c r="N2524"/>
      <c r="O2524"/>
    </row>
    <row r="2525" spans="1:15" hidden="1" x14ac:dyDescent="0.25">
      <c r="A2525" t="s">
        <v>106</v>
      </c>
      <c r="B2525" t="s">
        <v>115</v>
      </c>
      <c r="C2525" t="b">
        <v>0</v>
      </c>
      <c r="D2525" s="1">
        <v>39203</v>
      </c>
      <c r="E2525">
        <v>5</v>
      </c>
      <c r="F2525"/>
      <c r="G2525"/>
      <c r="H2525"/>
      <c r="I2525"/>
      <c r="J2525"/>
      <c r="K2525"/>
      <c r="L2525"/>
      <c r="M2525"/>
      <c r="N2525"/>
      <c r="O2525"/>
    </row>
    <row r="2526" spans="1:15" hidden="1" x14ac:dyDescent="0.25">
      <c r="A2526" t="s">
        <v>106</v>
      </c>
      <c r="B2526" t="s">
        <v>115</v>
      </c>
      <c r="C2526" t="b">
        <v>0</v>
      </c>
      <c r="D2526" s="1">
        <v>39203</v>
      </c>
      <c r="E2526">
        <v>5</v>
      </c>
      <c r="F2526"/>
      <c r="G2526"/>
      <c r="H2526"/>
      <c r="I2526"/>
      <c r="J2526"/>
      <c r="K2526"/>
      <c r="L2526"/>
      <c r="M2526"/>
      <c r="N2526"/>
      <c r="O2526"/>
    </row>
    <row r="2527" spans="1:15" hidden="1" x14ac:dyDescent="0.25">
      <c r="A2527" t="s">
        <v>106</v>
      </c>
      <c r="B2527" t="s">
        <v>115</v>
      </c>
      <c r="C2527" t="b">
        <v>0</v>
      </c>
      <c r="D2527" s="1">
        <v>39203</v>
      </c>
      <c r="E2527">
        <v>5</v>
      </c>
      <c r="F2527"/>
      <c r="G2527"/>
      <c r="H2527"/>
      <c r="I2527"/>
      <c r="J2527"/>
      <c r="K2527"/>
      <c r="L2527"/>
      <c r="M2527"/>
      <c r="N2527"/>
      <c r="O2527"/>
    </row>
    <row r="2528" spans="1:15" hidden="1" x14ac:dyDescent="0.25">
      <c r="A2528" t="s">
        <v>24</v>
      </c>
      <c r="B2528" t="s">
        <v>115</v>
      </c>
      <c r="C2528" t="b">
        <v>0</v>
      </c>
      <c r="D2528" s="1">
        <v>39203</v>
      </c>
      <c r="E2528">
        <v>5</v>
      </c>
      <c r="F2528"/>
      <c r="G2528"/>
      <c r="H2528"/>
      <c r="I2528"/>
      <c r="J2528"/>
      <c r="K2528"/>
      <c r="L2528"/>
      <c r="M2528"/>
      <c r="N2528"/>
      <c r="O2528"/>
    </row>
    <row r="2529" spans="1:15" hidden="1" x14ac:dyDescent="0.25">
      <c r="A2529" t="s">
        <v>30</v>
      </c>
      <c r="B2529" t="s">
        <v>115</v>
      </c>
      <c r="C2529" t="b">
        <v>0</v>
      </c>
      <c r="D2529" s="1">
        <v>39203</v>
      </c>
      <c r="E2529">
        <v>5</v>
      </c>
      <c r="F2529"/>
      <c r="G2529"/>
      <c r="H2529"/>
      <c r="I2529"/>
      <c r="J2529"/>
      <c r="K2529"/>
      <c r="L2529"/>
      <c r="M2529"/>
      <c r="N2529"/>
      <c r="O2529"/>
    </row>
    <row r="2530" spans="1:15" hidden="1" x14ac:dyDescent="0.25">
      <c r="A2530" t="s">
        <v>37</v>
      </c>
      <c r="B2530" t="s">
        <v>115</v>
      </c>
      <c r="C2530" t="b">
        <v>0</v>
      </c>
      <c r="D2530" s="1">
        <v>39203</v>
      </c>
      <c r="E2530">
        <v>5</v>
      </c>
      <c r="F2530"/>
      <c r="G2530"/>
      <c r="H2530"/>
      <c r="I2530"/>
      <c r="J2530"/>
      <c r="K2530"/>
      <c r="L2530"/>
      <c r="M2530"/>
      <c r="N2530"/>
      <c r="O2530"/>
    </row>
    <row r="2531" spans="1:15" hidden="1" x14ac:dyDescent="0.25">
      <c r="A2531" t="s">
        <v>39</v>
      </c>
      <c r="B2531" t="s">
        <v>115</v>
      </c>
      <c r="C2531" t="b">
        <v>0</v>
      </c>
      <c r="D2531" s="1">
        <v>39203</v>
      </c>
      <c r="E2531">
        <v>5</v>
      </c>
      <c r="F2531"/>
      <c r="G2531"/>
      <c r="H2531"/>
      <c r="I2531"/>
      <c r="J2531"/>
      <c r="K2531"/>
      <c r="L2531"/>
      <c r="M2531"/>
      <c r="N2531"/>
      <c r="O2531"/>
    </row>
    <row r="2532" spans="1:15" hidden="1" x14ac:dyDescent="0.25">
      <c r="A2532" t="s">
        <v>57</v>
      </c>
      <c r="B2532" t="s">
        <v>115</v>
      </c>
      <c r="C2532" t="b">
        <v>0</v>
      </c>
      <c r="D2532" s="1">
        <v>39203</v>
      </c>
      <c r="E2532">
        <v>5</v>
      </c>
      <c r="F2532"/>
      <c r="G2532"/>
      <c r="H2532"/>
      <c r="I2532"/>
      <c r="J2532"/>
      <c r="K2532"/>
      <c r="L2532"/>
      <c r="M2532"/>
      <c r="N2532"/>
      <c r="O2532"/>
    </row>
    <row r="2533" spans="1:15" hidden="1" x14ac:dyDescent="0.25">
      <c r="A2533" t="s">
        <v>71</v>
      </c>
      <c r="B2533" t="s">
        <v>115</v>
      </c>
      <c r="C2533" t="b">
        <v>0</v>
      </c>
      <c r="D2533" s="1">
        <v>39203</v>
      </c>
      <c r="E2533">
        <v>5</v>
      </c>
      <c r="F2533"/>
      <c r="G2533"/>
      <c r="H2533"/>
      <c r="I2533"/>
      <c r="J2533"/>
      <c r="K2533"/>
      <c r="L2533"/>
      <c r="M2533"/>
      <c r="N2533"/>
      <c r="O2533"/>
    </row>
    <row r="2534" spans="1:15" hidden="1" x14ac:dyDescent="0.25">
      <c r="A2534" t="s">
        <v>86</v>
      </c>
      <c r="B2534" t="s">
        <v>115</v>
      </c>
      <c r="C2534" t="b">
        <v>0</v>
      </c>
      <c r="D2534" s="1">
        <v>39203</v>
      </c>
      <c r="E2534">
        <v>5</v>
      </c>
      <c r="F2534"/>
      <c r="G2534"/>
      <c r="H2534"/>
      <c r="I2534"/>
      <c r="J2534"/>
      <c r="K2534"/>
      <c r="L2534"/>
      <c r="M2534"/>
      <c r="N2534"/>
      <c r="O2534"/>
    </row>
    <row r="2535" spans="1:15" hidden="1" x14ac:dyDescent="0.25">
      <c r="A2535" t="s">
        <v>90</v>
      </c>
      <c r="B2535" t="s">
        <v>115</v>
      </c>
      <c r="C2535" t="b">
        <v>0</v>
      </c>
      <c r="D2535" s="1">
        <v>39203</v>
      </c>
      <c r="E2535">
        <v>5</v>
      </c>
      <c r="F2535"/>
      <c r="G2535"/>
      <c r="H2535"/>
      <c r="I2535"/>
      <c r="J2535"/>
      <c r="K2535"/>
      <c r="L2535"/>
      <c r="M2535"/>
      <c r="N2535"/>
      <c r="O2535"/>
    </row>
    <row r="2536" spans="1:15" hidden="1" x14ac:dyDescent="0.25">
      <c r="A2536" t="s">
        <v>99</v>
      </c>
      <c r="B2536" t="s">
        <v>114</v>
      </c>
      <c r="C2536" t="b">
        <v>0</v>
      </c>
      <c r="D2536" s="1">
        <v>39203</v>
      </c>
      <c r="E2536">
        <v>45.44</v>
      </c>
      <c r="F2536"/>
      <c r="G2536"/>
      <c r="H2536"/>
      <c r="I2536"/>
      <c r="J2536"/>
      <c r="K2536"/>
      <c r="L2536"/>
      <c r="M2536"/>
      <c r="N2536"/>
      <c r="O2536"/>
    </row>
    <row r="2537" spans="1:15" hidden="1" x14ac:dyDescent="0.25">
      <c r="A2537" t="s">
        <v>100</v>
      </c>
      <c r="B2537" t="s">
        <v>117</v>
      </c>
      <c r="C2537" t="b">
        <v>0</v>
      </c>
      <c r="D2537" s="1">
        <v>39234</v>
      </c>
      <c r="E2537" s="2">
        <v>-63.02</v>
      </c>
      <c r="F2537"/>
      <c r="G2537"/>
      <c r="H2537"/>
      <c r="I2537"/>
      <c r="J2537"/>
      <c r="K2537"/>
      <c r="L2537"/>
      <c r="M2537"/>
      <c r="N2537"/>
      <c r="O2537"/>
    </row>
    <row r="2538" spans="1:15" hidden="1" x14ac:dyDescent="0.25">
      <c r="A2538" t="s">
        <v>104</v>
      </c>
      <c r="B2538" t="s">
        <v>117</v>
      </c>
      <c r="C2538" t="b">
        <v>0</v>
      </c>
      <c r="D2538" s="1">
        <v>39234</v>
      </c>
      <c r="E2538" s="2">
        <v>-5</v>
      </c>
      <c r="F2538"/>
      <c r="G2538"/>
      <c r="H2538"/>
      <c r="I2538"/>
      <c r="J2538"/>
      <c r="K2538"/>
      <c r="L2538"/>
      <c r="M2538"/>
      <c r="N2538"/>
      <c r="O2538"/>
    </row>
    <row r="2539" spans="1:15" hidden="1" x14ac:dyDescent="0.25">
      <c r="A2539" t="s">
        <v>101</v>
      </c>
      <c r="B2539" t="s">
        <v>117</v>
      </c>
      <c r="C2539" t="b">
        <v>0</v>
      </c>
      <c r="D2539" s="1">
        <v>39234</v>
      </c>
      <c r="E2539" s="2">
        <v>-130.57</v>
      </c>
      <c r="F2539"/>
      <c r="G2539"/>
      <c r="H2539"/>
      <c r="I2539"/>
      <c r="J2539"/>
      <c r="K2539"/>
      <c r="L2539"/>
      <c r="M2539"/>
      <c r="N2539"/>
      <c r="O2539"/>
    </row>
    <row r="2540" spans="1:15" hidden="1" x14ac:dyDescent="0.25">
      <c r="A2540" t="s">
        <v>14</v>
      </c>
      <c r="B2540" t="s">
        <v>115</v>
      </c>
      <c r="C2540" t="b">
        <v>0</v>
      </c>
      <c r="D2540" s="1">
        <v>39234</v>
      </c>
      <c r="E2540">
        <v>5</v>
      </c>
      <c r="F2540"/>
      <c r="G2540"/>
      <c r="H2540"/>
      <c r="I2540"/>
      <c r="J2540"/>
      <c r="K2540"/>
      <c r="L2540"/>
      <c r="M2540"/>
      <c r="N2540"/>
      <c r="O2540"/>
    </row>
    <row r="2541" spans="1:15" hidden="1" x14ac:dyDescent="0.25">
      <c r="A2541" t="s">
        <v>22</v>
      </c>
      <c r="B2541" t="s">
        <v>115</v>
      </c>
      <c r="C2541" t="b">
        <v>0</v>
      </c>
      <c r="D2541" s="1">
        <v>39234</v>
      </c>
      <c r="E2541">
        <v>5</v>
      </c>
      <c r="F2541"/>
      <c r="G2541"/>
      <c r="H2541"/>
      <c r="I2541"/>
      <c r="J2541"/>
      <c r="K2541"/>
      <c r="L2541"/>
      <c r="M2541"/>
      <c r="N2541"/>
      <c r="O2541"/>
    </row>
    <row r="2542" spans="1:15" hidden="1" x14ac:dyDescent="0.25">
      <c r="A2542" t="s">
        <v>106</v>
      </c>
      <c r="B2542" t="s">
        <v>115</v>
      </c>
      <c r="C2542" t="b">
        <v>0</v>
      </c>
      <c r="D2542" s="1">
        <v>39234</v>
      </c>
      <c r="E2542">
        <v>5</v>
      </c>
      <c r="F2542"/>
      <c r="G2542"/>
      <c r="H2542"/>
      <c r="I2542"/>
      <c r="J2542"/>
      <c r="K2542"/>
      <c r="L2542"/>
      <c r="M2542"/>
      <c r="N2542"/>
      <c r="O2542"/>
    </row>
    <row r="2543" spans="1:15" hidden="1" x14ac:dyDescent="0.25">
      <c r="A2543" t="s">
        <v>106</v>
      </c>
      <c r="B2543" t="s">
        <v>115</v>
      </c>
      <c r="C2543" t="b">
        <v>0</v>
      </c>
      <c r="D2543" s="1">
        <v>39234</v>
      </c>
      <c r="E2543">
        <v>5</v>
      </c>
      <c r="F2543"/>
      <c r="G2543"/>
      <c r="H2543"/>
      <c r="I2543"/>
      <c r="J2543"/>
      <c r="K2543"/>
      <c r="L2543"/>
      <c r="M2543"/>
      <c r="N2543"/>
      <c r="O2543"/>
    </row>
    <row r="2544" spans="1:15" hidden="1" x14ac:dyDescent="0.25">
      <c r="A2544" t="s">
        <v>106</v>
      </c>
      <c r="B2544" t="s">
        <v>115</v>
      </c>
      <c r="C2544" t="b">
        <v>0</v>
      </c>
      <c r="D2544" s="1">
        <v>39234</v>
      </c>
      <c r="E2544">
        <v>5</v>
      </c>
      <c r="F2544"/>
      <c r="G2544"/>
      <c r="H2544"/>
      <c r="I2544"/>
      <c r="J2544"/>
      <c r="K2544"/>
      <c r="L2544"/>
      <c r="M2544"/>
      <c r="N2544"/>
      <c r="O2544"/>
    </row>
    <row r="2545" spans="1:15" hidden="1" x14ac:dyDescent="0.25">
      <c r="A2545" t="s">
        <v>106</v>
      </c>
      <c r="B2545" t="s">
        <v>115</v>
      </c>
      <c r="C2545" t="b">
        <v>0</v>
      </c>
      <c r="D2545" s="1">
        <v>39234</v>
      </c>
      <c r="E2545">
        <v>5</v>
      </c>
      <c r="F2545"/>
      <c r="G2545"/>
      <c r="H2545"/>
      <c r="I2545"/>
      <c r="J2545"/>
      <c r="K2545"/>
      <c r="L2545"/>
      <c r="M2545"/>
      <c r="N2545"/>
      <c r="O2545"/>
    </row>
    <row r="2546" spans="1:15" hidden="1" x14ac:dyDescent="0.25">
      <c r="A2546" t="s">
        <v>106</v>
      </c>
      <c r="B2546" t="s">
        <v>115</v>
      </c>
      <c r="C2546" t="b">
        <v>0</v>
      </c>
      <c r="D2546" s="1">
        <v>39234</v>
      </c>
      <c r="E2546">
        <v>5</v>
      </c>
      <c r="F2546"/>
      <c r="G2546"/>
      <c r="H2546"/>
      <c r="I2546"/>
      <c r="J2546"/>
      <c r="K2546"/>
      <c r="L2546"/>
      <c r="M2546"/>
      <c r="N2546"/>
      <c r="O2546"/>
    </row>
    <row r="2547" spans="1:15" hidden="1" x14ac:dyDescent="0.25">
      <c r="A2547" t="s">
        <v>106</v>
      </c>
      <c r="B2547" t="s">
        <v>115</v>
      </c>
      <c r="C2547" t="b">
        <v>0</v>
      </c>
      <c r="D2547" s="1">
        <v>39234</v>
      </c>
      <c r="E2547">
        <v>5</v>
      </c>
      <c r="F2547"/>
      <c r="G2547"/>
      <c r="H2547"/>
      <c r="I2547"/>
      <c r="J2547"/>
      <c r="K2547"/>
      <c r="L2547"/>
      <c r="M2547"/>
      <c r="N2547"/>
      <c r="O2547"/>
    </row>
    <row r="2548" spans="1:15" hidden="1" x14ac:dyDescent="0.25">
      <c r="A2548" t="s">
        <v>106</v>
      </c>
      <c r="B2548" t="s">
        <v>115</v>
      </c>
      <c r="C2548" t="b">
        <v>0</v>
      </c>
      <c r="D2548" s="1">
        <v>39234</v>
      </c>
      <c r="E2548">
        <v>5</v>
      </c>
      <c r="F2548"/>
      <c r="G2548"/>
      <c r="H2548"/>
      <c r="I2548"/>
      <c r="J2548"/>
      <c r="K2548"/>
      <c r="L2548"/>
      <c r="M2548"/>
      <c r="N2548"/>
      <c r="O2548"/>
    </row>
    <row r="2549" spans="1:15" hidden="1" x14ac:dyDescent="0.25">
      <c r="A2549" t="s">
        <v>106</v>
      </c>
      <c r="B2549" t="s">
        <v>115</v>
      </c>
      <c r="C2549" t="b">
        <v>0</v>
      </c>
      <c r="D2549" s="1">
        <v>39234</v>
      </c>
      <c r="E2549">
        <v>5</v>
      </c>
      <c r="F2549"/>
      <c r="G2549"/>
      <c r="H2549"/>
      <c r="I2549"/>
      <c r="J2549"/>
      <c r="K2549"/>
      <c r="L2549"/>
      <c r="M2549"/>
      <c r="N2549"/>
      <c r="O2549"/>
    </row>
    <row r="2550" spans="1:15" hidden="1" x14ac:dyDescent="0.25">
      <c r="A2550" t="s">
        <v>106</v>
      </c>
      <c r="B2550" t="s">
        <v>115</v>
      </c>
      <c r="C2550" t="b">
        <v>0</v>
      </c>
      <c r="D2550" s="1">
        <v>39234</v>
      </c>
      <c r="E2550">
        <v>5</v>
      </c>
      <c r="F2550"/>
      <c r="G2550"/>
      <c r="H2550"/>
      <c r="I2550"/>
      <c r="J2550"/>
      <c r="K2550"/>
      <c r="L2550"/>
      <c r="M2550"/>
      <c r="N2550"/>
      <c r="O2550"/>
    </row>
    <row r="2551" spans="1:15" hidden="1" x14ac:dyDescent="0.25">
      <c r="A2551" t="s">
        <v>106</v>
      </c>
      <c r="B2551" t="s">
        <v>115</v>
      </c>
      <c r="C2551" t="b">
        <v>0</v>
      </c>
      <c r="D2551" s="1">
        <v>39234</v>
      </c>
      <c r="E2551">
        <v>5</v>
      </c>
      <c r="F2551"/>
      <c r="G2551"/>
      <c r="H2551"/>
      <c r="I2551"/>
      <c r="J2551"/>
      <c r="K2551"/>
      <c r="L2551"/>
      <c r="M2551"/>
      <c r="N2551"/>
      <c r="O2551"/>
    </row>
    <row r="2552" spans="1:15" hidden="1" x14ac:dyDescent="0.25">
      <c r="A2552" t="s">
        <v>106</v>
      </c>
      <c r="B2552" t="s">
        <v>115</v>
      </c>
      <c r="C2552" t="b">
        <v>0</v>
      </c>
      <c r="D2552" s="1">
        <v>39234</v>
      </c>
      <c r="E2552">
        <v>5</v>
      </c>
      <c r="F2552"/>
      <c r="G2552"/>
      <c r="H2552"/>
      <c r="I2552"/>
      <c r="J2552"/>
      <c r="K2552"/>
      <c r="L2552"/>
      <c r="M2552"/>
      <c r="N2552"/>
      <c r="O2552"/>
    </row>
    <row r="2553" spans="1:15" hidden="1" x14ac:dyDescent="0.25">
      <c r="A2553" t="s">
        <v>24</v>
      </c>
      <c r="B2553" t="s">
        <v>115</v>
      </c>
      <c r="C2553" t="b">
        <v>0</v>
      </c>
      <c r="D2553" s="1">
        <v>39234</v>
      </c>
      <c r="E2553">
        <v>5</v>
      </c>
      <c r="F2553"/>
      <c r="G2553"/>
      <c r="H2553"/>
      <c r="I2553"/>
      <c r="J2553"/>
      <c r="K2553"/>
      <c r="L2553"/>
      <c r="M2553"/>
      <c r="N2553"/>
      <c r="O2553"/>
    </row>
    <row r="2554" spans="1:15" hidden="1" x14ac:dyDescent="0.25">
      <c r="A2554" t="s">
        <v>30</v>
      </c>
      <c r="B2554" t="s">
        <v>115</v>
      </c>
      <c r="C2554" t="b">
        <v>0</v>
      </c>
      <c r="D2554" s="1">
        <v>39234</v>
      </c>
      <c r="E2554">
        <v>5</v>
      </c>
      <c r="F2554"/>
      <c r="G2554"/>
      <c r="H2554"/>
      <c r="I2554"/>
      <c r="J2554"/>
      <c r="K2554"/>
      <c r="L2554"/>
      <c r="M2554"/>
      <c r="N2554"/>
      <c r="O2554"/>
    </row>
    <row r="2555" spans="1:15" hidden="1" x14ac:dyDescent="0.25">
      <c r="A2555" t="s">
        <v>37</v>
      </c>
      <c r="B2555" t="s">
        <v>115</v>
      </c>
      <c r="C2555" t="b">
        <v>0</v>
      </c>
      <c r="D2555" s="1">
        <v>39234</v>
      </c>
      <c r="E2555">
        <v>5</v>
      </c>
      <c r="F2555"/>
      <c r="G2555"/>
      <c r="H2555"/>
      <c r="I2555"/>
      <c r="J2555"/>
      <c r="K2555"/>
      <c r="L2555"/>
      <c r="M2555"/>
      <c r="N2555"/>
      <c r="O2555"/>
    </row>
    <row r="2556" spans="1:15" hidden="1" x14ac:dyDescent="0.25">
      <c r="A2556" t="s">
        <v>39</v>
      </c>
      <c r="B2556" t="s">
        <v>115</v>
      </c>
      <c r="C2556" t="b">
        <v>0</v>
      </c>
      <c r="D2556" s="1">
        <v>39234</v>
      </c>
      <c r="E2556">
        <v>5</v>
      </c>
      <c r="F2556"/>
      <c r="G2556"/>
      <c r="H2556"/>
      <c r="I2556"/>
      <c r="J2556"/>
      <c r="K2556"/>
      <c r="L2556"/>
      <c r="M2556"/>
      <c r="N2556"/>
      <c r="O2556"/>
    </row>
    <row r="2557" spans="1:15" hidden="1" x14ac:dyDescent="0.25">
      <c r="A2557" t="s">
        <v>57</v>
      </c>
      <c r="B2557" t="s">
        <v>115</v>
      </c>
      <c r="C2557" t="b">
        <v>0</v>
      </c>
      <c r="D2557" s="1">
        <v>39234</v>
      </c>
      <c r="E2557">
        <v>5</v>
      </c>
      <c r="F2557"/>
      <c r="G2557"/>
      <c r="H2557"/>
      <c r="I2557"/>
      <c r="J2557"/>
      <c r="K2557"/>
      <c r="L2557"/>
      <c r="M2557"/>
      <c r="N2557"/>
      <c r="O2557"/>
    </row>
    <row r="2558" spans="1:15" hidden="1" x14ac:dyDescent="0.25">
      <c r="A2558" t="s">
        <v>69</v>
      </c>
      <c r="B2558" t="s">
        <v>115</v>
      </c>
      <c r="C2558" t="b">
        <v>0</v>
      </c>
      <c r="D2558" s="1">
        <v>39234</v>
      </c>
      <c r="E2558">
        <v>5</v>
      </c>
      <c r="F2558"/>
      <c r="G2558"/>
      <c r="H2558"/>
      <c r="I2558"/>
      <c r="J2558"/>
      <c r="K2558"/>
      <c r="L2558"/>
      <c r="M2558"/>
      <c r="N2558"/>
      <c r="O2558"/>
    </row>
    <row r="2559" spans="1:15" hidden="1" x14ac:dyDescent="0.25">
      <c r="A2559" t="s">
        <v>71</v>
      </c>
      <c r="B2559" t="s">
        <v>115</v>
      </c>
      <c r="C2559" t="b">
        <v>0</v>
      </c>
      <c r="D2559" s="1">
        <v>39234</v>
      </c>
      <c r="E2559">
        <v>5</v>
      </c>
      <c r="F2559"/>
      <c r="G2559"/>
      <c r="H2559"/>
      <c r="I2559"/>
      <c r="J2559"/>
      <c r="K2559"/>
      <c r="L2559"/>
      <c r="M2559"/>
      <c r="N2559"/>
      <c r="O2559"/>
    </row>
    <row r="2560" spans="1:15" hidden="1" x14ac:dyDescent="0.25">
      <c r="A2560" t="s">
        <v>86</v>
      </c>
      <c r="B2560" t="s">
        <v>115</v>
      </c>
      <c r="C2560" t="b">
        <v>0</v>
      </c>
      <c r="D2560" s="1">
        <v>39234</v>
      </c>
      <c r="E2560">
        <v>5</v>
      </c>
      <c r="F2560"/>
      <c r="G2560"/>
      <c r="H2560"/>
      <c r="I2560"/>
      <c r="J2560"/>
      <c r="K2560"/>
      <c r="L2560"/>
      <c r="M2560"/>
      <c r="N2560"/>
      <c r="O2560"/>
    </row>
    <row r="2561" spans="1:15" hidden="1" x14ac:dyDescent="0.25">
      <c r="A2561" t="s">
        <v>90</v>
      </c>
      <c r="B2561" t="s">
        <v>115</v>
      </c>
      <c r="C2561" t="b">
        <v>0</v>
      </c>
      <c r="D2561" s="1">
        <v>39234</v>
      </c>
      <c r="E2561">
        <v>5</v>
      </c>
      <c r="F2561"/>
      <c r="G2561"/>
      <c r="H2561"/>
      <c r="I2561"/>
      <c r="J2561"/>
      <c r="K2561"/>
      <c r="L2561"/>
      <c r="M2561"/>
      <c r="N2561"/>
      <c r="O2561"/>
    </row>
    <row r="2562" spans="1:15" hidden="1" x14ac:dyDescent="0.25">
      <c r="A2562" t="s">
        <v>100</v>
      </c>
      <c r="B2562" t="s">
        <v>117</v>
      </c>
      <c r="C2562" t="b">
        <v>0</v>
      </c>
      <c r="D2562" s="1">
        <v>39264</v>
      </c>
      <c r="E2562" s="2">
        <v>-100</v>
      </c>
      <c r="F2562"/>
      <c r="G2562"/>
      <c r="H2562"/>
      <c r="I2562"/>
      <c r="J2562"/>
      <c r="K2562"/>
      <c r="L2562"/>
      <c r="M2562"/>
      <c r="N2562"/>
      <c r="O2562"/>
    </row>
    <row r="2563" spans="1:15" hidden="1" x14ac:dyDescent="0.25">
      <c r="A2563" t="s">
        <v>14</v>
      </c>
      <c r="B2563" t="s">
        <v>115</v>
      </c>
      <c r="C2563" t="b">
        <v>0</v>
      </c>
      <c r="D2563" s="1">
        <v>39264</v>
      </c>
      <c r="E2563">
        <v>5</v>
      </c>
      <c r="F2563"/>
      <c r="G2563"/>
      <c r="H2563"/>
      <c r="I2563"/>
      <c r="J2563"/>
      <c r="K2563"/>
      <c r="L2563"/>
      <c r="M2563"/>
      <c r="N2563"/>
      <c r="O2563"/>
    </row>
    <row r="2564" spans="1:15" hidden="1" x14ac:dyDescent="0.25">
      <c r="A2564" t="s">
        <v>106</v>
      </c>
      <c r="B2564" t="s">
        <v>115</v>
      </c>
      <c r="C2564" t="b">
        <v>0</v>
      </c>
      <c r="D2564" s="1">
        <v>39264</v>
      </c>
      <c r="E2564">
        <v>5</v>
      </c>
      <c r="F2564"/>
      <c r="G2564"/>
      <c r="H2564"/>
      <c r="I2564"/>
      <c r="J2564"/>
      <c r="K2564"/>
      <c r="L2564"/>
      <c r="M2564"/>
      <c r="N2564"/>
      <c r="O2564"/>
    </row>
    <row r="2565" spans="1:15" hidden="1" x14ac:dyDescent="0.25">
      <c r="A2565" t="s">
        <v>106</v>
      </c>
      <c r="B2565" t="s">
        <v>115</v>
      </c>
      <c r="C2565" t="b">
        <v>0</v>
      </c>
      <c r="D2565" s="1">
        <v>39264</v>
      </c>
      <c r="E2565">
        <v>3</v>
      </c>
      <c r="F2565"/>
      <c r="G2565"/>
      <c r="H2565"/>
      <c r="I2565"/>
      <c r="J2565"/>
      <c r="K2565"/>
      <c r="L2565"/>
      <c r="M2565"/>
      <c r="N2565"/>
      <c r="O2565"/>
    </row>
    <row r="2566" spans="1:15" hidden="1" x14ac:dyDescent="0.25">
      <c r="A2566" t="s">
        <v>106</v>
      </c>
      <c r="B2566" t="s">
        <v>115</v>
      </c>
      <c r="C2566" t="b">
        <v>0</v>
      </c>
      <c r="D2566" s="1">
        <v>39264</v>
      </c>
      <c r="E2566">
        <v>5</v>
      </c>
      <c r="F2566"/>
      <c r="G2566"/>
      <c r="H2566"/>
      <c r="I2566"/>
      <c r="J2566"/>
      <c r="K2566"/>
      <c r="L2566"/>
      <c r="M2566"/>
      <c r="N2566"/>
      <c r="O2566"/>
    </row>
    <row r="2567" spans="1:15" hidden="1" x14ac:dyDescent="0.25">
      <c r="A2567" t="s">
        <v>106</v>
      </c>
      <c r="B2567" t="s">
        <v>115</v>
      </c>
      <c r="C2567" t="b">
        <v>0</v>
      </c>
      <c r="D2567" s="1">
        <v>39264</v>
      </c>
      <c r="E2567">
        <v>5</v>
      </c>
      <c r="F2567"/>
      <c r="G2567"/>
      <c r="H2567"/>
      <c r="I2567"/>
      <c r="J2567"/>
      <c r="K2567"/>
      <c r="L2567"/>
      <c r="M2567"/>
      <c r="N2567"/>
      <c r="O2567"/>
    </row>
    <row r="2568" spans="1:15" hidden="1" x14ac:dyDescent="0.25">
      <c r="A2568" t="s">
        <v>106</v>
      </c>
      <c r="B2568" t="s">
        <v>115</v>
      </c>
      <c r="C2568" t="b">
        <v>0</v>
      </c>
      <c r="D2568" s="1">
        <v>39264</v>
      </c>
      <c r="E2568">
        <v>5</v>
      </c>
      <c r="F2568"/>
      <c r="G2568"/>
      <c r="H2568"/>
      <c r="I2568"/>
      <c r="J2568"/>
      <c r="K2568"/>
      <c r="L2568"/>
      <c r="M2568"/>
      <c r="N2568"/>
      <c r="O2568"/>
    </row>
    <row r="2569" spans="1:15" hidden="1" x14ac:dyDescent="0.25">
      <c r="A2569" t="s">
        <v>106</v>
      </c>
      <c r="B2569" t="s">
        <v>115</v>
      </c>
      <c r="C2569" t="b">
        <v>0</v>
      </c>
      <c r="D2569" s="1">
        <v>39264</v>
      </c>
      <c r="E2569">
        <v>5</v>
      </c>
      <c r="F2569"/>
      <c r="G2569"/>
      <c r="H2569"/>
      <c r="I2569"/>
      <c r="J2569"/>
      <c r="K2569"/>
      <c r="L2569"/>
      <c r="M2569"/>
      <c r="N2569"/>
      <c r="O2569"/>
    </row>
    <row r="2570" spans="1:15" hidden="1" x14ac:dyDescent="0.25">
      <c r="A2570" t="s">
        <v>106</v>
      </c>
      <c r="B2570" t="s">
        <v>115</v>
      </c>
      <c r="C2570" t="b">
        <v>0</v>
      </c>
      <c r="D2570" s="1">
        <v>39264</v>
      </c>
      <c r="E2570">
        <v>5</v>
      </c>
      <c r="F2570"/>
      <c r="G2570"/>
      <c r="H2570"/>
      <c r="I2570"/>
      <c r="J2570"/>
      <c r="K2570"/>
      <c r="L2570"/>
      <c r="M2570"/>
      <c r="N2570"/>
      <c r="O2570"/>
    </row>
    <row r="2571" spans="1:15" hidden="1" x14ac:dyDescent="0.25">
      <c r="A2571" t="s">
        <v>106</v>
      </c>
      <c r="B2571" t="s">
        <v>115</v>
      </c>
      <c r="C2571" t="b">
        <v>0</v>
      </c>
      <c r="D2571" s="1">
        <v>39264</v>
      </c>
      <c r="E2571">
        <v>5</v>
      </c>
      <c r="F2571"/>
      <c r="G2571"/>
      <c r="H2571"/>
      <c r="I2571"/>
      <c r="J2571"/>
      <c r="K2571"/>
      <c r="L2571"/>
      <c r="M2571"/>
      <c r="N2571"/>
      <c r="O2571"/>
    </row>
    <row r="2572" spans="1:15" hidden="1" x14ac:dyDescent="0.25">
      <c r="A2572" t="s">
        <v>106</v>
      </c>
      <c r="B2572" t="s">
        <v>115</v>
      </c>
      <c r="C2572" t="b">
        <v>0</v>
      </c>
      <c r="D2572" s="1">
        <v>39264</v>
      </c>
      <c r="E2572">
        <v>5</v>
      </c>
      <c r="F2572"/>
      <c r="G2572"/>
      <c r="H2572"/>
      <c r="I2572"/>
      <c r="J2572"/>
      <c r="K2572"/>
      <c r="L2572"/>
      <c r="M2572"/>
      <c r="N2572"/>
      <c r="O2572"/>
    </row>
    <row r="2573" spans="1:15" hidden="1" x14ac:dyDescent="0.25">
      <c r="A2573" t="s">
        <v>106</v>
      </c>
      <c r="B2573" t="s">
        <v>115</v>
      </c>
      <c r="C2573" t="b">
        <v>0</v>
      </c>
      <c r="D2573" s="1">
        <v>39264</v>
      </c>
      <c r="E2573">
        <v>5</v>
      </c>
      <c r="F2573"/>
      <c r="G2573"/>
      <c r="H2573"/>
      <c r="I2573"/>
      <c r="J2573"/>
      <c r="K2573"/>
      <c r="L2573"/>
      <c r="M2573"/>
      <c r="N2573"/>
      <c r="O2573"/>
    </row>
    <row r="2574" spans="1:15" hidden="1" x14ac:dyDescent="0.25">
      <c r="A2574" t="s">
        <v>106</v>
      </c>
      <c r="B2574" t="s">
        <v>115</v>
      </c>
      <c r="C2574" t="b">
        <v>0</v>
      </c>
      <c r="D2574" s="1">
        <v>39264</v>
      </c>
      <c r="E2574">
        <v>5</v>
      </c>
      <c r="F2574"/>
      <c r="G2574"/>
      <c r="H2574"/>
      <c r="I2574"/>
      <c r="J2574"/>
      <c r="K2574"/>
      <c r="L2574"/>
      <c r="M2574"/>
      <c r="N2574"/>
      <c r="O2574"/>
    </row>
    <row r="2575" spans="1:15" hidden="1" x14ac:dyDescent="0.25">
      <c r="A2575" t="s">
        <v>24</v>
      </c>
      <c r="B2575" t="s">
        <v>115</v>
      </c>
      <c r="C2575" t="b">
        <v>0</v>
      </c>
      <c r="D2575" s="1">
        <v>39264</v>
      </c>
      <c r="E2575">
        <v>5</v>
      </c>
      <c r="F2575"/>
      <c r="G2575"/>
      <c r="H2575"/>
      <c r="I2575"/>
      <c r="J2575"/>
      <c r="K2575"/>
      <c r="L2575"/>
      <c r="M2575"/>
      <c r="N2575"/>
      <c r="O2575"/>
    </row>
    <row r="2576" spans="1:15" hidden="1" x14ac:dyDescent="0.25">
      <c r="A2576" t="s">
        <v>37</v>
      </c>
      <c r="B2576" t="s">
        <v>115</v>
      </c>
      <c r="C2576" t="b">
        <v>0</v>
      </c>
      <c r="D2576" s="1">
        <v>39264</v>
      </c>
      <c r="E2576">
        <v>5</v>
      </c>
      <c r="F2576"/>
      <c r="G2576"/>
      <c r="H2576"/>
      <c r="I2576"/>
      <c r="J2576"/>
      <c r="K2576"/>
      <c r="L2576"/>
      <c r="M2576"/>
      <c r="N2576"/>
      <c r="O2576"/>
    </row>
    <row r="2577" spans="1:15" hidden="1" x14ac:dyDescent="0.25">
      <c r="A2577" t="s">
        <v>39</v>
      </c>
      <c r="B2577" t="s">
        <v>115</v>
      </c>
      <c r="C2577" t="b">
        <v>0</v>
      </c>
      <c r="D2577" s="1">
        <v>39264</v>
      </c>
      <c r="E2577">
        <v>5</v>
      </c>
      <c r="F2577"/>
      <c r="G2577"/>
      <c r="H2577"/>
      <c r="I2577"/>
      <c r="J2577"/>
      <c r="K2577"/>
      <c r="L2577"/>
      <c r="M2577"/>
      <c r="N2577"/>
      <c r="O2577"/>
    </row>
    <row r="2578" spans="1:15" hidden="1" x14ac:dyDescent="0.25">
      <c r="A2578" t="s">
        <v>57</v>
      </c>
      <c r="B2578" t="s">
        <v>115</v>
      </c>
      <c r="C2578" t="b">
        <v>0</v>
      </c>
      <c r="D2578" s="1">
        <v>39264</v>
      </c>
      <c r="E2578">
        <v>5</v>
      </c>
      <c r="F2578"/>
      <c r="G2578"/>
      <c r="H2578"/>
      <c r="I2578"/>
      <c r="J2578"/>
      <c r="K2578"/>
      <c r="L2578"/>
      <c r="M2578"/>
      <c r="N2578"/>
      <c r="O2578"/>
    </row>
    <row r="2579" spans="1:15" hidden="1" x14ac:dyDescent="0.25">
      <c r="A2579" t="s">
        <v>71</v>
      </c>
      <c r="B2579" t="s">
        <v>115</v>
      </c>
      <c r="C2579" t="b">
        <v>0</v>
      </c>
      <c r="D2579" s="1">
        <v>39264</v>
      </c>
      <c r="E2579">
        <v>5</v>
      </c>
      <c r="F2579"/>
      <c r="G2579"/>
      <c r="H2579"/>
      <c r="I2579"/>
      <c r="J2579"/>
      <c r="K2579"/>
      <c r="L2579"/>
      <c r="M2579"/>
      <c r="N2579"/>
      <c r="O2579"/>
    </row>
    <row r="2580" spans="1:15" hidden="1" x14ac:dyDescent="0.25">
      <c r="A2580" t="s">
        <v>86</v>
      </c>
      <c r="B2580" t="s">
        <v>115</v>
      </c>
      <c r="C2580" t="b">
        <v>0</v>
      </c>
      <c r="D2580" s="1">
        <v>39264</v>
      </c>
      <c r="E2580">
        <v>5</v>
      </c>
      <c r="F2580"/>
      <c r="G2580"/>
      <c r="H2580"/>
      <c r="I2580"/>
      <c r="J2580"/>
      <c r="K2580"/>
      <c r="L2580"/>
      <c r="M2580"/>
      <c r="N2580"/>
      <c r="O2580"/>
    </row>
    <row r="2581" spans="1:15" hidden="1" x14ac:dyDescent="0.25">
      <c r="A2581" t="s">
        <v>90</v>
      </c>
      <c r="B2581" t="s">
        <v>115</v>
      </c>
      <c r="C2581" t="b">
        <v>0</v>
      </c>
      <c r="D2581" s="1">
        <v>39264</v>
      </c>
      <c r="E2581">
        <v>5</v>
      </c>
      <c r="F2581"/>
      <c r="G2581"/>
      <c r="H2581"/>
      <c r="I2581"/>
      <c r="J2581"/>
      <c r="K2581"/>
      <c r="L2581"/>
      <c r="M2581"/>
      <c r="N2581"/>
      <c r="O2581"/>
    </row>
    <row r="2582" spans="1:15" hidden="1" x14ac:dyDescent="0.25">
      <c r="A2582" t="s">
        <v>99</v>
      </c>
      <c r="B2582" t="s">
        <v>114</v>
      </c>
      <c r="C2582" t="b">
        <v>0</v>
      </c>
      <c r="D2582" s="1">
        <v>39264</v>
      </c>
      <c r="E2582">
        <v>11.35</v>
      </c>
      <c r="F2582"/>
      <c r="G2582"/>
      <c r="H2582"/>
      <c r="I2582"/>
      <c r="J2582"/>
      <c r="K2582"/>
      <c r="L2582"/>
      <c r="M2582"/>
      <c r="N2582"/>
      <c r="O2582"/>
    </row>
    <row r="2583" spans="1:15" hidden="1" x14ac:dyDescent="0.25">
      <c r="A2583" t="s">
        <v>100</v>
      </c>
      <c r="B2583" t="s">
        <v>117</v>
      </c>
      <c r="C2583" t="b">
        <v>0</v>
      </c>
      <c r="D2583" s="1">
        <v>39295</v>
      </c>
      <c r="E2583" s="2">
        <v>-117.08</v>
      </c>
      <c r="F2583"/>
      <c r="G2583"/>
      <c r="H2583"/>
      <c r="I2583"/>
      <c r="J2583"/>
      <c r="K2583"/>
      <c r="L2583"/>
      <c r="M2583"/>
      <c r="N2583"/>
      <c r="O2583"/>
    </row>
    <row r="2584" spans="1:15" hidden="1" x14ac:dyDescent="0.25">
      <c r="A2584" t="s">
        <v>102</v>
      </c>
      <c r="B2584" t="s">
        <v>117</v>
      </c>
      <c r="C2584" t="b">
        <v>0</v>
      </c>
      <c r="D2584" s="1">
        <v>39295</v>
      </c>
      <c r="E2584" s="2">
        <v>-5.85</v>
      </c>
      <c r="F2584"/>
      <c r="G2584"/>
      <c r="H2584"/>
      <c r="I2584"/>
      <c r="J2584"/>
      <c r="K2584"/>
      <c r="L2584"/>
      <c r="M2584"/>
      <c r="N2584"/>
      <c r="O2584"/>
    </row>
    <row r="2585" spans="1:15" hidden="1" x14ac:dyDescent="0.25">
      <c r="A2585" t="s">
        <v>14</v>
      </c>
      <c r="B2585" t="s">
        <v>115</v>
      </c>
      <c r="C2585" t="b">
        <v>0</v>
      </c>
      <c r="D2585" s="1">
        <v>39295</v>
      </c>
      <c r="E2585">
        <v>5</v>
      </c>
      <c r="F2585"/>
      <c r="G2585"/>
      <c r="H2585"/>
      <c r="I2585"/>
      <c r="J2585"/>
      <c r="K2585"/>
      <c r="L2585"/>
      <c r="M2585"/>
      <c r="N2585"/>
      <c r="O2585"/>
    </row>
    <row r="2586" spans="1:15" hidden="1" x14ac:dyDescent="0.25">
      <c r="A2586" t="s">
        <v>106</v>
      </c>
      <c r="B2586" t="s">
        <v>115</v>
      </c>
      <c r="C2586" t="b">
        <v>0</v>
      </c>
      <c r="D2586" s="1">
        <v>39295</v>
      </c>
      <c r="E2586">
        <v>5</v>
      </c>
      <c r="F2586"/>
      <c r="G2586"/>
      <c r="H2586"/>
      <c r="I2586"/>
      <c r="J2586"/>
      <c r="K2586"/>
      <c r="L2586"/>
      <c r="M2586"/>
      <c r="N2586"/>
      <c r="O2586"/>
    </row>
    <row r="2587" spans="1:15" hidden="1" x14ac:dyDescent="0.25">
      <c r="A2587" t="s">
        <v>106</v>
      </c>
      <c r="B2587" t="s">
        <v>115</v>
      </c>
      <c r="C2587" t="b">
        <v>0</v>
      </c>
      <c r="D2587" s="1">
        <v>39295</v>
      </c>
      <c r="E2587">
        <v>5</v>
      </c>
      <c r="F2587"/>
      <c r="G2587"/>
      <c r="H2587"/>
      <c r="I2587"/>
      <c r="J2587"/>
      <c r="K2587"/>
      <c r="L2587"/>
      <c r="M2587"/>
      <c r="N2587"/>
      <c r="O2587"/>
    </row>
    <row r="2588" spans="1:15" hidden="1" x14ac:dyDescent="0.25">
      <c r="A2588" t="s">
        <v>106</v>
      </c>
      <c r="B2588" t="s">
        <v>115</v>
      </c>
      <c r="C2588" t="b">
        <v>0</v>
      </c>
      <c r="D2588" s="1">
        <v>39295</v>
      </c>
      <c r="E2588">
        <v>2</v>
      </c>
      <c r="F2588"/>
      <c r="G2588"/>
      <c r="H2588"/>
      <c r="I2588"/>
      <c r="J2588"/>
      <c r="K2588"/>
      <c r="L2588"/>
      <c r="M2588"/>
      <c r="N2588"/>
      <c r="O2588"/>
    </row>
    <row r="2589" spans="1:15" hidden="1" x14ac:dyDescent="0.25">
      <c r="A2589" t="s">
        <v>106</v>
      </c>
      <c r="B2589" t="s">
        <v>115</v>
      </c>
      <c r="C2589" t="b">
        <v>0</v>
      </c>
      <c r="D2589" s="1">
        <v>39295</v>
      </c>
      <c r="E2589">
        <v>5</v>
      </c>
      <c r="F2589"/>
      <c r="G2589"/>
      <c r="H2589"/>
      <c r="I2589"/>
      <c r="J2589"/>
      <c r="K2589"/>
      <c r="L2589"/>
      <c r="M2589"/>
      <c r="N2589"/>
      <c r="O2589"/>
    </row>
    <row r="2590" spans="1:15" hidden="1" x14ac:dyDescent="0.25">
      <c r="A2590" t="s">
        <v>106</v>
      </c>
      <c r="B2590" t="s">
        <v>115</v>
      </c>
      <c r="C2590" t="b">
        <v>0</v>
      </c>
      <c r="D2590" s="1">
        <v>39295</v>
      </c>
      <c r="E2590">
        <v>5</v>
      </c>
      <c r="F2590"/>
      <c r="G2590"/>
      <c r="H2590"/>
      <c r="I2590"/>
      <c r="J2590"/>
      <c r="K2590"/>
      <c r="L2590"/>
      <c r="M2590"/>
      <c r="N2590"/>
      <c r="O2590"/>
    </row>
    <row r="2591" spans="1:15" hidden="1" x14ac:dyDescent="0.25">
      <c r="A2591" t="s">
        <v>106</v>
      </c>
      <c r="B2591" t="s">
        <v>115</v>
      </c>
      <c r="C2591" t="b">
        <v>0</v>
      </c>
      <c r="D2591" s="1">
        <v>39295</v>
      </c>
      <c r="E2591">
        <v>5</v>
      </c>
      <c r="F2591"/>
      <c r="G2591"/>
      <c r="H2591"/>
      <c r="I2591"/>
      <c r="J2591"/>
      <c r="K2591"/>
      <c r="L2591"/>
      <c r="M2591"/>
      <c r="N2591"/>
      <c r="O2591"/>
    </row>
    <row r="2592" spans="1:15" hidden="1" x14ac:dyDescent="0.25">
      <c r="A2592" t="s">
        <v>106</v>
      </c>
      <c r="B2592" t="s">
        <v>115</v>
      </c>
      <c r="C2592" t="b">
        <v>0</v>
      </c>
      <c r="D2592" s="1">
        <v>39295</v>
      </c>
      <c r="E2592">
        <v>5</v>
      </c>
      <c r="F2592"/>
      <c r="G2592"/>
      <c r="H2592"/>
      <c r="I2592"/>
      <c r="J2592"/>
      <c r="K2592"/>
      <c r="L2592"/>
      <c r="M2592"/>
      <c r="N2592"/>
      <c r="O2592"/>
    </row>
    <row r="2593" spans="1:15" hidden="1" x14ac:dyDescent="0.25">
      <c r="A2593" t="s">
        <v>106</v>
      </c>
      <c r="B2593" t="s">
        <v>115</v>
      </c>
      <c r="C2593" t="b">
        <v>0</v>
      </c>
      <c r="D2593" s="1">
        <v>39295</v>
      </c>
      <c r="E2593">
        <v>3</v>
      </c>
      <c r="F2593"/>
      <c r="G2593"/>
      <c r="H2593"/>
      <c r="I2593"/>
      <c r="J2593"/>
      <c r="K2593"/>
      <c r="L2593"/>
      <c r="M2593"/>
      <c r="N2593"/>
      <c r="O2593"/>
    </row>
    <row r="2594" spans="1:15" hidden="1" x14ac:dyDescent="0.25">
      <c r="A2594" t="s">
        <v>106</v>
      </c>
      <c r="B2594" t="s">
        <v>115</v>
      </c>
      <c r="C2594" t="b">
        <v>0</v>
      </c>
      <c r="D2594" s="1">
        <v>39295</v>
      </c>
      <c r="E2594">
        <v>5</v>
      </c>
      <c r="F2594"/>
      <c r="G2594"/>
      <c r="H2594"/>
      <c r="I2594"/>
      <c r="J2594"/>
      <c r="K2594"/>
      <c r="L2594"/>
      <c r="M2594"/>
      <c r="N2594"/>
      <c r="O2594"/>
    </row>
    <row r="2595" spans="1:15" hidden="1" x14ac:dyDescent="0.25">
      <c r="A2595" t="s">
        <v>106</v>
      </c>
      <c r="B2595" t="s">
        <v>115</v>
      </c>
      <c r="C2595" t="b">
        <v>0</v>
      </c>
      <c r="D2595" s="1">
        <v>39295</v>
      </c>
      <c r="E2595">
        <v>5</v>
      </c>
      <c r="F2595"/>
      <c r="G2595"/>
      <c r="H2595"/>
      <c r="I2595"/>
      <c r="J2595"/>
      <c r="K2595"/>
      <c r="L2595"/>
      <c r="M2595"/>
      <c r="N2595"/>
      <c r="O2595"/>
    </row>
    <row r="2596" spans="1:15" hidden="1" x14ac:dyDescent="0.25">
      <c r="A2596" t="s">
        <v>24</v>
      </c>
      <c r="B2596" t="s">
        <v>115</v>
      </c>
      <c r="C2596" t="b">
        <v>0</v>
      </c>
      <c r="D2596" s="1">
        <v>39295</v>
      </c>
      <c r="E2596">
        <v>5</v>
      </c>
      <c r="F2596"/>
      <c r="G2596"/>
      <c r="H2596"/>
      <c r="I2596"/>
      <c r="J2596"/>
      <c r="K2596"/>
      <c r="L2596"/>
      <c r="M2596"/>
      <c r="N2596"/>
      <c r="O2596"/>
    </row>
    <row r="2597" spans="1:15" hidden="1" x14ac:dyDescent="0.25">
      <c r="A2597" t="s">
        <v>30</v>
      </c>
      <c r="B2597" t="s">
        <v>115</v>
      </c>
      <c r="C2597" t="b">
        <v>0</v>
      </c>
      <c r="D2597" s="1">
        <v>39295</v>
      </c>
      <c r="E2597">
        <v>5</v>
      </c>
      <c r="F2597"/>
      <c r="G2597"/>
      <c r="H2597"/>
      <c r="I2597"/>
      <c r="J2597"/>
      <c r="K2597"/>
      <c r="L2597"/>
      <c r="M2597"/>
      <c r="N2597"/>
      <c r="O2597"/>
    </row>
    <row r="2598" spans="1:15" hidden="1" x14ac:dyDescent="0.25">
      <c r="A2598" t="s">
        <v>37</v>
      </c>
      <c r="B2598" t="s">
        <v>115</v>
      </c>
      <c r="C2598" t="b">
        <v>0</v>
      </c>
      <c r="D2598" s="1">
        <v>39295</v>
      </c>
      <c r="E2598">
        <v>5</v>
      </c>
      <c r="F2598"/>
      <c r="G2598"/>
      <c r="H2598"/>
      <c r="I2598"/>
      <c r="J2598"/>
      <c r="K2598"/>
      <c r="L2598"/>
      <c r="M2598"/>
      <c r="N2598"/>
      <c r="O2598"/>
    </row>
    <row r="2599" spans="1:15" hidden="1" x14ac:dyDescent="0.25">
      <c r="A2599" t="s">
        <v>57</v>
      </c>
      <c r="B2599" t="s">
        <v>115</v>
      </c>
      <c r="C2599" t="b">
        <v>0</v>
      </c>
      <c r="D2599" s="1">
        <v>39295</v>
      </c>
      <c r="E2599">
        <v>5</v>
      </c>
      <c r="F2599"/>
      <c r="G2599"/>
      <c r="H2599"/>
      <c r="I2599"/>
      <c r="J2599"/>
      <c r="K2599"/>
      <c r="L2599"/>
      <c r="M2599"/>
      <c r="N2599"/>
      <c r="O2599"/>
    </row>
    <row r="2600" spans="1:15" hidden="1" x14ac:dyDescent="0.25">
      <c r="A2600" t="s">
        <v>69</v>
      </c>
      <c r="B2600" t="s">
        <v>115</v>
      </c>
      <c r="C2600" t="b">
        <v>0</v>
      </c>
      <c r="D2600" s="1">
        <v>39295</v>
      </c>
      <c r="E2600">
        <v>5</v>
      </c>
      <c r="F2600"/>
      <c r="G2600"/>
      <c r="H2600"/>
      <c r="I2600"/>
      <c r="J2600"/>
      <c r="K2600"/>
      <c r="L2600"/>
      <c r="M2600"/>
      <c r="N2600"/>
      <c r="O2600"/>
    </row>
    <row r="2601" spans="1:15" hidden="1" x14ac:dyDescent="0.25">
      <c r="A2601" t="s">
        <v>71</v>
      </c>
      <c r="B2601" t="s">
        <v>115</v>
      </c>
      <c r="C2601" t="b">
        <v>0</v>
      </c>
      <c r="D2601" s="1">
        <v>39295</v>
      </c>
      <c r="E2601">
        <v>5</v>
      </c>
      <c r="F2601"/>
      <c r="G2601"/>
      <c r="H2601"/>
      <c r="I2601"/>
      <c r="J2601"/>
      <c r="K2601"/>
      <c r="L2601"/>
      <c r="M2601"/>
      <c r="N2601"/>
      <c r="O2601"/>
    </row>
    <row r="2602" spans="1:15" hidden="1" x14ac:dyDescent="0.25">
      <c r="A2602" t="s">
        <v>86</v>
      </c>
      <c r="B2602" t="s">
        <v>115</v>
      </c>
      <c r="C2602" t="b">
        <v>0</v>
      </c>
      <c r="D2602" s="1">
        <v>39295</v>
      </c>
      <c r="E2602">
        <v>5</v>
      </c>
      <c r="F2602"/>
      <c r="G2602"/>
      <c r="H2602"/>
      <c r="I2602"/>
      <c r="J2602"/>
      <c r="K2602"/>
      <c r="L2602"/>
      <c r="M2602"/>
      <c r="N2602"/>
      <c r="O2602"/>
    </row>
    <row r="2603" spans="1:15" hidden="1" x14ac:dyDescent="0.25">
      <c r="A2603" t="s">
        <v>90</v>
      </c>
      <c r="B2603" t="s">
        <v>115</v>
      </c>
      <c r="C2603" t="b">
        <v>0</v>
      </c>
      <c r="D2603" s="1">
        <v>39295</v>
      </c>
      <c r="E2603">
        <v>5</v>
      </c>
      <c r="F2603"/>
      <c r="G2603"/>
      <c r="H2603"/>
      <c r="I2603"/>
      <c r="J2603"/>
      <c r="K2603"/>
      <c r="L2603"/>
      <c r="M2603"/>
      <c r="N2603"/>
      <c r="O2603"/>
    </row>
    <row r="2604" spans="1:15" hidden="1" x14ac:dyDescent="0.25">
      <c r="A2604" t="s">
        <v>99</v>
      </c>
      <c r="B2604" t="s">
        <v>114</v>
      </c>
      <c r="C2604" t="b">
        <v>0</v>
      </c>
      <c r="D2604" s="1">
        <v>39295</v>
      </c>
      <c r="E2604">
        <v>25.5</v>
      </c>
      <c r="F2604"/>
      <c r="G2604"/>
      <c r="H2604"/>
      <c r="I2604"/>
      <c r="J2604"/>
      <c r="K2604"/>
      <c r="L2604"/>
      <c r="M2604"/>
      <c r="N2604"/>
      <c r="O2604"/>
    </row>
    <row r="2605" spans="1:15" hidden="1" x14ac:dyDescent="0.25">
      <c r="A2605" t="s">
        <v>100</v>
      </c>
      <c r="B2605" t="s">
        <v>117</v>
      </c>
      <c r="C2605" t="b">
        <v>0</v>
      </c>
      <c r="D2605" s="1">
        <v>39326</v>
      </c>
      <c r="E2605" s="2">
        <v>-100</v>
      </c>
      <c r="F2605"/>
      <c r="G2605"/>
      <c r="H2605"/>
      <c r="I2605"/>
      <c r="J2605"/>
      <c r="K2605"/>
      <c r="L2605"/>
      <c r="M2605"/>
      <c r="N2605"/>
      <c r="O2605"/>
    </row>
    <row r="2606" spans="1:15" hidden="1" x14ac:dyDescent="0.25">
      <c r="A2606" t="s">
        <v>101</v>
      </c>
      <c r="B2606" t="s">
        <v>117</v>
      </c>
      <c r="C2606" t="b">
        <v>0</v>
      </c>
      <c r="D2606" s="1">
        <v>39326</v>
      </c>
      <c r="E2606" s="2">
        <v>-20.059999999999999</v>
      </c>
      <c r="F2606"/>
      <c r="G2606"/>
      <c r="H2606"/>
      <c r="I2606"/>
      <c r="J2606"/>
      <c r="K2606"/>
      <c r="L2606"/>
      <c r="M2606"/>
      <c r="N2606"/>
      <c r="O2606"/>
    </row>
    <row r="2607" spans="1:15" hidden="1" x14ac:dyDescent="0.25">
      <c r="A2607" t="s">
        <v>14</v>
      </c>
      <c r="B2607" t="s">
        <v>115</v>
      </c>
      <c r="C2607" t="b">
        <v>0</v>
      </c>
      <c r="D2607" s="1">
        <v>39326</v>
      </c>
      <c r="E2607">
        <v>5</v>
      </c>
      <c r="F2607"/>
      <c r="G2607"/>
      <c r="H2607"/>
      <c r="I2607"/>
      <c r="J2607"/>
      <c r="K2607"/>
      <c r="L2607"/>
      <c r="M2607"/>
      <c r="N2607"/>
      <c r="O2607"/>
    </row>
    <row r="2608" spans="1:15" hidden="1" x14ac:dyDescent="0.25">
      <c r="A2608" t="s">
        <v>106</v>
      </c>
      <c r="B2608" t="s">
        <v>115</v>
      </c>
      <c r="C2608" t="b">
        <v>0</v>
      </c>
      <c r="D2608" s="1">
        <v>39326</v>
      </c>
      <c r="E2608">
        <v>2.5</v>
      </c>
      <c r="F2608"/>
      <c r="G2608"/>
      <c r="H2608"/>
      <c r="I2608"/>
      <c r="J2608"/>
      <c r="K2608"/>
      <c r="L2608"/>
      <c r="M2608"/>
      <c r="N2608"/>
      <c r="O2608"/>
    </row>
    <row r="2609" spans="1:15" hidden="1" x14ac:dyDescent="0.25">
      <c r="A2609" t="s">
        <v>106</v>
      </c>
      <c r="B2609" t="s">
        <v>115</v>
      </c>
      <c r="C2609" t="b">
        <v>0</v>
      </c>
      <c r="D2609" s="1">
        <v>39326</v>
      </c>
      <c r="E2609">
        <v>5</v>
      </c>
      <c r="F2609"/>
      <c r="G2609"/>
      <c r="H2609"/>
      <c r="I2609"/>
      <c r="J2609"/>
      <c r="K2609"/>
      <c r="L2609"/>
      <c r="M2609"/>
      <c r="N2609"/>
      <c r="O2609"/>
    </row>
    <row r="2610" spans="1:15" hidden="1" x14ac:dyDescent="0.25">
      <c r="A2610" t="s">
        <v>106</v>
      </c>
      <c r="B2610" t="s">
        <v>115</v>
      </c>
      <c r="C2610" t="b">
        <v>0</v>
      </c>
      <c r="D2610" s="1">
        <v>39326</v>
      </c>
      <c r="E2610">
        <v>5</v>
      </c>
      <c r="F2610"/>
      <c r="G2610"/>
      <c r="H2610"/>
      <c r="I2610"/>
      <c r="J2610"/>
      <c r="K2610"/>
      <c r="L2610"/>
      <c r="M2610"/>
      <c r="N2610"/>
      <c r="O2610"/>
    </row>
    <row r="2611" spans="1:15" hidden="1" x14ac:dyDescent="0.25">
      <c r="A2611" t="s">
        <v>106</v>
      </c>
      <c r="B2611" t="s">
        <v>115</v>
      </c>
      <c r="C2611" t="b">
        <v>0</v>
      </c>
      <c r="D2611" s="1">
        <v>39326</v>
      </c>
      <c r="E2611">
        <v>5</v>
      </c>
      <c r="F2611"/>
      <c r="G2611"/>
      <c r="H2611"/>
      <c r="I2611"/>
      <c r="J2611"/>
      <c r="K2611"/>
      <c r="L2611"/>
      <c r="M2611"/>
      <c r="N2611"/>
      <c r="O2611"/>
    </row>
    <row r="2612" spans="1:15" hidden="1" x14ac:dyDescent="0.25">
      <c r="A2612" t="s">
        <v>106</v>
      </c>
      <c r="B2612" t="s">
        <v>115</v>
      </c>
      <c r="C2612" t="b">
        <v>0</v>
      </c>
      <c r="D2612" s="1">
        <v>39326</v>
      </c>
      <c r="E2612">
        <v>5</v>
      </c>
      <c r="F2612"/>
      <c r="G2612"/>
      <c r="H2612"/>
      <c r="I2612"/>
      <c r="J2612"/>
      <c r="K2612"/>
      <c r="L2612"/>
      <c r="M2612"/>
      <c r="N2612"/>
      <c r="O2612"/>
    </row>
    <row r="2613" spans="1:15" hidden="1" x14ac:dyDescent="0.25">
      <c r="A2613" t="s">
        <v>24</v>
      </c>
      <c r="B2613" t="s">
        <v>115</v>
      </c>
      <c r="C2613" t="b">
        <v>0</v>
      </c>
      <c r="D2613" s="1">
        <v>39326</v>
      </c>
      <c r="E2613">
        <v>5</v>
      </c>
      <c r="F2613"/>
      <c r="G2613"/>
      <c r="H2613"/>
      <c r="I2613"/>
      <c r="J2613"/>
      <c r="K2613"/>
      <c r="L2613"/>
      <c r="M2613"/>
      <c r="N2613"/>
      <c r="O2613"/>
    </row>
    <row r="2614" spans="1:15" hidden="1" x14ac:dyDescent="0.25">
      <c r="A2614" t="s">
        <v>30</v>
      </c>
      <c r="B2614" t="s">
        <v>115</v>
      </c>
      <c r="C2614" t="b">
        <v>0</v>
      </c>
      <c r="D2614" s="1">
        <v>39326</v>
      </c>
      <c r="E2614">
        <v>5</v>
      </c>
      <c r="F2614"/>
      <c r="G2614"/>
      <c r="H2614"/>
      <c r="I2614"/>
      <c r="J2614"/>
      <c r="K2614"/>
      <c r="L2614"/>
      <c r="M2614"/>
      <c r="N2614"/>
      <c r="O2614"/>
    </row>
    <row r="2615" spans="1:15" hidden="1" x14ac:dyDescent="0.25">
      <c r="A2615" t="s">
        <v>37</v>
      </c>
      <c r="B2615" t="s">
        <v>115</v>
      </c>
      <c r="C2615" t="b">
        <v>0</v>
      </c>
      <c r="D2615" s="1">
        <v>39326</v>
      </c>
      <c r="E2615">
        <v>5</v>
      </c>
      <c r="F2615"/>
      <c r="G2615"/>
      <c r="H2615"/>
      <c r="I2615"/>
      <c r="J2615"/>
      <c r="K2615"/>
      <c r="L2615"/>
      <c r="M2615"/>
      <c r="N2615"/>
      <c r="O2615"/>
    </row>
    <row r="2616" spans="1:15" hidden="1" x14ac:dyDescent="0.25">
      <c r="A2616" t="s">
        <v>39</v>
      </c>
      <c r="B2616" t="s">
        <v>115</v>
      </c>
      <c r="C2616" t="b">
        <v>0</v>
      </c>
      <c r="D2616" s="1">
        <v>39326</v>
      </c>
      <c r="E2616">
        <v>5</v>
      </c>
      <c r="F2616"/>
      <c r="G2616"/>
      <c r="H2616"/>
      <c r="I2616"/>
      <c r="J2616"/>
      <c r="K2616"/>
      <c r="L2616"/>
      <c r="M2616"/>
      <c r="N2616"/>
      <c r="O2616"/>
    </row>
    <row r="2617" spans="1:15" hidden="1" x14ac:dyDescent="0.25">
      <c r="A2617" t="s">
        <v>58</v>
      </c>
      <c r="B2617" t="s">
        <v>115</v>
      </c>
      <c r="C2617" t="b">
        <v>0</v>
      </c>
      <c r="D2617" s="1">
        <v>39326</v>
      </c>
      <c r="E2617">
        <v>5</v>
      </c>
      <c r="F2617"/>
      <c r="G2617"/>
      <c r="H2617"/>
      <c r="I2617"/>
      <c r="J2617"/>
      <c r="K2617"/>
      <c r="L2617"/>
      <c r="M2617"/>
      <c r="N2617"/>
      <c r="O2617"/>
    </row>
    <row r="2618" spans="1:15" hidden="1" x14ac:dyDescent="0.25">
      <c r="A2618" t="s">
        <v>57</v>
      </c>
      <c r="B2618" t="s">
        <v>115</v>
      </c>
      <c r="C2618" t="b">
        <v>0</v>
      </c>
      <c r="D2618" s="1">
        <v>39326</v>
      </c>
      <c r="E2618">
        <v>5</v>
      </c>
      <c r="F2618"/>
      <c r="G2618"/>
      <c r="H2618"/>
      <c r="I2618"/>
      <c r="J2618"/>
      <c r="K2618"/>
      <c r="L2618"/>
      <c r="M2618"/>
      <c r="N2618"/>
      <c r="O2618"/>
    </row>
    <row r="2619" spans="1:15" hidden="1" x14ac:dyDescent="0.25">
      <c r="A2619" t="s">
        <v>69</v>
      </c>
      <c r="B2619" t="s">
        <v>115</v>
      </c>
      <c r="C2619" t="b">
        <v>0</v>
      </c>
      <c r="D2619" s="1">
        <v>39326</v>
      </c>
      <c r="E2619">
        <v>5</v>
      </c>
      <c r="F2619"/>
      <c r="G2619"/>
      <c r="H2619"/>
      <c r="I2619"/>
      <c r="J2619"/>
      <c r="K2619"/>
      <c r="L2619"/>
      <c r="M2619"/>
      <c r="N2619"/>
      <c r="O2619"/>
    </row>
    <row r="2620" spans="1:15" hidden="1" x14ac:dyDescent="0.25">
      <c r="A2620" t="s">
        <v>71</v>
      </c>
      <c r="B2620" t="s">
        <v>115</v>
      </c>
      <c r="C2620" t="b">
        <v>0</v>
      </c>
      <c r="D2620" s="1">
        <v>39326</v>
      </c>
      <c r="E2620">
        <v>5</v>
      </c>
      <c r="F2620"/>
      <c r="G2620"/>
      <c r="H2620"/>
      <c r="I2620"/>
      <c r="J2620"/>
      <c r="K2620"/>
      <c r="L2620"/>
      <c r="M2620"/>
      <c r="N2620"/>
      <c r="O2620"/>
    </row>
    <row r="2621" spans="1:15" hidden="1" x14ac:dyDescent="0.25">
      <c r="A2621" t="s">
        <v>86</v>
      </c>
      <c r="B2621" t="s">
        <v>115</v>
      </c>
      <c r="C2621" t="b">
        <v>0</v>
      </c>
      <c r="D2621" s="1">
        <v>39326</v>
      </c>
      <c r="E2621">
        <v>5</v>
      </c>
      <c r="F2621"/>
      <c r="G2621"/>
      <c r="H2621"/>
      <c r="I2621"/>
      <c r="J2621"/>
      <c r="K2621"/>
      <c r="L2621"/>
      <c r="M2621"/>
      <c r="N2621"/>
      <c r="O2621"/>
    </row>
    <row r="2622" spans="1:15" hidden="1" x14ac:dyDescent="0.25">
      <c r="A2622" t="s">
        <v>90</v>
      </c>
      <c r="B2622" t="s">
        <v>115</v>
      </c>
      <c r="C2622" t="b">
        <v>0</v>
      </c>
      <c r="D2622" s="1">
        <v>39326</v>
      </c>
      <c r="E2622">
        <v>5</v>
      </c>
      <c r="F2622"/>
      <c r="G2622"/>
      <c r="H2622"/>
      <c r="I2622"/>
      <c r="J2622"/>
      <c r="K2622"/>
      <c r="L2622"/>
      <c r="M2622"/>
      <c r="N2622"/>
      <c r="O2622"/>
    </row>
    <row r="2623" spans="1:15" hidden="1" x14ac:dyDescent="0.25">
      <c r="A2623" t="s">
        <v>99</v>
      </c>
      <c r="B2623" t="s">
        <v>114</v>
      </c>
      <c r="C2623" t="b">
        <v>0</v>
      </c>
      <c r="D2623" s="1">
        <v>39326</v>
      </c>
      <c r="E2623">
        <v>17.7</v>
      </c>
      <c r="F2623"/>
      <c r="G2623"/>
      <c r="H2623"/>
      <c r="I2623"/>
      <c r="J2623"/>
      <c r="K2623"/>
      <c r="L2623"/>
      <c r="M2623"/>
      <c r="N2623"/>
      <c r="O2623"/>
    </row>
    <row r="2624" spans="1:15" hidden="1" x14ac:dyDescent="0.25">
      <c r="A2624" t="s">
        <v>100</v>
      </c>
      <c r="B2624" t="s">
        <v>117</v>
      </c>
      <c r="C2624" t="b">
        <v>0</v>
      </c>
      <c r="D2624" s="1">
        <v>39356</v>
      </c>
      <c r="E2624" s="2">
        <v>-0.74</v>
      </c>
      <c r="F2624"/>
      <c r="G2624"/>
      <c r="H2624"/>
      <c r="I2624"/>
      <c r="J2624"/>
      <c r="K2624"/>
      <c r="L2624"/>
      <c r="M2624"/>
      <c r="N2624"/>
      <c r="O2624"/>
    </row>
    <row r="2625" spans="1:15" hidden="1" x14ac:dyDescent="0.25">
      <c r="A2625" t="s">
        <v>102</v>
      </c>
      <c r="B2625" t="s">
        <v>117</v>
      </c>
      <c r="C2625" t="b">
        <v>0</v>
      </c>
      <c r="D2625" s="1">
        <v>39356</v>
      </c>
      <c r="E2625" s="2">
        <v>-45.16</v>
      </c>
      <c r="F2625"/>
      <c r="G2625"/>
      <c r="H2625"/>
      <c r="I2625"/>
      <c r="J2625"/>
      <c r="K2625"/>
      <c r="L2625"/>
      <c r="M2625"/>
      <c r="N2625"/>
      <c r="O2625"/>
    </row>
    <row r="2626" spans="1:15" hidden="1" x14ac:dyDescent="0.25">
      <c r="A2626" t="s">
        <v>103</v>
      </c>
      <c r="B2626" t="s">
        <v>117</v>
      </c>
      <c r="C2626" t="b">
        <v>0</v>
      </c>
      <c r="D2626" s="1">
        <v>39356</v>
      </c>
      <c r="E2626" s="2">
        <v>-0.84</v>
      </c>
      <c r="F2626"/>
      <c r="G2626"/>
      <c r="H2626"/>
      <c r="I2626"/>
      <c r="J2626"/>
      <c r="K2626"/>
      <c r="L2626"/>
      <c r="M2626"/>
      <c r="N2626"/>
      <c r="O2626"/>
    </row>
    <row r="2627" spans="1:15" hidden="1" x14ac:dyDescent="0.25">
      <c r="A2627" t="s">
        <v>101</v>
      </c>
      <c r="B2627" t="s">
        <v>117</v>
      </c>
      <c r="C2627" t="b">
        <v>0</v>
      </c>
      <c r="D2627" s="1">
        <v>39356</v>
      </c>
      <c r="E2627" s="2">
        <v>-3.5038499999999999</v>
      </c>
      <c r="F2627"/>
      <c r="G2627"/>
      <c r="H2627"/>
      <c r="I2627"/>
      <c r="J2627"/>
      <c r="K2627"/>
      <c r="L2627"/>
      <c r="M2627"/>
      <c r="N2627"/>
      <c r="O2627"/>
    </row>
    <row r="2628" spans="1:15" hidden="1" x14ac:dyDescent="0.25">
      <c r="A2628" t="s">
        <v>106</v>
      </c>
      <c r="B2628" t="s">
        <v>115</v>
      </c>
      <c r="C2628" t="b">
        <v>0</v>
      </c>
      <c r="D2628" s="1">
        <v>39356</v>
      </c>
      <c r="E2628">
        <v>5</v>
      </c>
      <c r="F2628"/>
      <c r="G2628"/>
      <c r="H2628"/>
      <c r="I2628"/>
      <c r="J2628"/>
      <c r="K2628"/>
      <c r="L2628"/>
      <c r="M2628"/>
      <c r="N2628"/>
      <c r="O2628"/>
    </row>
    <row r="2629" spans="1:15" hidden="1" x14ac:dyDescent="0.25">
      <c r="A2629" t="s">
        <v>106</v>
      </c>
      <c r="B2629" t="s">
        <v>115</v>
      </c>
      <c r="C2629" t="b">
        <v>0</v>
      </c>
      <c r="D2629" s="1">
        <v>39356</v>
      </c>
      <c r="E2629">
        <v>5</v>
      </c>
      <c r="F2629"/>
      <c r="G2629"/>
      <c r="H2629"/>
      <c r="I2629"/>
      <c r="J2629"/>
      <c r="K2629"/>
      <c r="L2629"/>
      <c r="M2629"/>
      <c r="N2629"/>
      <c r="O2629"/>
    </row>
    <row r="2630" spans="1:15" hidden="1" x14ac:dyDescent="0.25">
      <c r="A2630" t="s">
        <v>106</v>
      </c>
      <c r="B2630" t="s">
        <v>115</v>
      </c>
      <c r="C2630" t="b">
        <v>0</v>
      </c>
      <c r="D2630" s="1">
        <v>39356</v>
      </c>
      <c r="E2630">
        <v>5</v>
      </c>
      <c r="F2630"/>
      <c r="G2630"/>
      <c r="H2630"/>
      <c r="I2630"/>
      <c r="J2630"/>
      <c r="K2630"/>
      <c r="L2630"/>
      <c r="M2630"/>
      <c r="N2630"/>
      <c r="O2630"/>
    </row>
    <row r="2631" spans="1:15" hidden="1" x14ac:dyDescent="0.25">
      <c r="A2631" t="s">
        <v>24</v>
      </c>
      <c r="B2631" t="s">
        <v>115</v>
      </c>
      <c r="C2631" t="b">
        <v>0</v>
      </c>
      <c r="D2631" s="1">
        <v>39356</v>
      </c>
      <c r="E2631">
        <v>5</v>
      </c>
      <c r="F2631"/>
      <c r="G2631"/>
      <c r="H2631"/>
      <c r="I2631"/>
      <c r="J2631"/>
      <c r="K2631"/>
      <c r="L2631"/>
      <c r="M2631"/>
      <c r="N2631"/>
      <c r="O2631"/>
    </row>
    <row r="2632" spans="1:15" hidden="1" x14ac:dyDescent="0.25">
      <c r="A2632" t="s">
        <v>30</v>
      </c>
      <c r="B2632" t="s">
        <v>115</v>
      </c>
      <c r="C2632" t="b">
        <v>0</v>
      </c>
      <c r="D2632" s="1">
        <v>39356</v>
      </c>
      <c r="E2632">
        <v>5</v>
      </c>
      <c r="F2632"/>
      <c r="G2632"/>
      <c r="H2632"/>
      <c r="I2632"/>
      <c r="J2632"/>
      <c r="K2632"/>
      <c r="L2632"/>
      <c r="M2632"/>
      <c r="N2632"/>
      <c r="O2632"/>
    </row>
    <row r="2633" spans="1:15" hidden="1" x14ac:dyDescent="0.25">
      <c r="A2633" t="s">
        <v>39</v>
      </c>
      <c r="B2633" t="s">
        <v>115</v>
      </c>
      <c r="C2633" t="b">
        <v>0</v>
      </c>
      <c r="D2633" s="1">
        <v>39356</v>
      </c>
      <c r="E2633">
        <v>5</v>
      </c>
      <c r="F2633"/>
      <c r="G2633"/>
      <c r="H2633"/>
      <c r="I2633"/>
      <c r="J2633"/>
      <c r="K2633"/>
      <c r="L2633"/>
      <c r="M2633"/>
      <c r="N2633"/>
      <c r="O2633"/>
    </row>
    <row r="2634" spans="1:15" hidden="1" x14ac:dyDescent="0.25">
      <c r="A2634" t="s">
        <v>58</v>
      </c>
      <c r="B2634" t="s">
        <v>115</v>
      </c>
      <c r="C2634" t="b">
        <v>0</v>
      </c>
      <c r="D2634" s="1">
        <v>39356</v>
      </c>
      <c r="E2634">
        <v>5</v>
      </c>
      <c r="F2634"/>
      <c r="G2634"/>
      <c r="H2634"/>
      <c r="I2634"/>
      <c r="J2634"/>
      <c r="K2634"/>
      <c r="L2634"/>
      <c r="M2634"/>
      <c r="N2634"/>
      <c r="O2634"/>
    </row>
    <row r="2635" spans="1:15" hidden="1" x14ac:dyDescent="0.25">
      <c r="A2635" t="s">
        <v>57</v>
      </c>
      <c r="B2635" t="s">
        <v>115</v>
      </c>
      <c r="C2635" t="b">
        <v>0</v>
      </c>
      <c r="D2635" s="1">
        <v>39356</v>
      </c>
      <c r="E2635">
        <v>5</v>
      </c>
      <c r="F2635"/>
      <c r="G2635"/>
      <c r="H2635"/>
      <c r="I2635"/>
      <c r="J2635"/>
      <c r="K2635"/>
      <c r="L2635"/>
      <c r="M2635"/>
      <c r="N2635"/>
      <c r="O2635"/>
    </row>
    <row r="2636" spans="1:15" hidden="1" x14ac:dyDescent="0.25">
      <c r="A2636" t="s">
        <v>69</v>
      </c>
      <c r="B2636" t="s">
        <v>115</v>
      </c>
      <c r="C2636" t="b">
        <v>0</v>
      </c>
      <c r="D2636" s="1">
        <v>39356</v>
      </c>
      <c r="E2636">
        <v>5</v>
      </c>
      <c r="F2636"/>
      <c r="G2636"/>
      <c r="H2636"/>
      <c r="I2636"/>
      <c r="J2636"/>
      <c r="K2636"/>
      <c r="L2636"/>
      <c r="M2636"/>
      <c r="N2636"/>
      <c r="O2636"/>
    </row>
    <row r="2637" spans="1:15" hidden="1" x14ac:dyDescent="0.25">
      <c r="A2637" t="s">
        <v>86</v>
      </c>
      <c r="B2637" t="s">
        <v>115</v>
      </c>
      <c r="C2637" t="b">
        <v>0</v>
      </c>
      <c r="D2637" s="1">
        <v>39356</v>
      </c>
      <c r="E2637">
        <v>5</v>
      </c>
      <c r="F2637"/>
      <c r="G2637"/>
      <c r="H2637"/>
      <c r="I2637"/>
      <c r="J2637"/>
      <c r="K2637"/>
      <c r="L2637"/>
      <c r="M2637"/>
      <c r="N2637"/>
      <c r="O2637"/>
    </row>
    <row r="2638" spans="1:15" hidden="1" x14ac:dyDescent="0.25">
      <c r="A2638" t="s">
        <v>90</v>
      </c>
      <c r="B2638" t="s">
        <v>115</v>
      </c>
      <c r="C2638" t="b">
        <v>0</v>
      </c>
      <c r="D2638" s="1">
        <v>39356</v>
      </c>
      <c r="E2638">
        <v>5</v>
      </c>
      <c r="F2638"/>
      <c r="G2638"/>
      <c r="H2638"/>
      <c r="I2638"/>
      <c r="J2638"/>
      <c r="K2638"/>
      <c r="L2638"/>
      <c r="M2638"/>
      <c r="N2638"/>
      <c r="O2638"/>
    </row>
    <row r="2639" spans="1:15" hidden="1" x14ac:dyDescent="0.25">
      <c r="A2639" t="s">
        <v>100</v>
      </c>
      <c r="B2639" t="s">
        <v>117</v>
      </c>
      <c r="C2639" t="b">
        <v>0</v>
      </c>
      <c r="D2639" s="1">
        <v>39387</v>
      </c>
      <c r="E2639" s="2">
        <v>-122.5</v>
      </c>
      <c r="F2639"/>
      <c r="G2639"/>
      <c r="H2639"/>
      <c r="I2639"/>
      <c r="J2639"/>
      <c r="K2639"/>
      <c r="L2639"/>
      <c r="M2639"/>
      <c r="N2639"/>
      <c r="O2639"/>
    </row>
    <row r="2640" spans="1:15" hidden="1" x14ac:dyDescent="0.25">
      <c r="A2640" t="s">
        <v>14</v>
      </c>
      <c r="B2640" t="s">
        <v>115</v>
      </c>
      <c r="C2640" t="b">
        <v>0</v>
      </c>
      <c r="D2640" s="1">
        <v>39387</v>
      </c>
      <c r="E2640">
        <v>5</v>
      </c>
      <c r="F2640"/>
      <c r="G2640"/>
      <c r="H2640"/>
      <c r="I2640"/>
      <c r="J2640"/>
      <c r="K2640"/>
      <c r="L2640"/>
      <c r="M2640"/>
      <c r="N2640"/>
      <c r="O2640"/>
    </row>
    <row r="2641" spans="1:15" hidden="1" x14ac:dyDescent="0.25">
      <c r="A2641" t="s">
        <v>106</v>
      </c>
      <c r="B2641" t="s">
        <v>115</v>
      </c>
      <c r="C2641" t="b">
        <v>0</v>
      </c>
      <c r="D2641" s="1">
        <v>39387</v>
      </c>
      <c r="E2641">
        <v>5</v>
      </c>
      <c r="F2641"/>
      <c r="G2641"/>
      <c r="H2641"/>
      <c r="I2641"/>
      <c r="J2641"/>
      <c r="K2641"/>
      <c r="L2641"/>
      <c r="M2641"/>
      <c r="N2641"/>
      <c r="O2641"/>
    </row>
    <row r="2642" spans="1:15" hidden="1" x14ac:dyDescent="0.25">
      <c r="A2642" t="s">
        <v>106</v>
      </c>
      <c r="B2642" t="s">
        <v>115</v>
      </c>
      <c r="C2642" t="b">
        <v>0</v>
      </c>
      <c r="D2642" s="1">
        <v>39387</v>
      </c>
      <c r="E2642">
        <v>5</v>
      </c>
      <c r="F2642"/>
      <c r="G2642"/>
      <c r="H2642"/>
      <c r="I2642"/>
      <c r="J2642"/>
      <c r="K2642"/>
      <c r="L2642"/>
      <c r="M2642"/>
      <c r="N2642"/>
      <c r="O2642"/>
    </row>
    <row r="2643" spans="1:15" hidden="1" x14ac:dyDescent="0.25">
      <c r="A2643" t="s">
        <v>106</v>
      </c>
      <c r="B2643" t="s">
        <v>115</v>
      </c>
      <c r="C2643" t="b">
        <v>0</v>
      </c>
      <c r="D2643" s="1">
        <v>39387</v>
      </c>
      <c r="E2643">
        <v>5</v>
      </c>
      <c r="F2643"/>
      <c r="G2643"/>
      <c r="H2643"/>
      <c r="I2643"/>
      <c r="J2643"/>
      <c r="K2643"/>
      <c r="L2643"/>
      <c r="M2643"/>
      <c r="N2643"/>
      <c r="O2643"/>
    </row>
    <row r="2644" spans="1:15" hidden="1" x14ac:dyDescent="0.25">
      <c r="A2644" t="s">
        <v>24</v>
      </c>
      <c r="B2644" t="s">
        <v>115</v>
      </c>
      <c r="C2644" t="b">
        <v>0</v>
      </c>
      <c r="D2644" s="1">
        <v>39387</v>
      </c>
      <c r="E2644">
        <v>5</v>
      </c>
      <c r="F2644"/>
      <c r="G2644"/>
      <c r="H2644"/>
      <c r="I2644"/>
      <c r="J2644"/>
      <c r="K2644"/>
      <c r="L2644"/>
      <c r="M2644"/>
      <c r="N2644"/>
      <c r="O2644"/>
    </row>
    <row r="2645" spans="1:15" hidden="1" x14ac:dyDescent="0.25">
      <c r="A2645" t="s">
        <v>30</v>
      </c>
      <c r="B2645" t="s">
        <v>115</v>
      </c>
      <c r="C2645" t="b">
        <v>0</v>
      </c>
      <c r="D2645" s="1">
        <v>39387</v>
      </c>
      <c r="E2645">
        <v>5</v>
      </c>
      <c r="F2645"/>
      <c r="G2645"/>
      <c r="H2645"/>
      <c r="I2645"/>
      <c r="J2645"/>
      <c r="K2645"/>
      <c r="L2645"/>
      <c r="M2645"/>
      <c r="N2645"/>
      <c r="O2645"/>
    </row>
    <row r="2646" spans="1:15" hidden="1" x14ac:dyDescent="0.25">
      <c r="A2646" t="s">
        <v>37</v>
      </c>
      <c r="B2646" t="s">
        <v>115</v>
      </c>
      <c r="C2646" t="b">
        <v>0</v>
      </c>
      <c r="D2646" s="1">
        <v>39387</v>
      </c>
      <c r="E2646">
        <v>5</v>
      </c>
      <c r="F2646"/>
      <c r="G2646"/>
      <c r="H2646"/>
      <c r="I2646"/>
      <c r="J2646"/>
      <c r="K2646"/>
      <c r="L2646"/>
      <c r="M2646"/>
      <c r="N2646"/>
      <c r="O2646"/>
    </row>
    <row r="2647" spans="1:15" hidden="1" x14ac:dyDescent="0.25">
      <c r="A2647" t="s">
        <v>39</v>
      </c>
      <c r="B2647" t="s">
        <v>115</v>
      </c>
      <c r="C2647" t="b">
        <v>0</v>
      </c>
      <c r="D2647" s="1">
        <v>39387</v>
      </c>
      <c r="E2647">
        <v>5</v>
      </c>
      <c r="F2647"/>
      <c r="G2647"/>
      <c r="H2647"/>
      <c r="I2647"/>
      <c r="J2647"/>
      <c r="K2647"/>
      <c r="L2647"/>
      <c r="M2647"/>
      <c r="N2647"/>
      <c r="O2647"/>
    </row>
    <row r="2648" spans="1:15" hidden="1" x14ac:dyDescent="0.25">
      <c r="A2648" t="s">
        <v>58</v>
      </c>
      <c r="B2648" t="s">
        <v>115</v>
      </c>
      <c r="C2648" t="b">
        <v>0</v>
      </c>
      <c r="D2648" s="1">
        <v>39387</v>
      </c>
      <c r="E2648">
        <v>5</v>
      </c>
      <c r="F2648"/>
      <c r="G2648"/>
      <c r="H2648"/>
      <c r="I2648"/>
      <c r="J2648"/>
      <c r="K2648"/>
      <c r="L2648"/>
      <c r="M2648"/>
      <c r="N2648"/>
      <c r="O2648"/>
    </row>
    <row r="2649" spans="1:15" hidden="1" x14ac:dyDescent="0.25">
      <c r="A2649" t="s">
        <v>57</v>
      </c>
      <c r="B2649" t="s">
        <v>115</v>
      </c>
      <c r="C2649" t="b">
        <v>0</v>
      </c>
      <c r="D2649" s="1">
        <v>39387</v>
      </c>
      <c r="E2649">
        <v>5</v>
      </c>
      <c r="F2649"/>
      <c r="G2649"/>
      <c r="H2649"/>
      <c r="I2649"/>
      <c r="J2649"/>
      <c r="K2649"/>
      <c r="L2649"/>
      <c r="M2649"/>
      <c r="N2649"/>
      <c r="O2649"/>
    </row>
    <row r="2650" spans="1:15" hidden="1" x14ac:dyDescent="0.25">
      <c r="A2650" t="s">
        <v>69</v>
      </c>
      <c r="B2650" t="s">
        <v>115</v>
      </c>
      <c r="C2650" t="b">
        <v>0</v>
      </c>
      <c r="D2650" s="1">
        <v>39387</v>
      </c>
      <c r="E2650">
        <v>5</v>
      </c>
      <c r="F2650"/>
      <c r="G2650"/>
      <c r="H2650"/>
      <c r="I2650"/>
      <c r="J2650"/>
      <c r="K2650"/>
      <c r="L2650"/>
      <c r="M2650"/>
      <c r="N2650"/>
      <c r="O2650"/>
    </row>
    <row r="2651" spans="1:15" hidden="1" x14ac:dyDescent="0.25">
      <c r="A2651" t="s">
        <v>71</v>
      </c>
      <c r="B2651" t="s">
        <v>115</v>
      </c>
      <c r="C2651" t="b">
        <v>0</v>
      </c>
      <c r="D2651" s="1">
        <v>39387</v>
      </c>
      <c r="E2651">
        <v>5</v>
      </c>
      <c r="F2651"/>
      <c r="G2651"/>
      <c r="H2651"/>
      <c r="I2651"/>
      <c r="J2651"/>
      <c r="K2651"/>
      <c r="L2651"/>
      <c r="M2651"/>
      <c r="N2651"/>
      <c r="O2651"/>
    </row>
    <row r="2652" spans="1:15" hidden="1" x14ac:dyDescent="0.25">
      <c r="A2652" t="s">
        <v>86</v>
      </c>
      <c r="B2652" t="s">
        <v>115</v>
      </c>
      <c r="C2652" t="b">
        <v>0</v>
      </c>
      <c r="D2652" s="1">
        <v>39387</v>
      </c>
      <c r="E2652">
        <v>5</v>
      </c>
      <c r="F2652"/>
      <c r="G2652"/>
      <c r="H2652"/>
      <c r="I2652"/>
      <c r="J2652"/>
      <c r="K2652"/>
      <c r="L2652"/>
      <c r="M2652"/>
      <c r="N2652"/>
      <c r="O2652"/>
    </row>
    <row r="2653" spans="1:15" hidden="1" x14ac:dyDescent="0.25">
      <c r="A2653" t="s">
        <v>90</v>
      </c>
      <c r="B2653" t="s">
        <v>115</v>
      </c>
      <c r="C2653" t="b">
        <v>0</v>
      </c>
      <c r="D2653" s="1">
        <v>39387</v>
      </c>
      <c r="E2653">
        <v>5</v>
      </c>
      <c r="F2653"/>
      <c r="G2653"/>
      <c r="H2653"/>
      <c r="I2653"/>
      <c r="J2653"/>
      <c r="K2653"/>
      <c r="L2653"/>
      <c r="M2653"/>
      <c r="N2653"/>
      <c r="O2653"/>
    </row>
    <row r="2654" spans="1:15" hidden="1" x14ac:dyDescent="0.25">
      <c r="A2654" t="s">
        <v>99</v>
      </c>
      <c r="B2654" t="s">
        <v>114</v>
      </c>
      <c r="C2654" t="b">
        <v>0</v>
      </c>
      <c r="D2654" s="1">
        <v>39387</v>
      </c>
      <c r="E2654">
        <v>34.5</v>
      </c>
      <c r="F2654"/>
      <c r="G2654"/>
      <c r="H2654"/>
      <c r="I2654"/>
      <c r="J2654"/>
      <c r="K2654"/>
      <c r="L2654"/>
      <c r="M2654"/>
      <c r="N2654"/>
      <c r="O2654"/>
    </row>
    <row r="2655" spans="1:15" hidden="1" x14ac:dyDescent="0.25">
      <c r="A2655" t="s">
        <v>100</v>
      </c>
      <c r="B2655" t="s">
        <v>117</v>
      </c>
      <c r="C2655" t="b">
        <v>0</v>
      </c>
      <c r="D2655" s="1">
        <v>39417</v>
      </c>
      <c r="E2655" s="2">
        <v>-76.31</v>
      </c>
      <c r="F2655"/>
      <c r="G2655"/>
      <c r="H2655"/>
      <c r="I2655"/>
      <c r="J2655"/>
      <c r="K2655"/>
      <c r="L2655"/>
      <c r="M2655"/>
      <c r="N2655"/>
      <c r="O2655"/>
    </row>
    <row r="2656" spans="1:15" hidden="1" x14ac:dyDescent="0.25">
      <c r="A2656" t="s">
        <v>102</v>
      </c>
      <c r="B2656" t="s">
        <v>117</v>
      </c>
      <c r="C2656" t="b">
        <v>0</v>
      </c>
      <c r="D2656" s="1">
        <v>39417</v>
      </c>
      <c r="E2656" s="2">
        <v>-24.4787</v>
      </c>
      <c r="F2656"/>
      <c r="G2656"/>
      <c r="H2656"/>
      <c r="I2656"/>
      <c r="J2656"/>
      <c r="K2656"/>
      <c r="L2656"/>
      <c r="M2656"/>
      <c r="N2656"/>
      <c r="O2656"/>
    </row>
    <row r="2657" spans="1:15" hidden="1" x14ac:dyDescent="0.25">
      <c r="A2657" t="s">
        <v>103</v>
      </c>
      <c r="B2657" t="s">
        <v>117</v>
      </c>
      <c r="C2657" t="b">
        <v>0</v>
      </c>
      <c r="D2657" s="1">
        <v>39417</v>
      </c>
      <c r="E2657" s="2">
        <v>-66.86</v>
      </c>
      <c r="F2657"/>
      <c r="G2657"/>
      <c r="H2657"/>
      <c r="I2657"/>
      <c r="J2657"/>
      <c r="K2657"/>
      <c r="L2657"/>
      <c r="M2657"/>
      <c r="N2657"/>
      <c r="O2657"/>
    </row>
    <row r="2658" spans="1:15" hidden="1" x14ac:dyDescent="0.25">
      <c r="A2658" t="s">
        <v>101</v>
      </c>
      <c r="B2658" t="s">
        <v>117</v>
      </c>
      <c r="C2658" t="b">
        <v>0</v>
      </c>
      <c r="D2658" s="1">
        <v>39417</v>
      </c>
      <c r="E2658" s="2">
        <v>-16.5977</v>
      </c>
      <c r="F2658"/>
      <c r="G2658"/>
      <c r="H2658"/>
      <c r="I2658"/>
      <c r="J2658"/>
      <c r="K2658"/>
      <c r="L2658"/>
      <c r="M2658"/>
      <c r="N2658"/>
      <c r="O2658"/>
    </row>
    <row r="2659" spans="1:15" hidden="1" x14ac:dyDescent="0.25">
      <c r="A2659" t="s">
        <v>14</v>
      </c>
      <c r="B2659" t="s">
        <v>115</v>
      </c>
      <c r="C2659" t="b">
        <v>0</v>
      </c>
      <c r="D2659" s="1">
        <v>39417</v>
      </c>
      <c r="E2659">
        <v>5</v>
      </c>
      <c r="F2659"/>
      <c r="G2659"/>
      <c r="H2659"/>
      <c r="I2659"/>
      <c r="J2659"/>
      <c r="K2659"/>
      <c r="L2659"/>
      <c r="M2659"/>
      <c r="N2659"/>
      <c r="O2659"/>
    </row>
    <row r="2660" spans="1:15" hidden="1" x14ac:dyDescent="0.25">
      <c r="A2660" t="s">
        <v>106</v>
      </c>
      <c r="B2660" t="s">
        <v>115</v>
      </c>
      <c r="C2660" t="b">
        <v>0</v>
      </c>
      <c r="D2660" s="1">
        <v>39417</v>
      </c>
      <c r="E2660">
        <v>5</v>
      </c>
      <c r="F2660"/>
      <c r="G2660"/>
      <c r="H2660"/>
      <c r="I2660"/>
      <c r="J2660"/>
      <c r="K2660"/>
      <c r="L2660"/>
      <c r="M2660"/>
      <c r="N2660"/>
      <c r="O2660"/>
    </row>
    <row r="2661" spans="1:15" hidden="1" x14ac:dyDescent="0.25">
      <c r="A2661" t="s">
        <v>24</v>
      </c>
      <c r="B2661" t="s">
        <v>115</v>
      </c>
      <c r="C2661" t="b">
        <v>0</v>
      </c>
      <c r="D2661" s="1">
        <v>39417</v>
      </c>
      <c r="E2661">
        <v>5</v>
      </c>
      <c r="F2661"/>
      <c r="G2661"/>
      <c r="H2661"/>
      <c r="I2661"/>
      <c r="J2661"/>
      <c r="K2661"/>
      <c r="L2661"/>
      <c r="M2661"/>
      <c r="N2661"/>
      <c r="O2661"/>
    </row>
    <row r="2662" spans="1:15" hidden="1" x14ac:dyDescent="0.25">
      <c r="A2662" t="s">
        <v>30</v>
      </c>
      <c r="B2662" t="s">
        <v>115</v>
      </c>
      <c r="C2662" t="b">
        <v>0</v>
      </c>
      <c r="D2662" s="1">
        <v>39417</v>
      </c>
      <c r="E2662">
        <v>5</v>
      </c>
      <c r="F2662"/>
      <c r="G2662"/>
      <c r="H2662"/>
      <c r="I2662"/>
      <c r="J2662"/>
      <c r="K2662"/>
      <c r="L2662"/>
      <c r="M2662"/>
      <c r="N2662"/>
      <c r="O2662"/>
    </row>
    <row r="2663" spans="1:15" hidden="1" x14ac:dyDescent="0.25">
      <c r="A2663" t="s">
        <v>37</v>
      </c>
      <c r="B2663" t="s">
        <v>115</v>
      </c>
      <c r="C2663" t="b">
        <v>0</v>
      </c>
      <c r="D2663" s="1">
        <v>39417</v>
      </c>
      <c r="E2663">
        <v>5</v>
      </c>
      <c r="F2663"/>
      <c r="G2663"/>
      <c r="H2663"/>
      <c r="I2663"/>
      <c r="J2663"/>
      <c r="K2663"/>
      <c r="L2663"/>
      <c r="M2663"/>
      <c r="N2663"/>
      <c r="O2663"/>
    </row>
    <row r="2664" spans="1:15" hidden="1" x14ac:dyDescent="0.25">
      <c r="A2664" t="s">
        <v>39</v>
      </c>
      <c r="B2664" t="s">
        <v>115</v>
      </c>
      <c r="C2664" t="b">
        <v>0</v>
      </c>
      <c r="D2664" s="1">
        <v>39417</v>
      </c>
      <c r="E2664">
        <v>5</v>
      </c>
      <c r="F2664"/>
      <c r="G2664"/>
      <c r="H2664"/>
      <c r="I2664"/>
      <c r="J2664"/>
      <c r="K2664"/>
      <c r="L2664"/>
      <c r="M2664"/>
      <c r="N2664"/>
      <c r="O2664"/>
    </row>
    <row r="2665" spans="1:15" hidden="1" x14ac:dyDescent="0.25">
      <c r="A2665" t="s">
        <v>58</v>
      </c>
      <c r="B2665" t="s">
        <v>115</v>
      </c>
      <c r="C2665" t="b">
        <v>0</v>
      </c>
      <c r="D2665" s="1">
        <v>39417</v>
      </c>
      <c r="E2665">
        <v>5</v>
      </c>
      <c r="F2665"/>
      <c r="G2665"/>
      <c r="H2665"/>
      <c r="I2665"/>
      <c r="J2665"/>
      <c r="K2665"/>
      <c r="L2665"/>
      <c r="M2665"/>
      <c r="N2665"/>
      <c r="O2665"/>
    </row>
    <row r="2666" spans="1:15" hidden="1" x14ac:dyDescent="0.25">
      <c r="A2666" t="s">
        <v>57</v>
      </c>
      <c r="B2666" t="s">
        <v>115</v>
      </c>
      <c r="C2666" t="b">
        <v>0</v>
      </c>
      <c r="D2666" s="1">
        <v>39417</v>
      </c>
      <c r="E2666">
        <v>5</v>
      </c>
      <c r="F2666"/>
      <c r="G2666"/>
      <c r="H2666"/>
      <c r="I2666"/>
      <c r="J2666"/>
      <c r="K2666"/>
      <c r="L2666"/>
      <c r="M2666"/>
      <c r="N2666"/>
      <c r="O2666"/>
    </row>
    <row r="2667" spans="1:15" hidden="1" x14ac:dyDescent="0.25">
      <c r="A2667" t="s">
        <v>69</v>
      </c>
      <c r="B2667" t="s">
        <v>115</v>
      </c>
      <c r="C2667" t="b">
        <v>0</v>
      </c>
      <c r="D2667" s="1">
        <v>39417</v>
      </c>
      <c r="E2667">
        <v>5</v>
      </c>
      <c r="F2667"/>
      <c r="G2667"/>
      <c r="H2667"/>
      <c r="I2667"/>
      <c r="J2667"/>
      <c r="K2667"/>
      <c r="L2667"/>
      <c r="M2667"/>
      <c r="N2667"/>
      <c r="O2667"/>
    </row>
    <row r="2668" spans="1:15" hidden="1" x14ac:dyDescent="0.25">
      <c r="A2668" t="s">
        <v>86</v>
      </c>
      <c r="B2668" t="s">
        <v>115</v>
      </c>
      <c r="C2668" t="b">
        <v>0</v>
      </c>
      <c r="D2668" s="1">
        <v>39417</v>
      </c>
      <c r="E2668">
        <v>5</v>
      </c>
      <c r="F2668"/>
      <c r="G2668"/>
      <c r="H2668"/>
      <c r="I2668"/>
      <c r="J2668"/>
      <c r="K2668"/>
      <c r="L2668"/>
      <c r="M2668"/>
      <c r="N2668"/>
      <c r="O2668"/>
    </row>
    <row r="2669" spans="1:15" hidden="1" x14ac:dyDescent="0.25">
      <c r="A2669" t="s">
        <v>90</v>
      </c>
      <c r="B2669" t="s">
        <v>115</v>
      </c>
      <c r="C2669" t="b">
        <v>0</v>
      </c>
      <c r="D2669" s="1">
        <v>39417</v>
      </c>
      <c r="E2669">
        <v>5</v>
      </c>
      <c r="F2669"/>
      <c r="G2669"/>
      <c r="H2669"/>
      <c r="I2669"/>
      <c r="J2669"/>
      <c r="K2669"/>
      <c r="L2669"/>
      <c r="M2669"/>
      <c r="N2669"/>
      <c r="O2669"/>
    </row>
    <row r="2670" spans="1:15" hidden="1" x14ac:dyDescent="0.25">
      <c r="A2670" t="s">
        <v>99</v>
      </c>
      <c r="B2670" t="s">
        <v>114</v>
      </c>
      <c r="C2670" t="b">
        <v>0</v>
      </c>
      <c r="D2670" s="1">
        <v>39417</v>
      </c>
      <c r="E2670">
        <v>5</v>
      </c>
      <c r="F2670"/>
      <c r="G2670"/>
      <c r="H2670"/>
      <c r="I2670"/>
      <c r="J2670"/>
      <c r="K2670"/>
      <c r="L2670"/>
      <c r="M2670"/>
      <c r="N2670"/>
      <c r="O2670"/>
    </row>
    <row r="2671" spans="1:15" hidden="1" x14ac:dyDescent="0.25">
      <c r="A2671" t="s">
        <v>14</v>
      </c>
      <c r="B2671" t="s">
        <v>115</v>
      </c>
      <c r="C2671" t="b">
        <v>0</v>
      </c>
      <c r="D2671" s="1">
        <v>39448</v>
      </c>
      <c r="E2671">
        <v>5</v>
      </c>
      <c r="F2671"/>
      <c r="G2671"/>
      <c r="H2671"/>
      <c r="I2671"/>
      <c r="J2671"/>
      <c r="K2671"/>
      <c r="L2671"/>
      <c r="M2671"/>
      <c r="N2671"/>
      <c r="O2671"/>
    </row>
    <row r="2672" spans="1:15" hidden="1" x14ac:dyDescent="0.25">
      <c r="A2672" t="s">
        <v>106</v>
      </c>
      <c r="B2672" t="s">
        <v>115</v>
      </c>
      <c r="C2672" t="b">
        <v>0</v>
      </c>
      <c r="D2672" s="1">
        <v>39448</v>
      </c>
      <c r="E2672">
        <v>5</v>
      </c>
      <c r="F2672"/>
      <c r="G2672"/>
      <c r="H2672"/>
      <c r="I2672"/>
      <c r="J2672"/>
      <c r="K2672"/>
      <c r="L2672"/>
      <c r="M2672"/>
      <c r="N2672"/>
      <c r="O2672"/>
    </row>
    <row r="2673" spans="1:15" hidden="1" x14ac:dyDescent="0.25">
      <c r="A2673" t="s">
        <v>106</v>
      </c>
      <c r="B2673" t="s">
        <v>115</v>
      </c>
      <c r="C2673" t="b">
        <v>0</v>
      </c>
      <c r="D2673" s="1">
        <v>39448</v>
      </c>
      <c r="E2673">
        <v>5</v>
      </c>
      <c r="F2673"/>
      <c r="G2673"/>
      <c r="H2673"/>
      <c r="I2673"/>
      <c r="J2673"/>
      <c r="K2673"/>
      <c r="L2673"/>
      <c r="M2673"/>
      <c r="N2673"/>
      <c r="O2673"/>
    </row>
    <row r="2674" spans="1:15" hidden="1" x14ac:dyDescent="0.25">
      <c r="A2674" t="s">
        <v>106</v>
      </c>
      <c r="B2674" t="s">
        <v>115</v>
      </c>
      <c r="C2674" t="b">
        <v>0</v>
      </c>
      <c r="D2674" s="1">
        <v>39448</v>
      </c>
      <c r="E2674">
        <v>5</v>
      </c>
      <c r="F2674"/>
      <c r="G2674"/>
      <c r="H2674"/>
      <c r="I2674"/>
      <c r="J2674"/>
      <c r="K2674"/>
      <c r="L2674"/>
      <c r="M2674"/>
      <c r="N2674"/>
      <c r="O2674"/>
    </row>
    <row r="2675" spans="1:15" hidden="1" x14ac:dyDescent="0.25">
      <c r="A2675" t="s">
        <v>24</v>
      </c>
      <c r="B2675" t="s">
        <v>115</v>
      </c>
      <c r="C2675" t="b">
        <v>0</v>
      </c>
      <c r="D2675" s="1">
        <v>39448</v>
      </c>
      <c r="E2675">
        <v>5</v>
      </c>
      <c r="F2675"/>
      <c r="G2675"/>
      <c r="H2675"/>
      <c r="I2675"/>
      <c r="J2675"/>
      <c r="K2675"/>
      <c r="L2675"/>
      <c r="M2675"/>
      <c r="N2675"/>
      <c r="O2675"/>
    </row>
    <row r="2676" spans="1:15" hidden="1" x14ac:dyDescent="0.25">
      <c r="A2676" t="s">
        <v>30</v>
      </c>
      <c r="B2676" t="s">
        <v>115</v>
      </c>
      <c r="C2676" t="b">
        <v>0</v>
      </c>
      <c r="D2676" s="1">
        <v>39448</v>
      </c>
      <c r="E2676">
        <v>5</v>
      </c>
      <c r="F2676"/>
      <c r="G2676"/>
      <c r="H2676"/>
      <c r="I2676"/>
      <c r="J2676"/>
      <c r="K2676"/>
      <c r="L2676"/>
      <c r="M2676"/>
      <c r="N2676"/>
      <c r="O2676"/>
    </row>
    <row r="2677" spans="1:15" hidden="1" x14ac:dyDescent="0.25">
      <c r="A2677" t="s">
        <v>39</v>
      </c>
      <c r="B2677" t="s">
        <v>115</v>
      </c>
      <c r="C2677" t="b">
        <v>0</v>
      </c>
      <c r="D2677" s="1">
        <v>39448</v>
      </c>
      <c r="E2677">
        <v>5</v>
      </c>
      <c r="F2677"/>
      <c r="G2677"/>
      <c r="H2677"/>
      <c r="I2677"/>
      <c r="J2677"/>
      <c r="K2677"/>
      <c r="L2677"/>
      <c r="M2677"/>
      <c r="N2677"/>
      <c r="O2677"/>
    </row>
    <row r="2678" spans="1:15" hidden="1" x14ac:dyDescent="0.25">
      <c r="A2678" t="s">
        <v>58</v>
      </c>
      <c r="B2678" t="s">
        <v>115</v>
      </c>
      <c r="C2678" t="b">
        <v>0</v>
      </c>
      <c r="D2678" s="1">
        <v>39448</v>
      </c>
      <c r="E2678">
        <v>5</v>
      </c>
      <c r="F2678"/>
      <c r="G2678"/>
      <c r="H2678"/>
      <c r="I2678"/>
      <c r="J2678"/>
      <c r="K2678"/>
      <c r="L2678"/>
      <c r="M2678"/>
      <c r="N2678"/>
      <c r="O2678"/>
    </row>
    <row r="2679" spans="1:15" hidden="1" x14ac:dyDescent="0.25">
      <c r="A2679" t="s">
        <v>57</v>
      </c>
      <c r="B2679" t="s">
        <v>115</v>
      </c>
      <c r="C2679" t="b">
        <v>0</v>
      </c>
      <c r="D2679" s="1">
        <v>39448</v>
      </c>
      <c r="E2679">
        <v>5</v>
      </c>
      <c r="F2679"/>
      <c r="G2679"/>
      <c r="H2679"/>
      <c r="I2679"/>
      <c r="J2679"/>
      <c r="K2679"/>
      <c r="L2679"/>
      <c r="M2679"/>
      <c r="N2679"/>
      <c r="O2679"/>
    </row>
    <row r="2680" spans="1:15" hidden="1" x14ac:dyDescent="0.25">
      <c r="A2680" t="s">
        <v>69</v>
      </c>
      <c r="B2680" t="s">
        <v>115</v>
      </c>
      <c r="C2680" t="b">
        <v>0</v>
      </c>
      <c r="D2680" s="1">
        <v>39448</v>
      </c>
      <c r="E2680">
        <v>5</v>
      </c>
      <c r="F2680"/>
      <c r="G2680"/>
      <c r="H2680"/>
      <c r="I2680"/>
      <c r="J2680"/>
      <c r="K2680"/>
      <c r="L2680"/>
      <c r="M2680"/>
      <c r="N2680"/>
      <c r="O2680"/>
    </row>
    <row r="2681" spans="1:15" hidden="1" x14ac:dyDescent="0.25">
      <c r="A2681" t="s">
        <v>86</v>
      </c>
      <c r="B2681" t="s">
        <v>115</v>
      </c>
      <c r="C2681" t="b">
        <v>0</v>
      </c>
      <c r="D2681" s="1">
        <v>39448</v>
      </c>
      <c r="E2681">
        <v>5</v>
      </c>
      <c r="F2681"/>
      <c r="G2681"/>
      <c r="H2681"/>
      <c r="I2681"/>
      <c r="J2681"/>
      <c r="K2681"/>
      <c r="L2681"/>
      <c r="M2681"/>
      <c r="N2681"/>
      <c r="O2681"/>
    </row>
    <row r="2682" spans="1:15" hidden="1" x14ac:dyDescent="0.25">
      <c r="A2682" t="s">
        <v>90</v>
      </c>
      <c r="B2682" t="s">
        <v>115</v>
      </c>
      <c r="C2682" t="b">
        <v>0</v>
      </c>
      <c r="D2682" s="1">
        <v>39448</v>
      </c>
      <c r="E2682">
        <v>5</v>
      </c>
      <c r="F2682"/>
      <c r="G2682"/>
      <c r="H2682"/>
      <c r="I2682"/>
      <c r="J2682"/>
      <c r="K2682"/>
      <c r="L2682"/>
      <c r="M2682"/>
      <c r="N2682"/>
      <c r="O2682"/>
    </row>
    <row r="2683" spans="1:15" hidden="1" x14ac:dyDescent="0.25">
      <c r="A2683" t="s">
        <v>99</v>
      </c>
      <c r="B2683" t="s">
        <v>114</v>
      </c>
      <c r="C2683" t="b">
        <v>0</v>
      </c>
      <c r="D2683" s="1">
        <v>39448</v>
      </c>
      <c r="E2683">
        <v>27.05</v>
      </c>
      <c r="F2683"/>
      <c r="G2683"/>
      <c r="H2683"/>
      <c r="I2683"/>
      <c r="J2683"/>
      <c r="K2683"/>
      <c r="L2683"/>
      <c r="M2683"/>
      <c r="N2683"/>
      <c r="O2683"/>
    </row>
    <row r="2684" spans="1:15" hidden="1" x14ac:dyDescent="0.25">
      <c r="A2684" t="s">
        <v>100</v>
      </c>
      <c r="B2684" t="s">
        <v>117</v>
      </c>
      <c r="C2684" t="b">
        <v>0</v>
      </c>
      <c r="D2684" s="1">
        <v>39479</v>
      </c>
      <c r="E2684" s="2">
        <v>-164.14</v>
      </c>
      <c r="F2684"/>
      <c r="G2684"/>
      <c r="H2684"/>
      <c r="I2684"/>
      <c r="J2684"/>
      <c r="K2684"/>
      <c r="L2684"/>
      <c r="M2684"/>
      <c r="N2684"/>
      <c r="O2684"/>
    </row>
    <row r="2685" spans="1:15" hidden="1" x14ac:dyDescent="0.25">
      <c r="A2685" t="s">
        <v>101</v>
      </c>
      <c r="B2685" t="s">
        <v>117</v>
      </c>
      <c r="C2685" t="b">
        <v>0</v>
      </c>
      <c r="D2685" s="1">
        <v>39479</v>
      </c>
      <c r="E2685" s="2">
        <v>-0.65</v>
      </c>
      <c r="F2685"/>
      <c r="G2685"/>
      <c r="H2685"/>
      <c r="I2685"/>
      <c r="J2685"/>
      <c r="K2685"/>
      <c r="L2685"/>
      <c r="M2685"/>
      <c r="N2685"/>
      <c r="O2685"/>
    </row>
    <row r="2686" spans="1:15" hidden="1" x14ac:dyDescent="0.25">
      <c r="A2686" t="s">
        <v>99</v>
      </c>
      <c r="B2686" t="s">
        <v>114</v>
      </c>
      <c r="C2686" t="b">
        <v>0</v>
      </c>
      <c r="D2686" s="1">
        <v>39479</v>
      </c>
      <c r="E2686">
        <v>39.1</v>
      </c>
      <c r="F2686"/>
      <c r="G2686"/>
      <c r="H2686"/>
      <c r="I2686"/>
      <c r="J2686"/>
      <c r="K2686"/>
      <c r="L2686"/>
      <c r="M2686"/>
      <c r="N2686"/>
      <c r="O2686"/>
    </row>
    <row r="2687" spans="1:15" hidden="1" x14ac:dyDescent="0.25">
      <c r="A2687" t="s">
        <v>100</v>
      </c>
      <c r="B2687" t="s">
        <v>117</v>
      </c>
      <c r="C2687" t="b">
        <v>0</v>
      </c>
      <c r="D2687" s="1">
        <v>39508</v>
      </c>
      <c r="E2687" s="2">
        <v>-45</v>
      </c>
      <c r="F2687"/>
      <c r="G2687"/>
      <c r="H2687"/>
      <c r="I2687"/>
      <c r="J2687"/>
      <c r="K2687"/>
      <c r="L2687"/>
      <c r="M2687"/>
      <c r="N2687"/>
      <c r="O2687"/>
    </row>
    <row r="2688" spans="1:15" hidden="1" x14ac:dyDescent="0.25">
      <c r="A2688" t="s">
        <v>14</v>
      </c>
      <c r="B2688" t="s">
        <v>115</v>
      </c>
      <c r="C2688" t="b">
        <v>0</v>
      </c>
      <c r="D2688" s="1">
        <v>39508</v>
      </c>
      <c r="E2688">
        <v>5</v>
      </c>
      <c r="F2688"/>
      <c r="G2688"/>
      <c r="H2688"/>
      <c r="I2688"/>
      <c r="J2688"/>
      <c r="K2688"/>
      <c r="L2688"/>
      <c r="M2688"/>
      <c r="N2688"/>
      <c r="O2688"/>
    </row>
    <row r="2689" spans="1:15" hidden="1" x14ac:dyDescent="0.25">
      <c r="A2689" t="s">
        <v>106</v>
      </c>
      <c r="B2689" t="s">
        <v>115</v>
      </c>
      <c r="C2689" t="b">
        <v>0</v>
      </c>
      <c r="D2689" s="1">
        <v>39508</v>
      </c>
      <c r="E2689">
        <v>5</v>
      </c>
      <c r="F2689"/>
      <c r="G2689"/>
      <c r="H2689"/>
      <c r="I2689"/>
      <c r="J2689"/>
      <c r="K2689"/>
      <c r="L2689"/>
      <c r="M2689"/>
      <c r="N2689"/>
      <c r="O2689"/>
    </row>
    <row r="2690" spans="1:15" hidden="1" x14ac:dyDescent="0.25">
      <c r="A2690" t="s">
        <v>106</v>
      </c>
      <c r="B2690" t="s">
        <v>115</v>
      </c>
      <c r="C2690" t="b">
        <v>0</v>
      </c>
      <c r="D2690" s="1">
        <v>39508</v>
      </c>
      <c r="E2690">
        <v>5</v>
      </c>
      <c r="F2690"/>
      <c r="G2690"/>
      <c r="H2690"/>
      <c r="I2690"/>
      <c r="J2690"/>
      <c r="K2690"/>
      <c r="L2690"/>
      <c r="M2690"/>
      <c r="N2690"/>
      <c r="O2690"/>
    </row>
    <row r="2691" spans="1:15" hidden="1" x14ac:dyDescent="0.25">
      <c r="A2691" t="s">
        <v>24</v>
      </c>
      <c r="B2691" t="s">
        <v>115</v>
      </c>
      <c r="C2691" t="b">
        <v>0</v>
      </c>
      <c r="D2691" s="1">
        <v>39508</v>
      </c>
      <c r="E2691">
        <v>5</v>
      </c>
      <c r="F2691"/>
      <c r="G2691"/>
      <c r="H2691"/>
      <c r="I2691"/>
      <c r="J2691"/>
      <c r="K2691"/>
      <c r="L2691"/>
      <c r="M2691"/>
      <c r="N2691"/>
      <c r="O2691"/>
    </row>
    <row r="2692" spans="1:15" hidden="1" x14ac:dyDescent="0.25">
      <c r="A2692" t="s">
        <v>30</v>
      </c>
      <c r="B2692" t="s">
        <v>115</v>
      </c>
      <c r="C2692" t="b">
        <v>0</v>
      </c>
      <c r="D2692" s="1">
        <v>39508</v>
      </c>
      <c r="E2692">
        <v>5</v>
      </c>
      <c r="F2692"/>
      <c r="G2692"/>
      <c r="H2692"/>
      <c r="I2692"/>
      <c r="J2692"/>
      <c r="K2692"/>
      <c r="L2692"/>
      <c r="M2692"/>
      <c r="N2692"/>
      <c r="O2692"/>
    </row>
    <row r="2693" spans="1:15" hidden="1" x14ac:dyDescent="0.25">
      <c r="A2693" t="s">
        <v>37</v>
      </c>
      <c r="B2693" t="s">
        <v>115</v>
      </c>
      <c r="C2693" t="b">
        <v>0</v>
      </c>
      <c r="D2693" s="1">
        <v>39508</v>
      </c>
      <c r="E2693">
        <v>5</v>
      </c>
      <c r="F2693"/>
      <c r="G2693"/>
      <c r="H2693"/>
      <c r="I2693"/>
      <c r="J2693"/>
      <c r="K2693"/>
      <c r="L2693"/>
      <c r="M2693"/>
      <c r="N2693"/>
      <c r="O2693"/>
    </row>
    <row r="2694" spans="1:15" hidden="1" x14ac:dyDescent="0.25">
      <c r="A2694" t="s">
        <v>39</v>
      </c>
      <c r="B2694" t="s">
        <v>115</v>
      </c>
      <c r="C2694" t="b">
        <v>0</v>
      </c>
      <c r="D2694" s="1">
        <v>39508</v>
      </c>
      <c r="E2694">
        <v>5</v>
      </c>
      <c r="F2694"/>
      <c r="G2694"/>
      <c r="H2694"/>
      <c r="I2694"/>
      <c r="J2694"/>
      <c r="K2694"/>
      <c r="L2694"/>
      <c r="M2694"/>
      <c r="N2694"/>
      <c r="O2694"/>
    </row>
    <row r="2695" spans="1:15" hidden="1" x14ac:dyDescent="0.25">
      <c r="A2695" t="s">
        <v>58</v>
      </c>
      <c r="B2695" t="s">
        <v>115</v>
      </c>
      <c r="C2695" t="b">
        <v>0</v>
      </c>
      <c r="D2695" s="1">
        <v>39508</v>
      </c>
      <c r="E2695">
        <v>5</v>
      </c>
      <c r="F2695"/>
      <c r="G2695"/>
      <c r="H2695"/>
      <c r="I2695"/>
      <c r="J2695"/>
      <c r="K2695"/>
      <c r="L2695"/>
      <c r="M2695"/>
      <c r="N2695"/>
      <c r="O2695"/>
    </row>
    <row r="2696" spans="1:15" hidden="1" x14ac:dyDescent="0.25">
      <c r="A2696" t="s">
        <v>57</v>
      </c>
      <c r="B2696" t="s">
        <v>115</v>
      </c>
      <c r="C2696" t="b">
        <v>0</v>
      </c>
      <c r="D2696" s="1">
        <v>39508</v>
      </c>
      <c r="E2696">
        <v>5</v>
      </c>
      <c r="F2696"/>
      <c r="G2696"/>
      <c r="H2696"/>
      <c r="I2696"/>
      <c r="J2696"/>
      <c r="K2696"/>
      <c r="L2696"/>
      <c r="M2696"/>
      <c r="N2696"/>
      <c r="O2696"/>
    </row>
    <row r="2697" spans="1:15" hidden="1" x14ac:dyDescent="0.25">
      <c r="A2697" t="s">
        <v>69</v>
      </c>
      <c r="B2697" t="s">
        <v>115</v>
      </c>
      <c r="C2697" t="b">
        <v>0</v>
      </c>
      <c r="D2697" s="1">
        <v>39508</v>
      </c>
      <c r="E2697">
        <v>5</v>
      </c>
      <c r="F2697"/>
      <c r="G2697"/>
      <c r="H2697"/>
      <c r="I2697"/>
      <c r="J2697"/>
      <c r="K2697"/>
      <c r="L2697"/>
      <c r="M2697"/>
      <c r="N2697"/>
      <c r="O2697"/>
    </row>
    <row r="2698" spans="1:15" hidden="1" x14ac:dyDescent="0.25">
      <c r="A2698" t="s">
        <v>71</v>
      </c>
      <c r="B2698" t="s">
        <v>115</v>
      </c>
      <c r="C2698" t="b">
        <v>0</v>
      </c>
      <c r="D2698" s="1">
        <v>39508</v>
      </c>
      <c r="E2698">
        <v>5</v>
      </c>
      <c r="F2698"/>
      <c r="G2698"/>
      <c r="H2698"/>
      <c r="I2698"/>
      <c r="J2698"/>
      <c r="K2698"/>
      <c r="L2698"/>
      <c r="M2698"/>
      <c r="N2698"/>
      <c r="O2698"/>
    </row>
    <row r="2699" spans="1:15" hidden="1" x14ac:dyDescent="0.25">
      <c r="A2699" t="s">
        <v>86</v>
      </c>
      <c r="B2699" t="s">
        <v>115</v>
      </c>
      <c r="C2699" t="b">
        <v>0</v>
      </c>
      <c r="D2699" s="1">
        <v>39508</v>
      </c>
      <c r="E2699">
        <v>5</v>
      </c>
      <c r="F2699"/>
      <c r="G2699"/>
      <c r="H2699"/>
      <c r="I2699"/>
      <c r="J2699"/>
      <c r="K2699"/>
      <c r="L2699"/>
      <c r="M2699"/>
      <c r="N2699"/>
      <c r="O2699"/>
    </row>
    <row r="2700" spans="1:15" hidden="1" x14ac:dyDescent="0.25">
      <c r="A2700" t="s">
        <v>90</v>
      </c>
      <c r="B2700" t="s">
        <v>115</v>
      </c>
      <c r="C2700" t="b">
        <v>0</v>
      </c>
      <c r="D2700" s="1">
        <v>39508</v>
      </c>
      <c r="E2700">
        <v>5</v>
      </c>
      <c r="F2700"/>
      <c r="G2700"/>
      <c r="H2700"/>
      <c r="I2700"/>
      <c r="J2700"/>
      <c r="K2700"/>
      <c r="L2700"/>
      <c r="M2700"/>
      <c r="N2700"/>
      <c r="O2700"/>
    </row>
    <row r="2701" spans="1:15" hidden="1" x14ac:dyDescent="0.25">
      <c r="A2701" t="s">
        <v>100</v>
      </c>
      <c r="B2701" t="s">
        <v>117</v>
      </c>
      <c r="C2701" t="b">
        <v>0</v>
      </c>
      <c r="D2701" s="1">
        <v>39539</v>
      </c>
      <c r="E2701" s="2">
        <v>-125.85</v>
      </c>
      <c r="F2701"/>
      <c r="G2701"/>
      <c r="H2701"/>
      <c r="I2701"/>
      <c r="J2701"/>
      <c r="K2701"/>
      <c r="L2701"/>
      <c r="M2701"/>
      <c r="N2701"/>
      <c r="O2701"/>
    </row>
    <row r="2702" spans="1:15" hidden="1" x14ac:dyDescent="0.25">
      <c r="A2702" t="s">
        <v>14</v>
      </c>
      <c r="B2702" t="s">
        <v>115</v>
      </c>
      <c r="C2702" t="b">
        <v>0</v>
      </c>
      <c r="D2702" s="1">
        <v>39539</v>
      </c>
      <c r="E2702">
        <v>5</v>
      </c>
      <c r="F2702"/>
      <c r="G2702"/>
      <c r="H2702"/>
      <c r="I2702"/>
      <c r="J2702"/>
      <c r="K2702"/>
      <c r="L2702"/>
      <c r="M2702"/>
      <c r="N2702"/>
      <c r="O2702"/>
    </row>
    <row r="2703" spans="1:15" hidden="1" x14ac:dyDescent="0.25">
      <c r="A2703" t="s">
        <v>106</v>
      </c>
      <c r="B2703" t="s">
        <v>115</v>
      </c>
      <c r="C2703" t="b">
        <v>0</v>
      </c>
      <c r="D2703" s="1">
        <v>39539</v>
      </c>
      <c r="E2703">
        <v>5</v>
      </c>
      <c r="F2703"/>
      <c r="G2703"/>
      <c r="H2703"/>
      <c r="I2703"/>
      <c r="J2703"/>
      <c r="K2703"/>
      <c r="L2703"/>
      <c r="M2703"/>
      <c r="N2703"/>
      <c r="O2703"/>
    </row>
    <row r="2704" spans="1:15" hidden="1" x14ac:dyDescent="0.25">
      <c r="A2704" t="s">
        <v>106</v>
      </c>
      <c r="B2704" t="s">
        <v>115</v>
      </c>
      <c r="C2704" t="b">
        <v>0</v>
      </c>
      <c r="D2704" s="1">
        <v>39539</v>
      </c>
      <c r="E2704">
        <v>5</v>
      </c>
      <c r="F2704"/>
      <c r="G2704"/>
      <c r="H2704"/>
      <c r="I2704"/>
      <c r="J2704"/>
      <c r="K2704"/>
      <c r="L2704"/>
      <c r="M2704"/>
      <c r="N2704"/>
      <c r="O2704"/>
    </row>
    <row r="2705" spans="1:15" hidden="1" x14ac:dyDescent="0.25">
      <c r="A2705" t="s">
        <v>106</v>
      </c>
      <c r="B2705" t="s">
        <v>115</v>
      </c>
      <c r="C2705" t="b">
        <v>0</v>
      </c>
      <c r="D2705" s="1">
        <v>39539</v>
      </c>
      <c r="E2705">
        <v>5</v>
      </c>
      <c r="F2705"/>
      <c r="G2705"/>
      <c r="H2705"/>
      <c r="I2705"/>
      <c r="J2705"/>
      <c r="K2705"/>
      <c r="L2705"/>
      <c r="M2705"/>
      <c r="N2705"/>
      <c r="O2705"/>
    </row>
    <row r="2706" spans="1:15" hidden="1" x14ac:dyDescent="0.25">
      <c r="A2706" t="s">
        <v>30</v>
      </c>
      <c r="B2706" t="s">
        <v>115</v>
      </c>
      <c r="C2706" t="b">
        <v>0</v>
      </c>
      <c r="D2706" s="1">
        <v>39539</v>
      </c>
      <c r="E2706">
        <v>5</v>
      </c>
      <c r="F2706"/>
      <c r="G2706"/>
      <c r="H2706"/>
      <c r="I2706"/>
      <c r="J2706"/>
      <c r="K2706"/>
      <c r="L2706"/>
      <c r="M2706"/>
      <c r="N2706"/>
      <c r="O2706"/>
    </row>
    <row r="2707" spans="1:15" hidden="1" x14ac:dyDescent="0.25">
      <c r="A2707" t="s">
        <v>37</v>
      </c>
      <c r="B2707" t="s">
        <v>115</v>
      </c>
      <c r="C2707" t="b">
        <v>0</v>
      </c>
      <c r="D2707" s="1">
        <v>39539</v>
      </c>
      <c r="E2707">
        <v>5</v>
      </c>
      <c r="F2707"/>
      <c r="G2707"/>
      <c r="H2707"/>
      <c r="I2707"/>
      <c r="J2707"/>
      <c r="K2707"/>
      <c r="L2707"/>
      <c r="M2707"/>
      <c r="N2707"/>
      <c r="O2707"/>
    </row>
    <row r="2708" spans="1:15" hidden="1" x14ac:dyDescent="0.25">
      <c r="A2708" t="s">
        <v>39</v>
      </c>
      <c r="B2708" t="s">
        <v>115</v>
      </c>
      <c r="C2708" t="b">
        <v>0</v>
      </c>
      <c r="D2708" s="1">
        <v>39539</v>
      </c>
      <c r="E2708">
        <v>5</v>
      </c>
      <c r="F2708"/>
      <c r="G2708"/>
      <c r="H2708"/>
      <c r="I2708"/>
      <c r="J2708"/>
      <c r="K2708"/>
      <c r="L2708"/>
      <c r="M2708"/>
      <c r="N2708"/>
      <c r="O2708"/>
    </row>
    <row r="2709" spans="1:15" hidden="1" x14ac:dyDescent="0.25">
      <c r="A2709" t="s">
        <v>58</v>
      </c>
      <c r="B2709" t="s">
        <v>115</v>
      </c>
      <c r="C2709" t="b">
        <v>0</v>
      </c>
      <c r="D2709" s="1">
        <v>39539</v>
      </c>
      <c r="E2709">
        <v>5</v>
      </c>
      <c r="F2709"/>
      <c r="G2709"/>
      <c r="H2709"/>
      <c r="I2709"/>
      <c r="J2709"/>
      <c r="K2709"/>
      <c r="L2709"/>
      <c r="M2709"/>
      <c r="N2709"/>
      <c r="O2709"/>
    </row>
    <row r="2710" spans="1:15" hidden="1" x14ac:dyDescent="0.25">
      <c r="A2710" t="s">
        <v>57</v>
      </c>
      <c r="B2710" t="s">
        <v>115</v>
      </c>
      <c r="C2710" t="b">
        <v>0</v>
      </c>
      <c r="D2710" s="1">
        <v>39539</v>
      </c>
      <c r="E2710">
        <v>5</v>
      </c>
      <c r="F2710"/>
      <c r="G2710"/>
      <c r="H2710"/>
      <c r="I2710"/>
      <c r="J2710"/>
      <c r="K2710"/>
      <c r="L2710"/>
      <c r="M2710"/>
      <c r="N2710"/>
      <c r="O2710"/>
    </row>
    <row r="2711" spans="1:15" hidden="1" x14ac:dyDescent="0.25">
      <c r="A2711" t="s">
        <v>69</v>
      </c>
      <c r="B2711" t="s">
        <v>115</v>
      </c>
      <c r="C2711" t="b">
        <v>0</v>
      </c>
      <c r="D2711" s="1">
        <v>39539</v>
      </c>
      <c r="E2711">
        <v>5</v>
      </c>
      <c r="F2711"/>
      <c r="G2711"/>
      <c r="H2711"/>
      <c r="I2711"/>
      <c r="J2711"/>
      <c r="K2711"/>
      <c r="L2711"/>
      <c r="M2711"/>
      <c r="N2711"/>
      <c r="O2711"/>
    </row>
    <row r="2712" spans="1:15" hidden="1" x14ac:dyDescent="0.25">
      <c r="A2712" t="s">
        <v>71</v>
      </c>
      <c r="B2712" t="s">
        <v>115</v>
      </c>
      <c r="C2712" t="b">
        <v>0</v>
      </c>
      <c r="D2712" s="1">
        <v>39539</v>
      </c>
      <c r="E2712">
        <v>5</v>
      </c>
      <c r="F2712"/>
      <c r="G2712"/>
      <c r="H2712"/>
      <c r="I2712"/>
      <c r="J2712"/>
      <c r="K2712"/>
      <c r="L2712"/>
      <c r="M2712"/>
      <c r="N2712"/>
      <c r="O2712"/>
    </row>
    <row r="2713" spans="1:15" hidden="1" x14ac:dyDescent="0.25">
      <c r="A2713" t="s">
        <v>77</v>
      </c>
      <c r="B2713" t="s">
        <v>115</v>
      </c>
      <c r="C2713" t="b">
        <v>0</v>
      </c>
      <c r="D2713" s="1">
        <v>39539</v>
      </c>
      <c r="E2713">
        <v>5</v>
      </c>
      <c r="F2713"/>
      <c r="G2713"/>
      <c r="H2713"/>
      <c r="I2713"/>
      <c r="J2713"/>
      <c r="K2713"/>
      <c r="L2713"/>
      <c r="M2713"/>
      <c r="N2713"/>
      <c r="O2713"/>
    </row>
    <row r="2714" spans="1:15" hidden="1" x14ac:dyDescent="0.25">
      <c r="A2714" t="s">
        <v>86</v>
      </c>
      <c r="B2714" t="s">
        <v>115</v>
      </c>
      <c r="C2714" t="b">
        <v>0</v>
      </c>
      <c r="D2714" s="1">
        <v>39539</v>
      </c>
      <c r="E2714">
        <v>5</v>
      </c>
      <c r="F2714"/>
      <c r="G2714"/>
      <c r="H2714"/>
      <c r="I2714"/>
      <c r="J2714"/>
      <c r="K2714"/>
      <c r="L2714"/>
      <c r="M2714"/>
      <c r="N2714"/>
      <c r="O2714"/>
    </row>
    <row r="2715" spans="1:15" hidden="1" x14ac:dyDescent="0.25">
      <c r="A2715" t="s">
        <v>90</v>
      </c>
      <c r="B2715" t="s">
        <v>115</v>
      </c>
      <c r="C2715" t="b">
        <v>0</v>
      </c>
      <c r="D2715" s="1">
        <v>39539</v>
      </c>
      <c r="E2715">
        <v>5</v>
      </c>
      <c r="F2715"/>
      <c r="G2715"/>
      <c r="H2715"/>
      <c r="I2715"/>
      <c r="J2715"/>
      <c r="K2715"/>
      <c r="L2715"/>
      <c r="M2715"/>
      <c r="N2715"/>
      <c r="O2715"/>
    </row>
    <row r="2716" spans="1:15" hidden="1" x14ac:dyDescent="0.25">
      <c r="A2716" t="s">
        <v>100</v>
      </c>
      <c r="B2716" t="s">
        <v>117</v>
      </c>
      <c r="C2716" t="b">
        <v>0</v>
      </c>
      <c r="D2716" s="1">
        <v>39569</v>
      </c>
      <c r="E2716" s="2">
        <v>-150.15</v>
      </c>
      <c r="F2716"/>
      <c r="G2716"/>
      <c r="H2716"/>
      <c r="I2716"/>
      <c r="J2716"/>
      <c r="K2716"/>
      <c r="L2716"/>
      <c r="M2716"/>
      <c r="N2716"/>
      <c r="O2716"/>
    </row>
    <row r="2717" spans="1:15" hidden="1" x14ac:dyDescent="0.25">
      <c r="A2717" t="s">
        <v>14</v>
      </c>
      <c r="B2717" t="s">
        <v>115</v>
      </c>
      <c r="C2717" t="b">
        <v>0</v>
      </c>
      <c r="D2717" s="1">
        <v>39569</v>
      </c>
      <c r="E2717">
        <v>5</v>
      </c>
      <c r="F2717"/>
      <c r="G2717"/>
      <c r="H2717"/>
      <c r="I2717"/>
      <c r="J2717"/>
      <c r="K2717"/>
      <c r="L2717"/>
      <c r="M2717"/>
      <c r="N2717"/>
      <c r="O2717"/>
    </row>
    <row r="2718" spans="1:15" hidden="1" x14ac:dyDescent="0.25">
      <c r="A2718" t="s">
        <v>106</v>
      </c>
      <c r="B2718" t="s">
        <v>115</v>
      </c>
      <c r="C2718" t="b">
        <v>0</v>
      </c>
      <c r="D2718" s="1">
        <v>39569</v>
      </c>
      <c r="E2718">
        <v>5</v>
      </c>
      <c r="F2718"/>
      <c r="G2718"/>
      <c r="H2718"/>
      <c r="I2718"/>
      <c r="J2718"/>
      <c r="K2718"/>
      <c r="L2718"/>
      <c r="M2718"/>
      <c r="N2718"/>
      <c r="O2718"/>
    </row>
    <row r="2719" spans="1:15" hidden="1" x14ac:dyDescent="0.25">
      <c r="A2719" t="s">
        <v>106</v>
      </c>
      <c r="B2719" t="s">
        <v>115</v>
      </c>
      <c r="C2719" t="b">
        <v>0</v>
      </c>
      <c r="D2719" s="1">
        <v>39569</v>
      </c>
      <c r="E2719">
        <v>5</v>
      </c>
      <c r="F2719"/>
      <c r="G2719"/>
      <c r="H2719"/>
      <c r="I2719"/>
      <c r="J2719"/>
      <c r="K2719"/>
      <c r="L2719"/>
      <c r="M2719"/>
      <c r="N2719"/>
      <c r="O2719"/>
    </row>
    <row r="2720" spans="1:15" hidden="1" x14ac:dyDescent="0.25">
      <c r="A2720" t="s">
        <v>30</v>
      </c>
      <c r="B2720" t="s">
        <v>115</v>
      </c>
      <c r="C2720" t="b">
        <v>0</v>
      </c>
      <c r="D2720" s="1">
        <v>39569</v>
      </c>
      <c r="E2720">
        <v>5</v>
      </c>
      <c r="F2720"/>
      <c r="G2720"/>
      <c r="H2720"/>
      <c r="I2720"/>
      <c r="J2720"/>
      <c r="K2720"/>
      <c r="L2720"/>
      <c r="M2720"/>
      <c r="N2720"/>
      <c r="O2720"/>
    </row>
    <row r="2721" spans="1:15" hidden="1" x14ac:dyDescent="0.25">
      <c r="A2721" t="s">
        <v>37</v>
      </c>
      <c r="B2721" t="s">
        <v>115</v>
      </c>
      <c r="C2721" t="b">
        <v>0</v>
      </c>
      <c r="D2721" s="1">
        <v>39569</v>
      </c>
      <c r="E2721">
        <v>5</v>
      </c>
      <c r="F2721"/>
      <c r="G2721"/>
      <c r="H2721"/>
      <c r="I2721"/>
      <c r="J2721"/>
      <c r="K2721"/>
      <c r="L2721"/>
      <c r="M2721"/>
      <c r="N2721"/>
      <c r="O2721"/>
    </row>
    <row r="2722" spans="1:15" hidden="1" x14ac:dyDescent="0.25">
      <c r="A2722" t="s">
        <v>39</v>
      </c>
      <c r="B2722" t="s">
        <v>115</v>
      </c>
      <c r="C2722" t="b">
        <v>0</v>
      </c>
      <c r="D2722" s="1">
        <v>39569</v>
      </c>
      <c r="E2722">
        <v>5</v>
      </c>
      <c r="F2722"/>
      <c r="G2722"/>
      <c r="H2722"/>
      <c r="I2722"/>
      <c r="J2722"/>
      <c r="K2722"/>
      <c r="L2722"/>
      <c r="M2722"/>
      <c r="N2722"/>
      <c r="O2722"/>
    </row>
    <row r="2723" spans="1:15" hidden="1" x14ac:dyDescent="0.25">
      <c r="A2723" t="s">
        <v>58</v>
      </c>
      <c r="B2723" t="s">
        <v>115</v>
      </c>
      <c r="C2723" t="b">
        <v>0</v>
      </c>
      <c r="D2723" s="1">
        <v>39569</v>
      </c>
      <c r="E2723">
        <v>5</v>
      </c>
      <c r="F2723"/>
      <c r="G2723"/>
      <c r="H2723"/>
      <c r="I2723"/>
      <c r="J2723"/>
      <c r="K2723"/>
      <c r="L2723"/>
      <c r="M2723"/>
      <c r="N2723"/>
      <c r="O2723"/>
    </row>
    <row r="2724" spans="1:15" hidden="1" x14ac:dyDescent="0.25">
      <c r="A2724" t="s">
        <v>57</v>
      </c>
      <c r="B2724" t="s">
        <v>115</v>
      </c>
      <c r="C2724" t="b">
        <v>0</v>
      </c>
      <c r="D2724" s="1">
        <v>39569</v>
      </c>
      <c r="E2724">
        <v>5</v>
      </c>
      <c r="F2724"/>
      <c r="G2724"/>
      <c r="H2724"/>
      <c r="I2724"/>
      <c r="J2724"/>
      <c r="K2724"/>
      <c r="L2724"/>
      <c r="M2724"/>
      <c r="N2724"/>
      <c r="O2724"/>
    </row>
    <row r="2725" spans="1:15" hidden="1" x14ac:dyDescent="0.25">
      <c r="A2725" t="s">
        <v>69</v>
      </c>
      <c r="B2725" t="s">
        <v>115</v>
      </c>
      <c r="C2725" t="b">
        <v>0</v>
      </c>
      <c r="D2725" s="1">
        <v>39569</v>
      </c>
      <c r="E2725">
        <v>5</v>
      </c>
      <c r="F2725"/>
      <c r="G2725"/>
      <c r="H2725"/>
      <c r="I2725"/>
      <c r="J2725"/>
      <c r="K2725"/>
      <c r="L2725"/>
      <c r="M2725"/>
      <c r="N2725"/>
      <c r="O2725"/>
    </row>
    <row r="2726" spans="1:15" hidden="1" x14ac:dyDescent="0.25">
      <c r="A2726" t="s">
        <v>71</v>
      </c>
      <c r="B2726" t="s">
        <v>115</v>
      </c>
      <c r="C2726" t="b">
        <v>0</v>
      </c>
      <c r="D2726" s="1">
        <v>39569</v>
      </c>
      <c r="E2726">
        <v>5</v>
      </c>
      <c r="F2726"/>
      <c r="G2726"/>
      <c r="H2726"/>
      <c r="I2726"/>
      <c r="J2726"/>
      <c r="K2726"/>
      <c r="L2726"/>
      <c r="M2726"/>
      <c r="N2726"/>
      <c r="O2726"/>
    </row>
    <row r="2727" spans="1:15" hidden="1" x14ac:dyDescent="0.25">
      <c r="A2727" t="s">
        <v>77</v>
      </c>
      <c r="B2727" t="s">
        <v>115</v>
      </c>
      <c r="C2727" t="b">
        <v>0</v>
      </c>
      <c r="D2727" s="1">
        <v>39569</v>
      </c>
      <c r="E2727">
        <v>5</v>
      </c>
      <c r="F2727"/>
      <c r="G2727"/>
      <c r="H2727"/>
      <c r="I2727"/>
      <c r="J2727"/>
      <c r="K2727"/>
      <c r="L2727"/>
      <c r="M2727"/>
      <c r="N2727"/>
      <c r="O2727"/>
    </row>
    <row r="2728" spans="1:15" hidden="1" x14ac:dyDescent="0.25">
      <c r="A2728" t="s">
        <v>86</v>
      </c>
      <c r="B2728" t="s">
        <v>115</v>
      </c>
      <c r="C2728" t="b">
        <v>0</v>
      </c>
      <c r="D2728" s="1">
        <v>39569</v>
      </c>
      <c r="E2728">
        <v>5</v>
      </c>
      <c r="F2728"/>
      <c r="G2728"/>
      <c r="H2728"/>
      <c r="I2728"/>
      <c r="J2728"/>
      <c r="K2728"/>
      <c r="L2728"/>
      <c r="M2728"/>
      <c r="N2728"/>
      <c r="O2728"/>
    </row>
    <row r="2729" spans="1:15" hidden="1" x14ac:dyDescent="0.25">
      <c r="A2729" t="s">
        <v>90</v>
      </c>
      <c r="B2729" t="s">
        <v>115</v>
      </c>
      <c r="C2729" t="b">
        <v>0</v>
      </c>
      <c r="D2729" s="1">
        <v>39569</v>
      </c>
      <c r="E2729">
        <v>5</v>
      </c>
      <c r="F2729"/>
      <c r="G2729"/>
      <c r="H2729"/>
      <c r="I2729"/>
      <c r="J2729"/>
      <c r="K2729"/>
      <c r="L2729"/>
      <c r="M2729"/>
      <c r="N2729"/>
      <c r="O2729"/>
    </row>
    <row r="2730" spans="1:15" hidden="1" x14ac:dyDescent="0.25">
      <c r="A2730" t="s">
        <v>99</v>
      </c>
      <c r="B2730" t="s">
        <v>114</v>
      </c>
      <c r="C2730" t="b">
        <v>0</v>
      </c>
      <c r="D2730" s="1">
        <v>39569</v>
      </c>
      <c r="E2730">
        <v>46</v>
      </c>
      <c r="F2730"/>
      <c r="G2730"/>
      <c r="H2730"/>
      <c r="I2730"/>
      <c r="J2730"/>
      <c r="K2730"/>
      <c r="L2730"/>
      <c r="M2730"/>
      <c r="N2730"/>
      <c r="O2730"/>
    </row>
    <row r="2731" spans="1:15" hidden="1" x14ac:dyDescent="0.25">
      <c r="A2731" t="s">
        <v>100</v>
      </c>
      <c r="B2731" t="s">
        <v>117</v>
      </c>
      <c r="C2731" t="b">
        <v>0</v>
      </c>
      <c r="D2731" s="1">
        <v>39600</v>
      </c>
      <c r="E2731" s="2">
        <v>-57</v>
      </c>
      <c r="F2731"/>
      <c r="G2731"/>
      <c r="H2731"/>
      <c r="I2731"/>
      <c r="J2731"/>
      <c r="K2731"/>
      <c r="L2731"/>
      <c r="M2731"/>
      <c r="N2731"/>
      <c r="O2731"/>
    </row>
    <row r="2732" spans="1:15" hidden="1" x14ac:dyDescent="0.25">
      <c r="A2732" t="s">
        <v>14</v>
      </c>
      <c r="B2732" t="s">
        <v>115</v>
      </c>
      <c r="C2732" t="b">
        <v>0</v>
      </c>
      <c r="D2732" s="1">
        <v>39600</v>
      </c>
      <c r="E2732">
        <v>5</v>
      </c>
      <c r="F2732"/>
      <c r="G2732"/>
      <c r="H2732"/>
      <c r="I2732"/>
      <c r="J2732"/>
      <c r="K2732"/>
      <c r="L2732"/>
      <c r="M2732"/>
      <c r="N2732"/>
      <c r="O2732"/>
    </row>
    <row r="2733" spans="1:15" hidden="1" x14ac:dyDescent="0.25">
      <c r="A2733" t="s">
        <v>106</v>
      </c>
      <c r="B2733" t="s">
        <v>115</v>
      </c>
      <c r="C2733" t="b">
        <v>0</v>
      </c>
      <c r="D2733" s="1">
        <v>39600</v>
      </c>
      <c r="E2733">
        <v>5</v>
      </c>
      <c r="F2733"/>
      <c r="G2733"/>
      <c r="H2733"/>
      <c r="I2733"/>
      <c r="J2733"/>
      <c r="K2733"/>
      <c r="L2733"/>
      <c r="M2733"/>
      <c r="N2733"/>
      <c r="O2733"/>
    </row>
    <row r="2734" spans="1:15" hidden="1" x14ac:dyDescent="0.25">
      <c r="A2734" t="s">
        <v>106</v>
      </c>
      <c r="B2734" t="s">
        <v>115</v>
      </c>
      <c r="C2734" t="b">
        <v>0</v>
      </c>
      <c r="D2734" s="1">
        <v>39600</v>
      </c>
      <c r="E2734">
        <v>5</v>
      </c>
      <c r="F2734"/>
      <c r="G2734"/>
      <c r="H2734"/>
      <c r="I2734"/>
      <c r="J2734"/>
      <c r="K2734"/>
      <c r="L2734"/>
      <c r="M2734"/>
      <c r="N2734"/>
      <c r="O2734"/>
    </row>
    <row r="2735" spans="1:15" hidden="1" x14ac:dyDescent="0.25">
      <c r="A2735" t="s">
        <v>23</v>
      </c>
      <c r="B2735" t="s">
        <v>115</v>
      </c>
      <c r="C2735" t="b">
        <v>0</v>
      </c>
      <c r="D2735" s="1">
        <v>39600</v>
      </c>
      <c r="E2735">
        <v>5</v>
      </c>
      <c r="F2735"/>
      <c r="G2735"/>
      <c r="H2735"/>
      <c r="I2735"/>
      <c r="J2735"/>
      <c r="K2735"/>
      <c r="L2735"/>
      <c r="M2735"/>
      <c r="N2735"/>
      <c r="O2735"/>
    </row>
    <row r="2736" spans="1:15" hidden="1" x14ac:dyDescent="0.25">
      <c r="A2736" t="s">
        <v>24</v>
      </c>
      <c r="B2736" t="s">
        <v>115</v>
      </c>
      <c r="C2736" t="b">
        <v>0</v>
      </c>
      <c r="D2736" s="1">
        <v>39600</v>
      </c>
      <c r="E2736">
        <v>5</v>
      </c>
      <c r="F2736"/>
      <c r="G2736"/>
      <c r="H2736"/>
      <c r="I2736"/>
      <c r="J2736"/>
      <c r="K2736"/>
      <c r="L2736"/>
      <c r="M2736"/>
      <c r="N2736"/>
      <c r="O2736"/>
    </row>
    <row r="2737" spans="1:15" hidden="1" x14ac:dyDescent="0.25">
      <c r="A2737" t="s">
        <v>30</v>
      </c>
      <c r="B2737" t="s">
        <v>115</v>
      </c>
      <c r="C2737" t="b">
        <v>0</v>
      </c>
      <c r="D2737" s="1">
        <v>39600</v>
      </c>
      <c r="E2737">
        <v>5</v>
      </c>
      <c r="F2737"/>
      <c r="G2737"/>
      <c r="H2737"/>
      <c r="I2737"/>
      <c r="J2737"/>
      <c r="K2737"/>
      <c r="L2737"/>
      <c r="M2737"/>
      <c r="N2737"/>
      <c r="O2737"/>
    </row>
    <row r="2738" spans="1:15" hidden="1" x14ac:dyDescent="0.25">
      <c r="A2738" t="s">
        <v>37</v>
      </c>
      <c r="B2738" t="s">
        <v>115</v>
      </c>
      <c r="C2738" t="b">
        <v>0</v>
      </c>
      <c r="D2738" s="1">
        <v>39600</v>
      </c>
      <c r="E2738">
        <v>5</v>
      </c>
      <c r="F2738"/>
      <c r="G2738"/>
      <c r="H2738"/>
      <c r="I2738"/>
      <c r="J2738"/>
      <c r="K2738"/>
      <c r="L2738"/>
      <c r="M2738"/>
      <c r="N2738"/>
      <c r="O2738"/>
    </row>
    <row r="2739" spans="1:15" hidden="1" x14ac:dyDescent="0.25">
      <c r="A2739" t="s">
        <v>39</v>
      </c>
      <c r="B2739" t="s">
        <v>115</v>
      </c>
      <c r="C2739" t="b">
        <v>0</v>
      </c>
      <c r="D2739" s="1">
        <v>39600</v>
      </c>
      <c r="E2739">
        <v>5</v>
      </c>
      <c r="F2739"/>
      <c r="G2739"/>
      <c r="H2739"/>
      <c r="I2739"/>
      <c r="J2739"/>
      <c r="K2739"/>
      <c r="L2739"/>
      <c r="M2739"/>
      <c r="N2739"/>
      <c r="O2739"/>
    </row>
    <row r="2740" spans="1:15" hidden="1" x14ac:dyDescent="0.25">
      <c r="A2740" t="s">
        <v>57</v>
      </c>
      <c r="B2740" t="s">
        <v>115</v>
      </c>
      <c r="C2740" t="b">
        <v>0</v>
      </c>
      <c r="D2740" s="1">
        <v>39600</v>
      </c>
      <c r="E2740">
        <v>5</v>
      </c>
      <c r="F2740"/>
      <c r="G2740"/>
      <c r="H2740"/>
      <c r="I2740"/>
      <c r="J2740"/>
      <c r="K2740"/>
      <c r="L2740"/>
      <c r="M2740"/>
      <c r="N2740"/>
      <c r="O2740"/>
    </row>
    <row r="2741" spans="1:15" hidden="1" x14ac:dyDescent="0.25">
      <c r="A2741" t="s">
        <v>69</v>
      </c>
      <c r="B2741" t="s">
        <v>115</v>
      </c>
      <c r="C2741" t="b">
        <v>0</v>
      </c>
      <c r="D2741" s="1">
        <v>39600</v>
      </c>
      <c r="E2741">
        <v>5</v>
      </c>
      <c r="F2741"/>
      <c r="G2741"/>
      <c r="H2741"/>
      <c r="I2741"/>
      <c r="J2741"/>
      <c r="K2741"/>
      <c r="L2741"/>
      <c r="M2741"/>
      <c r="N2741"/>
      <c r="O2741"/>
    </row>
    <row r="2742" spans="1:15" hidden="1" x14ac:dyDescent="0.25">
      <c r="A2742" t="s">
        <v>71</v>
      </c>
      <c r="B2742" t="s">
        <v>115</v>
      </c>
      <c r="C2742" t="b">
        <v>0</v>
      </c>
      <c r="D2742" s="1">
        <v>39600</v>
      </c>
      <c r="E2742">
        <v>5</v>
      </c>
      <c r="F2742"/>
      <c r="G2742"/>
      <c r="H2742"/>
      <c r="I2742"/>
      <c r="J2742"/>
      <c r="K2742"/>
      <c r="L2742"/>
      <c r="M2742"/>
      <c r="N2742"/>
      <c r="O2742"/>
    </row>
    <row r="2743" spans="1:15" hidden="1" x14ac:dyDescent="0.25">
      <c r="A2743" t="s">
        <v>77</v>
      </c>
      <c r="B2743" t="s">
        <v>115</v>
      </c>
      <c r="C2743" t="b">
        <v>0</v>
      </c>
      <c r="D2743" s="1">
        <v>39600</v>
      </c>
      <c r="E2743">
        <v>5</v>
      </c>
      <c r="F2743"/>
      <c r="G2743"/>
      <c r="H2743"/>
      <c r="I2743"/>
      <c r="J2743"/>
      <c r="K2743"/>
      <c r="L2743"/>
      <c r="M2743"/>
      <c r="N2743"/>
      <c r="O2743"/>
    </row>
    <row r="2744" spans="1:15" hidden="1" x14ac:dyDescent="0.25">
      <c r="A2744" t="s">
        <v>86</v>
      </c>
      <c r="B2744" t="s">
        <v>115</v>
      </c>
      <c r="C2744" t="b">
        <v>0</v>
      </c>
      <c r="D2744" s="1">
        <v>39600</v>
      </c>
      <c r="E2744">
        <v>5</v>
      </c>
      <c r="F2744"/>
      <c r="G2744"/>
      <c r="H2744"/>
      <c r="I2744"/>
      <c r="J2744"/>
      <c r="K2744"/>
      <c r="L2744"/>
      <c r="M2744"/>
      <c r="N2744"/>
      <c r="O2744"/>
    </row>
    <row r="2745" spans="1:15" hidden="1" x14ac:dyDescent="0.25">
      <c r="A2745" t="s">
        <v>90</v>
      </c>
      <c r="B2745" t="s">
        <v>115</v>
      </c>
      <c r="C2745" t="b">
        <v>0</v>
      </c>
      <c r="D2745" s="1">
        <v>39600</v>
      </c>
      <c r="E2745">
        <v>5</v>
      </c>
      <c r="F2745"/>
      <c r="G2745"/>
      <c r="H2745"/>
      <c r="I2745"/>
      <c r="J2745"/>
      <c r="K2745"/>
      <c r="L2745"/>
      <c r="M2745"/>
      <c r="N2745"/>
      <c r="O2745"/>
    </row>
    <row r="2746" spans="1:15" hidden="1" x14ac:dyDescent="0.25">
      <c r="A2746" t="s">
        <v>99</v>
      </c>
      <c r="B2746" t="s">
        <v>114</v>
      </c>
      <c r="C2746" t="b">
        <v>0</v>
      </c>
      <c r="D2746" s="1">
        <v>39600</v>
      </c>
      <c r="E2746">
        <v>41.4</v>
      </c>
      <c r="F2746"/>
      <c r="G2746"/>
      <c r="H2746"/>
      <c r="I2746"/>
      <c r="J2746"/>
      <c r="K2746"/>
      <c r="L2746"/>
      <c r="M2746"/>
      <c r="N2746"/>
      <c r="O2746"/>
    </row>
    <row r="2747" spans="1:15" hidden="1" x14ac:dyDescent="0.25">
      <c r="A2747" t="s">
        <v>100</v>
      </c>
      <c r="B2747" t="s">
        <v>117</v>
      </c>
      <c r="C2747" t="b">
        <v>0</v>
      </c>
      <c r="D2747" s="1">
        <v>39630</v>
      </c>
      <c r="E2747" s="2">
        <v>-62.4</v>
      </c>
      <c r="F2747"/>
      <c r="G2747"/>
      <c r="H2747"/>
      <c r="I2747"/>
      <c r="J2747"/>
      <c r="K2747"/>
      <c r="L2747"/>
      <c r="M2747"/>
      <c r="N2747"/>
      <c r="O2747"/>
    </row>
    <row r="2748" spans="1:15" hidden="1" x14ac:dyDescent="0.25">
      <c r="A2748" t="s">
        <v>14</v>
      </c>
      <c r="B2748" t="s">
        <v>115</v>
      </c>
      <c r="C2748" t="b">
        <v>0</v>
      </c>
      <c r="D2748" s="1">
        <v>39630</v>
      </c>
      <c r="E2748">
        <v>5</v>
      </c>
      <c r="F2748"/>
      <c r="G2748"/>
      <c r="H2748"/>
      <c r="I2748"/>
      <c r="J2748"/>
      <c r="K2748"/>
      <c r="L2748"/>
      <c r="M2748"/>
      <c r="N2748"/>
      <c r="O2748"/>
    </row>
    <row r="2749" spans="1:15" hidden="1" x14ac:dyDescent="0.25">
      <c r="A2749" t="s">
        <v>106</v>
      </c>
      <c r="B2749" t="s">
        <v>115</v>
      </c>
      <c r="C2749" t="b">
        <v>0</v>
      </c>
      <c r="D2749" s="1">
        <v>39630</v>
      </c>
      <c r="E2749">
        <v>5</v>
      </c>
      <c r="F2749"/>
      <c r="G2749"/>
      <c r="H2749"/>
      <c r="I2749"/>
      <c r="J2749"/>
      <c r="K2749"/>
      <c r="L2749"/>
      <c r="M2749"/>
      <c r="N2749"/>
      <c r="O2749"/>
    </row>
    <row r="2750" spans="1:15" hidden="1" x14ac:dyDescent="0.25">
      <c r="A2750" t="s">
        <v>23</v>
      </c>
      <c r="B2750" t="s">
        <v>115</v>
      </c>
      <c r="C2750" t="b">
        <v>0</v>
      </c>
      <c r="D2750" s="1">
        <v>39630</v>
      </c>
      <c r="E2750">
        <v>5</v>
      </c>
      <c r="F2750"/>
      <c r="G2750"/>
      <c r="H2750"/>
      <c r="I2750"/>
      <c r="J2750"/>
      <c r="K2750"/>
      <c r="L2750"/>
      <c r="M2750"/>
      <c r="N2750"/>
      <c r="O2750"/>
    </row>
    <row r="2751" spans="1:15" hidden="1" x14ac:dyDescent="0.25">
      <c r="A2751" t="s">
        <v>30</v>
      </c>
      <c r="B2751" t="s">
        <v>115</v>
      </c>
      <c r="C2751" t="b">
        <v>0</v>
      </c>
      <c r="D2751" s="1">
        <v>39630</v>
      </c>
      <c r="E2751">
        <v>5</v>
      </c>
      <c r="F2751"/>
      <c r="G2751"/>
      <c r="H2751"/>
      <c r="I2751"/>
      <c r="J2751"/>
      <c r="K2751"/>
      <c r="L2751"/>
      <c r="M2751"/>
      <c r="N2751"/>
      <c r="O2751"/>
    </row>
    <row r="2752" spans="1:15" hidden="1" x14ac:dyDescent="0.25">
      <c r="A2752" t="s">
        <v>37</v>
      </c>
      <c r="B2752" t="s">
        <v>115</v>
      </c>
      <c r="C2752" t="b">
        <v>0</v>
      </c>
      <c r="D2752" s="1">
        <v>39630</v>
      </c>
      <c r="E2752">
        <v>5</v>
      </c>
      <c r="F2752"/>
      <c r="G2752"/>
      <c r="H2752"/>
      <c r="I2752"/>
      <c r="J2752"/>
      <c r="K2752"/>
      <c r="L2752"/>
      <c r="M2752"/>
      <c r="N2752"/>
      <c r="O2752"/>
    </row>
    <row r="2753" spans="1:15" hidden="1" x14ac:dyDescent="0.25">
      <c r="A2753" t="s">
        <v>39</v>
      </c>
      <c r="B2753" t="s">
        <v>115</v>
      </c>
      <c r="C2753" t="b">
        <v>0</v>
      </c>
      <c r="D2753" s="1">
        <v>39630</v>
      </c>
      <c r="E2753">
        <v>5</v>
      </c>
      <c r="F2753"/>
      <c r="G2753"/>
      <c r="H2753"/>
      <c r="I2753"/>
      <c r="J2753"/>
      <c r="K2753"/>
      <c r="L2753"/>
      <c r="M2753"/>
      <c r="N2753"/>
      <c r="O2753"/>
    </row>
    <row r="2754" spans="1:15" hidden="1" x14ac:dyDescent="0.25">
      <c r="A2754" t="s">
        <v>58</v>
      </c>
      <c r="B2754" t="s">
        <v>115</v>
      </c>
      <c r="C2754" t="b">
        <v>0</v>
      </c>
      <c r="D2754" s="1">
        <v>39630</v>
      </c>
      <c r="E2754">
        <v>5</v>
      </c>
      <c r="F2754"/>
      <c r="G2754"/>
      <c r="H2754"/>
      <c r="I2754"/>
      <c r="J2754"/>
      <c r="K2754"/>
      <c r="L2754"/>
      <c r="M2754"/>
      <c r="N2754"/>
      <c r="O2754"/>
    </row>
    <row r="2755" spans="1:15" hidden="1" x14ac:dyDescent="0.25">
      <c r="A2755" t="s">
        <v>57</v>
      </c>
      <c r="B2755" t="s">
        <v>115</v>
      </c>
      <c r="C2755" t="b">
        <v>0</v>
      </c>
      <c r="D2755" s="1">
        <v>39630</v>
      </c>
      <c r="E2755">
        <v>5</v>
      </c>
      <c r="F2755"/>
      <c r="G2755"/>
      <c r="H2755"/>
      <c r="I2755"/>
      <c r="J2755"/>
      <c r="K2755"/>
      <c r="L2755"/>
      <c r="M2755"/>
      <c r="N2755"/>
      <c r="O2755"/>
    </row>
    <row r="2756" spans="1:15" hidden="1" x14ac:dyDescent="0.25">
      <c r="A2756" t="s">
        <v>69</v>
      </c>
      <c r="B2756" t="s">
        <v>115</v>
      </c>
      <c r="C2756" t="b">
        <v>0</v>
      </c>
      <c r="D2756" s="1">
        <v>39630</v>
      </c>
      <c r="E2756">
        <v>5</v>
      </c>
      <c r="F2756"/>
      <c r="G2756"/>
      <c r="H2756"/>
      <c r="I2756"/>
      <c r="J2756"/>
      <c r="K2756"/>
      <c r="L2756"/>
      <c r="M2756"/>
      <c r="N2756"/>
      <c r="O2756"/>
    </row>
    <row r="2757" spans="1:15" hidden="1" x14ac:dyDescent="0.25">
      <c r="A2757" t="s">
        <v>71</v>
      </c>
      <c r="B2757" t="s">
        <v>115</v>
      </c>
      <c r="C2757" t="b">
        <v>0</v>
      </c>
      <c r="D2757" s="1">
        <v>39630</v>
      </c>
      <c r="E2757">
        <v>5</v>
      </c>
      <c r="F2757"/>
      <c r="G2757"/>
      <c r="H2757"/>
      <c r="I2757"/>
      <c r="J2757"/>
      <c r="K2757"/>
      <c r="L2757"/>
      <c r="M2757"/>
      <c r="N2757"/>
      <c r="O2757"/>
    </row>
    <row r="2758" spans="1:15" hidden="1" x14ac:dyDescent="0.25">
      <c r="A2758" t="s">
        <v>77</v>
      </c>
      <c r="B2758" t="s">
        <v>115</v>
      </c>
      <c r="C2758" t="b">
        <v>0</v>
      </c>
      <c r="D2758" s="1">
        <v>39630</v>
      </c>
      <c r="E2758">
        <v>5</v>
      </c>
      <c r="F2758"/>
      <c r="G2758"/>
      <c r="H2758"/>
      <c r="I2758"/>
      <c r="J2758"/>
      <c r="K2758"/>
      <c r="L2758"/>
      <c r="M2758"/>
      <c r="N2758"/>
      <c r="O2758"/>
    </row>
    <row r="2759" spans="1:15" hidden="1" x14ac:dyDescent="0.25">
      <c r="A2759" t="s">
        <v>86</v>
      </c>
      <c r="B2759" t="s">
        <v>115</v>
      </c>
      <c r="C2759" t="b">
        <v>0</v>
      </c>
      <c r="D2759" s="1">
        <v>39630</v>
      </c>
      <c r="E2759">
        <v>5</v>
      </c>
      <c r="F2759"/>
      <c r="G2759"/>
      <c r="H2759"/>
      <c r="I2759"/>
      <c r="J2759"/>
      <c r="K2759"/>
      <c r="L2759"/>
      <c r="M2759"/>
      <c r="N2759"/>
      <c r="O2759"/>
    </row>
    <row r="2760" spans="1:15" hidden="1" x14ac:dyDescent="0.25">
      <c r="A2760" t="s">
        <v>90</v>
      </c>
      <c r="B2760" t="s">
        <v>115</v>
      </c>
      <c r="C2760" t="b">
        <v>0</v>
      </c>
      <c r="D2760" s="1">
        <v>39630</v>
      </c>
      <c r="E2760">
        <v>5</v>
      </c>
      <c r="F2760"/>
      <c r="G2760"/>
      <c r="H2760"/>
      <c r="I2760"/>
      <c r="J2760"/>
      <c r="K2760"/>
      <c r="L2760"/>
      <c r="M2760"/>
      <c r="N2760"/>
      <c r="O2760"/>
    </row>
    <row r="2761" spans="1:15" hidden="1" x14ac:dyDescent="0.25">
      <c r="A2761" t="s">
        <v>99</v>
      </c>
      <c r="B2761" t="s">
        <v>114</v>
      </c>
      <c r="C2761" t="b">
        <v>0</v>
      </c>
      <c r="D2761" s="1">
        <v>39630</v>
      </c>
      <c r="E2761">
        <v>20.9</v>
      </c>
      <c r="F2761"/>
      <c r="G2761"/>
      <c r="H2761"/>
      <c r="I2761"/>
      <c r="J2761"/>
      <c r="K2761"/>
      <c r="L2761"/>
      <c r="M2761"/>
      <c r="N2761"/>
      <c r="O2761"/>
    </row>
    <row r="2762" spans="1:15" hidden="1" x14ac:dyDescent="0.25">
      <c r="A2762" t="s">
        <v>100</v>
      </c>
      <c r="B2762" t="s">
        <v>117</v>
      </c>
      <c r="C2762" t="b">
        <v>0</v>
      </c>
      <c r="D2762" s="1">
        <v>39661</v>
      </c>
      <c r="E2762" s="2">
        <v>-130</v>
      </c>
      <c r="F2762"/>
      <c r="G2762"/>
      <c r="H2762"/>
      <c r="I2762"/>
      <c r="J2762"/>
      <c r="K2762"/>
      <c r="L2762"/>
      <c r="M2762"/>
      <c r="N2762"/>
      <c r="O2762"/>
    </row>
    <row r="2763" spans="1:15" hidden="1" x14ac:dyDescent="0.25">
      <c r="A2763" t="s">
        <v>103</v>
      </c>
      <c r="B2763" t="s">
        <v>117</v>
      </c>
      <c r="C2763" t="b">
        <v>0</v>
      </c>
      <c r="D2763" s="1">
        <v>39661</v>
      </c>
      <c r="E2763" s="2">
        <v>-40.459999999999994</v>
      </c>
      <c r="F2763"/>
      <c r="G2763"/>
      <c r="H2763"/>
      <c r="I2763"/>
      <c r="J2763"/>
      <c r="K2763"/>
      <c r="L2763"/>
      <c r="M2763"/>
      <c r="N2763"/>
      <c r="O2763"/>
    </row>
    <row r="2764" spans="1:15" hidden="1" x14ac:dyDescent="0.25">
      <c r="A2764" t="s">
        <v>101</v>
      </c>
      <c r="B2764" t="s">
        <v>117</v>
      </c>
      <c r="C2764" t="b">
        <v>0</v>
      </c>
      <c r="D2764" s="1">
        <v>39661</v>
      </c>
      <c r="E2764" s="2">
        <v>-0.44</v>
      </c>
      <c r="F2764"/>
      <c r="G2764"/>
      <c r="H2764"/>
      <c r="I2764"/>
      <c r="J2764"/>
      <c r="K2764"/>
      <c r="L2764"/>
      <c r="M2764"/>
      <c r="N2764"/>
      <c r="O2764"/>
    </row>
    <row r="2765" spans="1:15" hidden="1" x14ac:dyDescent="0.25">
      <c r="A2765" t="s">
        <v>14</v>
      </c>
      <c r="B2765" t="s">
        <v>115</v>
      </c>
      <c r="C2765" t="b">
        <v>0</v>
      </c>
      <c r="D2765" s="1">
        <v>39661</v>
      </c>
      <c r="E2765">
        <v>5</v>
      </c>
      <c r="F2765"/>
      <c r="G2765"/>
      <c r="H2765"/>
      <c r="I2765"/>
      <c r="J2765"/>
      <c r="K2765"/>
      <c r="L2765"/>
      <c r="M2765"/>
      <c r="N2765"/>
      <c r="O2765"/>
    </row>
    <row r="2766" spans="1:15" hidden="1" x14ac:dyDescent="0.25">
      <c r="A2766" t="s">
        <v>106</v>
      </c>
      <c r="B2766" t="s">
        <v>115</v>
      </c>
      <c r="C2766" t="b">
        <v>0</v>
      </c>
      <c r="D2766" s="1">
        <v>39661</v>
      </c>
      <c r="E2766">
        <v>5</v>
      </c>
      <c r="F2766"/>
      <c r="G2766"/>
      <c r="H2766"/>
      <c r="I2766"/>
      <c r="J2766"/>
      <c r="K2766"/>
      <c r="L2766"/>
      <c r="M2766"/>
      <c r="N2766"/>
      <c r="O2766"/>
    </row>
    <row r="2767" spans="1:15" hidden="1" x14ac:dyDescent="0.25">
      <c r="A2767" t="s">
        <v>106</v>
      </c>
      <c r="B2767" t="s">
        <v>115</v>
      </c>
      <c r="C2767" t="b">
        <v>0</v>
      </c>
      <c r="D2767" s="1">
        <v>39661</v>
      </c>
      <c r="E2767">
        <v>5</v>
      </c>
      <c r="F2767"/>
      <c r="G2767"/>
      <c r="H2767"/>
      <c r="I2767"/>
      <c r="J2767"/>
      <c r="K2767"/>
      <c r="L2767"/>
      <c r="M2767"/>
      <c r="N2767"/>
      <c r="O2767"/>
    </row>
    <row r="2768" spans="1:15" hidden="1" x14ac:dyDescent="0.25">
      <c r="A2768" t="s">
        <v>23</v>
      </c>
      <c r="B2768" t="s">
        <v>115</v>
      </c>
      <c r="C2768" t="b">
        <v>0</v>
      </c>
      <c r="D2768" s="1">
        <v>39661</v>
      </c>
      <c r="E2768">
        <v>5</v>
      </c>
      <c r="F2768"/>
      <c r="G2768"/>
      <c r="H2768"/>
      <c r="I2768"/>
      <c r="J2768"/>
      <c r="K2768"/>
      <c r="L2768"/>
      <c r="M2768"/>
      <c r="N2768"/>
      <c r="O2768"/>
    </row>
    <row r="2769" spans="1:15" hidden="1" x14ac:dyDescent="0.25">
      <c r="A2769" t="s">
        <v>30</v>
      </c>
      <c r="B2769" t="s">
        <v>115</v>
      </c>
      <c r="C2769" t="b">
        <v>0</v>
      </c>
      <c r="D2769" s="1">
        <v>39661</v>
      </c>
      <c r="E2769">
        <v>5</v>
      </c>
      <c r="F2769"/>
      <c r="G2769"/>
      <c r="H2769"/>
      <c r="I2769"/>
      <c r="J2769"/>
      <c r="K2769"/>
      <c r="L2769"/>
      <c r="M2769"/>
      <c r="N2769"/>
      <c r="O2769"/>
    </row>
    <row r="2770" spans="1:15" hidden="1" x14ac:dyDescent="0.25">
      <c r="A2770" t="s">
        <v>37</v>
      </c>
      <c r="B2770" t="s">
        <v>115</v>
      </c>
      <c r="C2770" t="b">
        <v>0</v>
      </c>
      <c r="D2770" s="1">
        <v>39661</v>
      </c>
      <c r="E2770">
        <v>5</v>
      </c>
      <c r="F2770"/>
      <c r="G2770"/>
      <c r="H2770"/>
      <c r="I2770"/>
      <c r="J2770"/>
      <c r="K2770"/>
      <c r="L2770"/>
      <c r="M2770"/>
      <c r="N2770"/>
      <c r="O2770"/>
    </row>
    <row r="2771" spans="1:15" hidden="1" x14ac:dyDescent="0.25">
      <c r="A2771" t="s">
        <v>58</v>
      </c>
      <c r="B2771" t="s">
        <v>115</v>
      </c>
      <c r="C2771" t="b">
        <v>0</v>
      </c>
      <c r="D2771" s="1">
        <v>39661</v>
      </c>
      <c r="E2771">
        <v>5</v>
      </c>
      <c r="F2771"/>
      <c r="G2771"/>
      <c r="H2771"/>
      <c r="I2771"/>
      <c r="J2771"/>
      <c r="K2771"/>
      <c r="L2771"/>
      <c r="M2771"/>
      <c r="N2771"/>
      <c r="O2771"/>
    </row>
    <row r="2772" spans="1:15" hidden="1" x14ac:dyDescent="0.25">
      <c r="A2772" t="s">
        <v>57</v>
      </c>
      <c r="B2772" t="s">
        <v>115</v>
      </c>
      <c r="C2772" t="b">
        <v>0</v>
      </c>
      <c r="D2772" s="1">
        <v>39661</v>
      </c>
      <c r="E2772">
        <v>5</v>
      </c>
      <c r="F2772"/>
      <c r="G2772"/>
      <c r="H2772"/>
      <c r="I2772"/>
      <c r="J2772"/>
      <c r="K2772"/>
      <c r="L2772"/>
      <c r="M2772"/>
      <c r="N2772"/>
      <c r="O2772"/>
    </row>
    <row r="2773" spans="1:15" hidden="1" x14ac:dyDescent="0.25">
      <c r="A2773" t="s">
        <v>69</v>
      </c>
      <c r="B2773" t="s">
        <v>115</v>
      </c>
      <c r="C2773" t="b">
        <v>0</v>
      </c>
      <c r="D2773" s="1">
        <v>39661</v>
      </c>
      <c r="E2773">
        <v>5</v>
      </c>
      <c r="F2773"/>
      <c r="G2773"/>
      <c r="H2773"/>
      <c r="I2773"/>
      <c r="J2773"/>
      <c r="K2773"/>
      <c r="L2773"/>
      <c r="M2773"/>
      <c r="N2773"/>
      <c r="O2773"/>
    </row>
    <row r="2774" spans="1:15" hidden="1" x14ac:dyDescent="0.25">
      <c r="A2774" t="s">
        <v>71</v>
      </c>
      <c r="B2774" t="s">
        <v>115</v>
      </c>
      <c r="C2774" t="b">
        <v>0</v>
      </c>
      <c r="D2774" s="1">
        <v>39661</v>
      </c>
      <c r="E2774">
        <v>5</v>
      </c>
      <c r="F2774"/>
      <c r="G2774"/>
      <c r="H2774"/>
      <c r="I2774"/>
      <c r="J2774"/>
      <c r="K2774"/>
      <c r="L2774"/>
      <c r="M2774"/>
      <c r="N2774"/>
      <c r="O2774"/>
    </row>
    <row r="2775" spans="1:15" hidden="1" x14ac:dyDescent="0.25">
      <c r="A2775" t="s">
        <v>77</v>
      </c>
      <c r="B2775" t="s">
        <v>115</v>
      </c>
      <c r="C2775" t="b">
        <v>0</v>
      </c>
      <c r="D2775" s="1">
        <v>39661</v>
      </c>
      <c r="E2775">
        <v>5</v>
      </c>
      <c r="F2775"/>
      <c r="G2775"/>
      <c r="H2775"/>
      <c r="I2775"/>
      <c r="J2775"/>
      <c r="K2775"/>
      <c r="L2775"/>
      <c r="M2775"/>
      <c r="N2775"/>
      <c r="O2775"/>
    </row>
    <row r="2776" spans="1:15" hidden="1" x14ac:dyDescent="0.25">
      <c r="A2776" t="s">
        <v>86</v>
      </c>
      <c r="B2776" t="s">
        <v>115</v>
      </c>
      <c r="C2776" t="b">
        <v>0</v>
      </c>
      <c r="D2776" s="1">
        <v>39661</v>
      </c>
      <c r="E2776">
        <v>5</v>
      </c>
      <c r="F2776"/>
      <c r="G2776"/>
      <c r="H2776"/>
      <c r="I2776"/>
      <c r="J2776"/>
      <c r="K2776"/>
      <c r="L2776"/>
      <c r="M2776"/>
      <c r="N2776"/>
      <c r="O2776"/>
    </row>
    <row r="2777" spans="1:15" hidden="1" x14ac:dyDescent="0.25">
      <c r="A2777" t="s">
        <v>90</v>
      </c>
      <c r="B2777" t="s">
        <v>115</v>
      </c>
      <c r="C2777" t="b">
        <v>0</v>
      </c>
      <c r="D2777" s="1">
        <v>39661</v>
      </c>
      <c r="E2777">
        <v>5</v>
      </c>
      <c r="F2777"/>
      <c r="G2777"/>
      <c r="H2777"/>
      <c r="I2777"/>
      <c r="J2777"/>
      <c r="K2777"/>
      <c r="L2777"/>
      <c r="M2777"/>
      <c r="N2777"/>
      <c r="O2777"/>
    </row>
    <row r="2778" spans="1:15" hidden="1" x14ac:dyDescent="0.25">
      <c r="A2778" t="s">
        <v>99</v>
      </c>
      <c r="B2778" t="s">
        <v>114</v>
      </c>
      <c r="C2778" t="b">
        <v>0</v>
      </c>
      <c r="D2778" s="1">
        <v>39661</v>
      </c>
      <c r="E2778">
        <v>29.35</v>
      </c>
      <c r="F2778"/>
      <c r="G2778"/>
      <c r="H2778"/>
      <c r="I2778"/>
      <c r="J2778"/>
      <c r="K2778"/>
      <c r="L2778"/>
      <c r="M2778"/>
      <c r="N2778"/>
      <c r="O2778"/>
    </row>
    <row r="2779" spans="1:15" hidden="1" x14ac:dyDescent="0.25">
      <c r="A2779" t="s">
        <v>100</v>
      </c>
      <c r="B2779" t="s">
        <v>117</v>
      </c>
      <c r="C2779" t="b">
        <v>0</v>
      </c>
      <c r="D2779" s="1">
        <v>39692</v>
      </c>
      <c r="E2779" s="2">
        <v>-108.06</v>
      </c>
      <c r="F2779"/>
      <c r="G2779"/>
      <c r="H2779"/>
      <c r="I2779"/>
      <c r="J2779"/>
      <c r="K2779"/>
      <c r="L2779"/>
      <c r="M2779"/>
      <c r="N2779"/>
      <c r="O2779"/>
    </row>
    <row r="2780" spans="1:15" hidden="1" x14ac:dyDescent="0.25">
      <c r="A2780" t="s">
        <v>14</v>
      </c>
      <c r="B2780" t="s">
        <v>115</v>
      </c>
      <c r="C2780" t="b">
        <v>0</v>
      </c>
      <c r="D2780" s="1">
        <v>39692</v>
      </c>
      <c r="E2780">
        <v>5</v>
      </c>
      <c r="F2780"/>
      <c r="G2780"/>
      <c r="H2780"/>
      <c r="I2780"/>
      <c r="J2780"/>
      <c r="K2780"/>
      <c r="L2780"/>
      <c r="M2780"/>
      <c r="N2780"/>
      <c r="O2780"/>
    </row>
    <row r="2781" spans="1:15" hidden="1" x14ac:dyDescent="0.25">
      <c r="A2781" t="s">
        <v>106</v>
      </c>
      <c r="B2781" t="s">
        <v>115</v>
      </c>
      <c r="C2781" t="b">
        <v>0</v>
      </c>
      <c r="D2781" s="1">
        <v>39692</v>
      </c>
      <c r="E2781">
        <v>5</v>
      </c>
      <c r="F2781"/>
      <c r="G2781"/>
      <c r="H2781"/>
      <c r="I2781"/>
      <c r="J2781"/>
      <c r="K2781"/>
      <c r="L2781"/>
      <c r="M2781"/>
      <c r="N2781"/>
      <c r="O2781"/>
    </row>
    <row r="2782" spans="1:15" hidden="1" x14ac:dyDescent="0.25">
      <c r="A2782" t="s">
        <v>106</v>
      </c>
      <c r="B2782" t="s">
        <v>115</v>
      </c>
      <c r="C2782" t="b">
        <v>0</v>
      </c>
      <c r="D2782" s="1">
        <v>39692</v>
      </c>
      <c r="E2782">
        <v>5</v>
      </c>
      <c r="F2782"/>
      <c r="G2782"/>
      <c r="H2782"/>
      <c r="I2782"/>
      <c r="J2782"/>
      <c r="K2782"/>
      <c r="L2782"/>
      <c r="M2782"/>
      <c r="N2782"/>
      <c r="O2782"/>
    </row>
    <row r="2783" spans="1:15" hidden="1" x14ac:dyDescent="0.25">
      <c r="A2783" t="s">
        <v>30</v>
      </c>
      <c r="B2783" t="s">
        <v>115</v>
      </c>
      <c r="C2783" t="b">
        <v>0</v>
      </c>
      <c r="D2783" s="1">
        <v>39692</v>
      </c>
      <c r="E2783">
        <v>5</v>
      </c>
      <c r="F2783"/>
      <c r="G2783"/>
      <c r="H2783"/>
      <c r="I2783"/>
      <c r="J2783"/>
      <c r="K2783"/>
      <c r="L2783"/>
      <c r="M2783"/>
      <c r="N2783"/>
      <c r="O2783"/>
    </row>
    <row r="2784" spans="1:15" hidden="1" x14ac:dyDescent="0.25">
      <c r="A2784" t="s">
        <v>37</v>
      </c>
      <c r="B2784" t="s">
        <v>115</v>
      </c>
      <c r="C2784" t="b">
        <v>0</v>
      </c>
      <c r="D2784" s="1">
        <v>39692</v>
      </c>
      <c r="E2784">
        <v>5</v>
      </c>
      <c r="F2784"/>
      <c r="G2784"/>
      <c r="H2784"/>
      <c r="I2784"/>
      <c r="J2784"/>
      <c r="K2784"/>
      <c r="L2784"/>
      <c r="M2784"/>
      <c r="N2784"/>
      <c r="O2784"/>
    </row>
    <row r="2785" spans="1:15" hidden="1" x14ac:dyDescent="0.25">
      <c r="A2785" t="s">
        <v>39</v>
      </c>
      <c r="B2785" t="s">
        <v>115</v>
      </c>
      <c r="C2785" t="b">
        <v>0</v>
      </c>
      <c r="D2785" s="1">
        <v>39692</v>
      </c>
      <c r="E2785">
        <v>5</v>
      </c>
      <c r="F2785"/>
      <c r="G2785"/>
      <c r="H2785"/>
      <c r="I2785"/>
      <c r="J2785"/>
      <c r="K2785"/>
      <c r="L2785"/>
      <c r="M2785"/>
      <c r="N2785"/>
      <c r="O2785"/>
    </row>
    <row r="2786" spans="1:15" hidden="1" x14ac:dyDescent="0.25">
      <c r="A2786" t="s">
        <v>58</v>
      </c>
      <c r="B2786" t="s">
        <v>115</v>
      </c>
      <c r="C2786" t="b">
        <v>0</v>
      </c>
      <c r="D2786" s="1">
        <v>39692</v>
      </c>
      <c r="E2786">
        <v>5</v>
      </c>
      <c r="F2786"/>
      <c r="G2786"/>
      <c r="H2786"/>
      <c r="I2786"/>
      <c r="J2786"/>
      <c r="K2786"/>
      <c r="L2786"/>
      <c r="M2786"/>
      <c r="N2786"/>
      <c r="O2786"/>
    </row>
    <row r="2787" spans="1:15" hidden="1" x14ac:dyDescent="0.25">
      <c r="A2787" t="s">
        <v>57</v>
      </c>
      <c r="B2787" t="s">
        <v>115</v>
      </c>
      <c r="C2787" t="b">
        <v>0</v>
      </c>
      <c r="D2787" s="1">
        <v>39692</v>
      </c>
      <c r="E2787">
        <v>5</v>
      </c>
      <c r="F2787"/>
      <c r="G2787"/>
      <c r="H2787"/>
      <c r="I2787"/>
      <c r="J2787"/>
      <c r="K2787"/>
      <c r="L2787"/>
      <c r="M2787"/>
      <c r="N2787"/>
      <c r="O2787"/>
    </row>
    <row r="2788" spans="1:15" hidden="1" x14ac:dyDescent="0.25">
      <c r="A2788" t="s">
        <v>69</v>
      </c>
      <c r="B2788" t="s">
        <v>115</v>
      </c>
      <c r="C2788" t="b">
        <v>0</v>
      </c>
      <c r="D2788" s="1">
        <v>39692</v>
      </c>
      <c r="E2788">
        <v>5</v>
      </c>
      <c r="F2788"/>
      <c r="G2788"/>
      <c r="H2788"/>
      <c r="I2788"/>
      <c r="J2788"/>
      <c r="K2788"/>
      <c r="L2788"/>
      <c r="M2788"/>
      <c r="N2788"/>
      <c r="O2788"/>
    </row>
    <row r="2789" spans="1:15" hidden="1" x14ac:dyDescent="0.25">
      <c r="A2789" t="s">
        <v>71</v>
      </c>
      <c r="B2789" t="s">
        <v>115</v>
      </c>
      <c r="C2789" t="b">
        <v>0</v>
      </c>
      <c r="D2789" s="1">
        <v>39692</v>
      </c>
      <c r="E2789">
        <v>5</v>
      </c>
      <c r="F2789"/>
      <c r="G2789"/>
      <c r="H2789"/>
      <c r="I2789"/>
      <c r="J2789"/>
      <c r="K2789"/>
      <c r="L2789"/>
      <c r="M2789"/>
      <c r="N2789"/>
      <c r="O2789"/>
    </row>
    <row r="2790" spans="1:15" hidden="1" x14ac:dyDescent="0.25">
      <c r="A2790" t="s">
        <v>86</v>
      </c>
      <c r="B2790" t="s">
        <v>115</v>
      </c>
      <c r="C2790" t="b">
        <v>0</v>
      </c>
      <c r="D2790" s="1">
        <v>39692</v>
      </c>
      <c r="E2790">
        <v>5</v>
      </c>
      <c r="F2790"/>
      <c r="G2790"/>
      <c r="H2790"/>
      <c r="I2790"/>
      <c r="J2790"/>
      <c r="K2790"/>
      <c r="L2790"/>
      <c r="M2790"/>
      <c r="N2790"/>
      <c r="O2790"/>
    </row>
    <row r="2791" spans="1:15" hidden="1" x14ac:dyDescent="0.25">
      <c r="A2791" t="s">
        <v>90</v>
      </c>
      <c r="B2791" t="s">
        <v>115</v>
      </c>
      <c r="C2791" t="b">
        <v>0</v>
      </c>
      <c r="D2791" s="1">
        <v>39692</v>
      </c>
      <c r="E2791">
        <v>5</v>
      </c>
      <c r="F2791"/>
      <c r="G2791"/>
      <c r="H2791"/>
      <c r="I2791"/>
      <c r="J2791"/>
      <c r="K2791"/>
      <c r="L2791"/>
      <c r="M2791"/>
      <c r="N2791"/>
      <c r="O2791"/>
    </row>
    <row r="2792" spans="1:15" hidden="1" x14ac:dyDescent="0.25">
      <c r="A2792" t="s">
        <v>99</v>
      </c>
      <c r="B2792" t="s">
        <v>114</v>
      </c>
      <c r="C2792" t="b">
        <v>0</v>
      </c>
      <c r="D2792" s="1">
        <v>39692</v>
      </c>
      <c r="E2792">
        <v>35.85</v>
      </c>
      <c r="F2792"/>
      <c r="G2792"/>
      <c r="H2792"/>
      <c r="I2792"/>
      <c r="J2792"/>
      <c r="K2792"/>
      <c r="L2792"/>
      <c r="M2792"/>
      <c r="N2792"/>
      <c r="O2792"/>
    </row>
    <row r="2793" spans="1:15" hidden="1" x14ac:dyDescent="0.25">
      <c r="A2793" t="s">
        <v>100</v>
      </c>
      <c r="B2793" t="s">
        <v>117</v>
      </c>
      <c r="C2793" t="b">
        <v>0</v>
      </c>
      <c r="D2793" s="1">
        <v>39722</v>
      </c>
      <c r="E2793" s="2">
        <v>-125.08000000000001</v>
      </c>
      <c r="F2793"/>
      <c r="G2793"/>
      <c r="H2793"/>
      <c r="I2793"/>
      <c r="J2793"/>
      <c r="K2793"/>
      <c r="L2793"/>
      <c r="M2793"/>
      <c r="N2793"/>
      <c r="O2793"/>
    </row>
    <row r="2794" spans="1:15" hidden="1" x14ac:dyDescent="0.25">
      <c r="A2794" t="s">
        <v>103</v>
      </c>
      <c r="B2794" t="s">
        <v>117</v>
      </c>
      <c r="C2794" t="b">
        <v>0</v>
      </c>
      <c r="D2794" s="1">
        <v>39722</v>
      </c>
      <c r="E2794" s="2">
        <v>-0.66</v>
      </c>
      <c r="F2794"/>
      <c r="G2794"/>
      <c r="H2794"/>
      <c r="I2794"/>
      <c r="J2794"/>
      <c r="K2794"/>
      <c r="L2794"/>
      <c r="M2794"/>
      <c r="N2794"/>
      <c r="O2794"/>
    </row>
    <row r="2795" spans="1:15" hidden="1" x14ac:dyDescent="0.25">
      <c r="A2795" t="s">
        <v>14</v>
      </c>
      <c r="B2795" t="s">
        <v>115</v>
      </c>
      <c r="C2795" t="b">
        <v>0</v>
      </c>
      <c r="D2795" s="1">
        <v>39722</v>
      </c>
      <c r="E2795">
        <v>5</v>
      </c>
      <c r="F2795"/>
      <c r="G2795"/>
      <c r="H2795"/>
      <c r="I2795"/>
      <c r="J2795"/>
      <c r="K2795"/>
      <c r="L2795"/>
      <c r="M2795"/>
      <c r="N2795"/>
      <c r="O2795"/>
    </row>
    <row r="2796" spans="1:15" hidden="1" x14ac:dyDescent="0.25">
      <c r="A2796" t="s">
        <v>106</v>
      </c>
      <c r="B2796" t="s">
        <v>115</v>
      </c>
      <c r="C2796" t="b">
        <v>0</v>
      </c>
      <c r="D2796" s="1">
        <v>39722</v>
      </c>
      <c r="E2796">
        <v>5</v>
      </c>
      <c r="F2796"/>
      <c r="G2796"/>
      <c r="H2796"/>
      <c r="I2796"/>
      <c r="J2796"/>
      <c r="K2796"/>
      <c r="L2796"/>
      <c r="M2796"/>
      <c r="N2796"/>
      <c r="O2796"/>
    </row>
    <row r="2797" spans="1:15" hidden="1" x14ac:dyDescent="0.25">
      <c r="A2797" t="s">
        <v>30</v>
      </c>
      <c r="B2797" t="s">
        <v>115</v>
      </c>
      <c r="C2797" t="b">
        <v>0</v>
      </c>
      <c r="D2797" s="1">
        <v>39722</v>
      </c>
      <c r="E2797">
        <v>5</v>
      </c>
      <c r="F2797"/>
      <c r="G2797"/>
      <c r="H2797"/>
      <c r="I2797"/>
      <c r="J2797"/>
      <c r="K2797"/>
      <c r="L2797"/>
      <c r="M2797"/>
      <c r="N2797"/>
      <c r="O2797"/>
    </row>
    <row r="2798" spans="1:15" hidden="1" x14ac:dyDescent="0.25">
      <c r="A2798" t="s">
        <v>37</v>
      </c>
      <c r="B2798" t="s">
        <v>115</v>
      </c>
      <c r="C2798" t="b">
        <v>0</v>
      </c>
      <c r="D2798" s="1">
        <v>39722</v>
      </c>
      <c r="E2798">
        <v>5</v>
      </c>
      <c r="F2798"/>
      <c r="G2798"/>
      <c r="H2798"/>
      <c r="I2798"/>
      <c r="J2798"/>
      <c r="K2798"/>
      <c r="L2798"/>
      <c r="M2798"/>
      <c r="N2798"/>
      <c r="O2798"/>
    </row>
    <row r="2799" spans="1:15" hidden="1" x14ac:dyDescent="0.25">
      <c r="A2799" t="s">
        <v>39</v>
      </c>
      <c r="B2799" t="s">
        <v>115</v>
      </c>
      <c r="C2799" t="b">
        <v>0</v>
      </c>
      <c r="D2799" s="1">
        <v>39722</v>
      </c>
      <c r="E2799">
        <v>5</v>
      </c>
      <c r="F2799"/>
      <c r="G2799"/>
      <c r="H2799"/>
      <c r="I2799"/>
      <c r="J2799"/>
      <c r="K2799"/>
      <c r="L2799"/>
      <c r="M2799"/>
      <c r="N2799"/>
      <c r="O2799"/>
    </row>
    <row r="2800" spans="1:15" hidden="1" x14ac:dyDescent="0.25">
      <c r="A2800" t="s">
        <v>58</v>
      </c>
      <c r="B2800" t="s">
        <v>115</v>
      </c>
      <c r="C2800" t="b">
        <v>0</v>
      </c>
      <c r="D2800" s="1">
        <v>39722</v>
      </c>
      <c r="E2800">
        <v>5</v>
      </c>
      <c r="F2800"/>
      <c r="G2800"/>
      <c r="H2800"/>
      <c r="I2800"/>
      <c r="J2800"/>
      <c r="K2800"/>
      <c r="L2800"/>
      <c r="M2800"/>
      <c r="N2800"/>
      <c r="O2800"/>
    </row>
    <row r="2801" spans="1:15" hidden="1" x14ac:dyDescent="0.25">
      <c r="A2801" t="s">
        <v>57</v>
      </c>
      <c r="B2801" t="s">
        <v>115</v>
      </c>
      <c r="C2801" t="b">
        <v>0</v>
      </c>
      <c r="D2801" s="1">
        <v>39722</v>
      </c>
      <c r="E2801">
        <v>5</v>
      </c>
      <c r="F2801"/>
      <c r="G2801"/>
      <c r="H2801"/>
      <c r="I2801"/>
      <c r="J2801"/>
      <c r="K2801"/>
      <c r="L2801"/>
      <c r="M2801"/>
      <c r="N2801"/>
      <c r="O2801"/>
    </row>
    <row r="2802" spans="1:15" hidden="1" x14ac:dyDescent="0.25">
      <c r="A2802" t="s">
        <v>69</v>
      </c>
      <c r="B2802" t="s">
        <v>115</v>
      </c>
      <c r="C2802" t="b">
        <v>0</v>
      </c>
      <c r="D2802" s="1">
        <v>39722</v>
      </c>
      <c r="E2802">
        <v>5</v>
      </c>
      <c r="F2802"/>
      <c r="G2802"/>
      <c r="H2802"/>
      <c r="I2802"/>
      <c r="J2802"/>
      <c r="K2802"/>
      <c r="L2802"/>
      <c r="M2802"/>
      <c r="N2802"/>
      <c r="O2802"/>
    </row>
    <row r="2803" spans="1:15" hidden="1" x14ac:dyDescent="0.25">
      <c r="A2803" t="s">
        <v>70</v>
      </c>
      <c r="B2803" t="s">
        <v>115</v>
      </c>
      <c r="C2803" t="b">
        <v>0</v>
      </c>
      <c r="D2803" s="1">
        <v>39722</v>
      </c>
      <c r="E2803">
        <v>5</v>
      </c>
      <c r="F2803"/>
      <c r="G2803"/>
      <c r="H2803"/>
      <c r="I2803"/>
      <c r="J2803"/>
      <c r="K2803"/>
      <c r="L2803"/>
      <c r="M2803"/>
      <c r="N2803"/>
      <c r="O2803"/>
    </row>
    <row r="2804" spans="1:15" hidden="1" x14ac:dyDescent="0.25">
      <c r="A2804" t="s">
        <v>71</v>
      </c>
      <c r="B2804" t="s">
        <v>115</v>
      </c>
      <c r="C2804" t="b">
        <v>0</v>
      </c>
      <c r="D2804" s="1">
        <v>39722</v>
      </c>
      <c r="E2804">
        <v>5</v>
      </c>
      <c r="F2804"/>
      <c r="G2804"/>
      <c r="H2804"/>
      <c r="I2804"/>
      <c r="J2804"/>
      <c r="K2804"/>
      <c r="L2804"/>
      <c r="M2804"/>
      <c r="N2804"/>
      <c r="O2804"/>
    </row>
    <row r="2805" spans="1:15" hidden="1" x14ac:dyDescent="0.25">
      <c r="A2805" t="s">
        <v>77</v>
      </c>
      <c r="B2805" t="s">
        <v>115</v>
      </c>
      <c r="C2805" t="b">
        <v>0</v>
      </c>
      <c r="D2805" s="1">
        <v>39722</v>
      </c>
      <c r="E2805">
        <v>2.5</v>
      </c>
      <c r="F2805"/>
      <c r="G2805"/>
      <c r="H2805"/>
      <c r="I2805"/>
      <c r="J2805"/>
      <c r="K2805"/>
      <c r="L2805"/>
      <c r="M2805"/>
      <c r="N2805"/>
      <c r="O2805"/>
    </row>
    <row r="2806" spans="1:15" hidden="1" x14ac:dyDescent="0.25">
      <c r="A2806" t="s">
        <v>86</v>
      </c>
      <c r="B2806" t="s">
        <v>115</v>
      </c>
      <c r="C2806" t="b">
        <v>0</v>
      </c>
      <c r="D2806" s="1">
        <v>39722</v>
      </c>
      <c r="E2806">
        <v>5</v>
      </c>
      <c r="F2806"/>
      <c r="G2806"/>
      <c r="H2806"/>
      <c r="I2806"/>
      <c r="J2806"/>
      <c r="K2806"/>
      <c r="L2806"/>
      <c r="M2806"/>
      <c r="N2806"/>
      <c r="O2806"/>
    </row>
    <row r="2807" spans="1:15" hidden="1" x14ac:dyDescent="0.25">
      <c r="A2807" t="s">
        <v>90</v>
      </c>
      <c r="B2807" t="s">
        <v>115</v>
      </c>
      <c r="C2807" t="b">
        <v>0</v>
      </c>
      <c r="D2807" s="1">
        <v>39722</v>
      </c>
      <c r="E2807">
        <v>5</v>
      </c>
      <c r="F2807"/>
      <c r="G2807"/>
      <c r="H2807"/>
      <c r="I2807"/>
      <c r="J2807"/>
      <c r="K2807"/>
      <c r="L2807"/>
      <c r="M2807"/>
      <c r="N2807"/>
      <c r="O2807"/>
    </row>
    <row r="2808" spans="1:15" hidden="1" x14ac:dyDescent="0.25">
      <c r="A2808" t="s">
        <v>99</v>
      </c>
      <c r="B2808" t="s">
        <v>114</v>
      </c>
      <c r="C2808" t="b">
        <v>0</v>
      </c>
      <c r="D2808" s="1">
        <v>39722</v>
      </c>
      <c r="E2808">
        <v>12.6</v>
      </c>
      <c r="F2808"/>
      <c r="G2808"/>
      <c r="H2808"/>
      <c r="I2808"/>
      <c r="J2808"/>
      <c r="K2808"/>
      <c r="L2808"/>
      <c r="M2808"/>
      <c r="N2808"/>
      <c r="O2808"/>
    </row>
    <row r="2809" spans="1:15" hidden="1" x14ac:dyDescent="0.25">
      <c r="A2809" t="s">
        <v>100</v>
      </c>
      <c r="B2809" t="s">
        <v>117</v>
      </c>
      <c r="C2809" t="b">
        <v>0</v>
      </c>
      <c r="D2809" s="1">
        <v>39753</v>
      </c>
      <c r="E2809" s="2">
        <v>-120</v>
      </c>
      <c r="F2809"/>
      <c r="G2809"/>
      <c r="H2809"/>
      <c r="I2809"/>
      <c r="J2809"/>
      <c r="K2809"/>
      <c r="L2809"/>
      <c r="M2809"/>
      <c r="N2809"/>
      <c r="O2809"/>
    </row>
    <row r="2810" spans="1:15" hidden="1" x14ac:dyDescent="0.25">
      <c r="A2810" t="s">
        <v>14</v>
      </c>
      <c r="B2810" t="s">
        <v>115</v>
      </c>
      <c r="C2810" t="b">
        <v>0</v>
      </c>
      <c r="D2810" s="1">
        <v>39753</v>
      </c>
      <c r="E2810">
        <v>5</v>
      </c>
      <c r="F2810"/>
      <c r="G2810"/>
      <c r="H2810"/>
      <c r="I2810"/>
      <c r="J2810"/>
      <c r="K2810"/>
      <c r="L2810"/>
      <c r="M2810"/>
      <c r="N2810"/>
      <c r="O2810"/>
    </row>
    <row r="2811" spans="1:15" hidden="1" x14ac:dyDescent="0.25">
      <c r="A2811" t="s">
        <v>106</v>
      </c>
      <c r="B2811" t="s">
        <v>115</v>
      </c>
      <c r="C2811" t="b">
        <v>0</v>
      </c>
      <c r="D2811" s="1">
        <v>39753</v>
      </c>
      <c r="E2811">
        <v>5</v>
      </c>
      <c r="F2811"/>
      <c r="G2811"/>
      <c r="H2811"/>
      <c r="I2811"/>
      <c r="J2811"/>
      <c r="K2811"/>
      <c r="L2811"/>
      <c r="M2811"/>
      <c r="N2811"/>
      <c r="O2811"/>
    </row>
    <row r="2812" spans="1:15" hidden="1" x14ac:dyDescent="0.25">
      <c r="A2812" t="s">
        <v>30</v>
      </c>
      <c r="B2812" t="s">
        <v>115</v>
      </c>
      <c r="C2812" t="b">
        <v>0</v>
      </c>
      <c r="D2812" s="1">
        <v>39753</v>
      </c>
      <c r="E2812">
        <v>5</v>
      </c>
      <c r="F2812"/>
      <c r="G2812"/>
      <c r="H2812"/>
      <c r="I2812"/>
      <c r="J2812"/>
      <c r="K2812"/>
      <c r="L2812"/>
      <c r="M2812"/>
      <c r="N2812"/>
      <c r="O2812"/>
    </row>
    <row r="2813" spans="1:15" hidden="1" x14ac:dyDescent="0.25">
      <c r="A2813" t="s">
        <v>37</v>
      </c>
      <c r="B2813" t="s">
        <v>115</v>
      </c>
      <c r="C2813" t="b">
        <v>0</v>
      </c>
      <c r="D2813" s="1">
        <v>39753</v>
      </c>
      <c r="E2813">
        <v>5</v>
      </c>
      <c r="F2813"/>
      <c r="G2813"/>
      <c r="H2813"/>
      <c r="I2813"/>
      <c r="J2813"/>
      <c r="K2813"/>
      <c r="L2813"/>
      <c r="M2813"/>
      <c r="N2813"/>
      <c r="O2813"/>
    </row>
    <row r="2814" spans="1:15" hidden="1" x14ac:dyDescent="0.25">
      <c r="A2814" t="s">
        <v>39</v>
      </c>
      <c r="B2814" t="s">
        <v>115</v>
      </c>
      <c r="C2814" t="b">
        <v>0</v>
      </c>
      <c r="D2814" s="1">
        <v>39753</v>
      </c>
      <c r="E2814">
        <v>5</v>
      </c>
      <c r="F2814"/>
      <c r="G2814"/>
      <c r="H2814"/>
      <c r="I2814"/>
      <c r="J2814"/>
      <c r="K2814"/>
      <c r="L2814"/>
      <c r="M2814"/>
      <c r="N2814"/>
      <c r="O2814"/>
    </row>
    <row r="2815" spans="1:15" hidden="1" x14ac:dyDescent="0.25">
      <c r="A2815" t="s">
        <v>58</v>
      </c>
      <c r="B2815" t="s">
        <v>115</v>
      </c>
      <c r="C2815" t="b">
        <v>0</v>
      </c>
      <c r="D2815" s="1">
        <v>39753</v>
      </c>
      <c r="E2815">
        <v>5</v>
      </c>
      <c r="F2815"/>
      <c r="G2815"/>
      <c r="H2815"/>
      <c r="I2815"/>
      <c r="J2815"/>
      <c r="K2815"/>
      <c r="L2815"/>
      <c r="M2815"/>
      <c r="N2815"/>
      <c r="O2815"/>
    </row>
    <row r="2816" spans="1:15" hidden="1" x14ac:dyDescent="0.25">
      <c r="A2816" t="s">
        <v>57</v>
      </c>
      <c r="B2816" t="s">
        <v>115</v>
      </c>
      <c r="C2816" t="b">
        <v>0</v>
      </c>
      <c r="D2816" s="1">
        <v>39753</v>
      </c>
      <c r="E2816">
        <v>5</v>
      </c>
      <c r="F2816"/>
      <c r="G2816"/>
      <c r="H2816"/>
      <c r="I2816"/>
      <c r="J2816"/>
      <c r="K2816"/>
      <c r="L2816"/>
      <c r="M2816"/>
      <c r="N2816"/>
      <c r="O2816"/>
    </row>
    <row r="2817" spans="1:15" hidden="1" x14ac:dyDescent="0.25">
      <c r="A2817" t="s">
        <v>62</v>
      </c>
      <c r="B2817" t="s">
        <v>115</v>
      </c>
      <c r="C2817" t="b">
        <v>0</v>
      </c>
      <c r="D2817" s="1">
        <v>39753</v>
      </c>
      <c r="E2817">
        <v>5</v>
      </c>
      <c r="F2817"/>
      <c r="G2817"/>
      <c r="H2817"/>
      <c r="I2817"/>
      <c r="J2817"/>
      <c r="K2817"/>
      <c r="L2817"/>
      <c r="M2817"/>
      <c r="N2817"/>
      <c r="O2817"/>
    </row>
    <row r="2818" spans="1:15" hidden="1" x14ac:dyDescent="0.25">
      <c r="A2818" t="s">
        <v>69</v>
      </c>
      <c r="B2818" t="s">
        <v>115</v>
      </c>
      <c r="C2818" t="b">
        <v>0</v>
      </c>
      <c r="D2818" s="1">
        <v>39753</v>
      </c>
      <c r="E2818">
        <v>5</v>
      </c>
      <c r="F2818"/>
      <c r="G2818"/>
      <c r="H2818"/>
      <c r="I2818"/>
      <c r="J2818"/>
      <c r="K2818"/>
      <c r="L2818"/>
      <c r="M2818"/>
      <c r="N2818"/>
      <c r="O2818"/>
    </row>
    <row r="2819" spans="1:15" hidden="1" x14ac:dyDescent="0.25">
      <c r="A2819" t="s">
        <v>70</v>
      </c>
      <c r="B2819" t="s">
        <v>115</v>
      </c>
      <c r="C2819" t="b">
        <v>0</v>
      </c>
      <c r="D2819" s="1">
        <v>39753</v>
      </c>
      <c r="E2819">
        <v>5</v>
      </c>
      <c r="F2819"/>
      <c r="G2819"/>
      <c r="H2819"/>
      <c r="I2819"/>
      <c r="J2819"/>
      <c r="K2819"/>
      <c r="L2819"/>
      <c r="M2819"/>
      <c r="N2819"/>
      <c r="O2819"/>
    </row>
    <row r="2820" spans="1:15" hidden="1" x14ac:dyDescent="0.25">
      <c r="A2820" t="s">
        <v>71</v>
      </c>
      <c r="B2820" t="s">
        <v>115</v>
      </c>
      <c r="C2820" t="b">
        <v>0</v>
      </c>
      <c r="D2820" s="1">
        <v>39753</v>
      </c>
      <c r="E2820">
        <v>5</v>
      </c>
      <c r="F2820"/>
      <c r="G2820"/>
      <c r="H2820"/>
      <c r="I2820"/>
      <c r="J2820"/>
      <c r="K2820"/>
      <c r="L2820"/>
      <c r="M2820"/>
      <c r="N2820"/>
      <c r="O2820"/>
    </row>
    <row r="2821" spans="1:15" hidden="1" x14ac:dyDescent="0.25">
      <c r="A2821" t="s">
        <v>77</v>
      </c>
      <c r="B2821" t="s">
        <v>115</v>
      </c>
      <c r="C2821" t="b">
        <v>0</v>
      </c>
      <c r="D2821" s="1">
        <v>39753</v>
      </c>
      <c r="E2821">
        <v>5</v>
      </c>
      <c r="F2821"/>
      <c r="G2821"/>
      <c r="H2821"/>
      <c r="I2821"/>
      <c r="J2821"/>
      <c r="K2821"/>
      <c r="L2821"/>
      <c r="M2821"/>
      <c r="N2821"/>
      <c r="O2821"/>
    </row>
    <row r="2822" spans="1:15" hidden="1" x14ac:dyDescent="0.25">
      <c r="A2822" t="s">
        <v>86</v>
      </c>
      <c r="B2822" t="s">
        <v>115</v>
      </c>
      <c r="C2822" t="b">
        <v>0</v>
      </c>
      <c r="D2822" s="1">
        <v>39753</v>
      </c>
      <c r="E2822">
        <v>5</v>
      </c>
      <c r="F2822"/>
      <c r="G2822"/>
      <c r="H2822"/>
      <c r="I2822"/>
      <c r="J2822"/>
      <c r="K2822"/>
      <c r="L2822"/>
      <c r="M2822"/>
      <c r="N2822"/>
      <c r="O2822"/>
    </row>
    <row r="2823" spans="1:15" hidden="1" x14ac:dyDescent="0.25">
      <c r="A2823" t="s">
        <v>90</v>
      </c>
      <c r="B2823" t="s">
        <v>115</v>
      </c>
      <c r="C2823" t="b">
        <v>0</v>
      </c>
      <c r="D2823" s="1">
        <v>39753</v>
      </c>
      <c r="E2823">
        <v>5</v>
      </c>
      <c r="F2823"/>
      <c r="G2823"/>
      <c r="H2823"/>
      <c r="I2823"/>
      <c r="J2823"/>
      <c r="K2823"/>
      <c r="L2823"/>
      <c r="M2823"/>
      <c r="N2823"/>
      <c r="O2823"/>
    </row>
    <row r="2824" spans="1:15" hidden="1" x14ac:dyDescent="0.25">
      <c r="A2824" t="s">
        <v>99</v>
      </c>
      <c r="B2824" t="s">
        <v>114</v>
      </c>
      <c r="C2824" t="b">
        <v>0</v>
      </c>
      <c r="D2824" s="1">
        <v>39753</v>
      </c>
      <c r="E2824">
        <v>26.25</v>
      </c>
      <c r="F2824"/>
      <c r="G2824"/>
      <c r="H2824"/>
      <c r="I2824"/>
      <c r="J2824"/>
      <c r="K2824"/>
      <c r="L2824"/>
      <c r="M2824"/>
      <c r="N2824"/>
      <c r="O2824"/>
    </row>
    <row r="2825" spans="1:15" hidden="1" x14ac:dyDescent="0.25">
      <c r="A2825" t="s">
        <v>100</v>
      </c>
      <c r="B2825" t="s">
        <v>117</v>
      </c>
      <c r="C2825" t="b">
        <v>0</v>
      </c>
      <c r="D2825" s="1">
        <v>39783</v>
      </c>
      <c r="E2825" s="2">
        <v>-82.96</v>
      </c>
      <c r="F2825"/>
      <c r="G2825"/>
      <c r="H2825"/>
      <c r="I2825"/>
      <c r="J2825"/>
      <c r="K2825"/>
      <c r="L2825"/>
      <c r="M2825"/>
      <c r="N2825"/>
      <c r="O2825"/>
    </row>
    <row r="2826" spans="1:15" hidden="1" x14ac:dyDescent="0.25">
      <c r="A2826" t="s">
        <v>102</v>
      </c>
      <c r="B2826" t="s">
        <v>117</v>
      </c>
      <c r="C2826" t="b">
        <v>0</v>
      </c>
      <c r="D2826" s="1">
        <v>39783</v>
      </c>
      <c r="E2826" s="2">
        <v>-20</v>
      </c>
      <c r="F2826"/>
      <c r="G2826"/>
      <c r="H2826"/>
      <c r="I2826"/>
      <c r="J2826"/>
      <c r="K2826"/>
      <c r="L2826"/>
      <c r="M2826"/>
      <c r="N2826"/>
      <c r="O2826"/>
    </row>
    <row r="2827" spans="1:15" hidden="1" x14ac:dyDescent="0.25">
      <c r="A2827" t="s">
        <v>101</v>
      </c>
      <c r="B2827" t="s">
        <v>117</v>
      </c>
      <c r="C2827" t="b">
        <v>0</v>
      </c>
      <c r="D2827" s="1">
        <v>39783</v>
      </c>
      <c r="E2827" s="2">
        <v>-8.5</v>
      </c>
      <c r="F2827"/>
      <c r="G2827"/>
      <c r="H2827"/>
      <c r="I2827"/>
      <c r="J2827"/>
      <c r="K2827"/>
      <c r="L2827"/>
      <c r="M2827"/>
      <c r="N2827"/>
      <c r="O2827"/>
    </row>
    <row r="2828" spans="1:15" hidden="1" x14ac:dyDescent="0.25">
      <c r="A2828" t="s">
        <v>14</v>
      </c>
      <c r="B2828" t="s">
        <v>115</v>
      </c>
      <c r="C2828" t="b">
        <v>0</v>
      </c>
      <c r="D2828" s="1">
        <v>39783</v>
      </c>
      <c r="E2828">
        <v>5</v>
      </c>
      <c r="F2828"/>
      <c r="G2828"/>
      <c r="H2828"/>
      <c r="I2828"/>
      <c r="J2828"/>
      <c r="K2828"/>
      <c r="L2828"/>
      <c r="M2828"/>
      <c r="N2828"/>
      <c r="O2828"/>
    </row>
    <row r="2829" spans="1:15" hidden="1" x14ac:dyDescent="0.25">
      <c r="A2829" t="s">
        <v>106</v>
      </c>
      <c r="B2829" t="s">
        <v>115</v>
      </c>
      <c r="C2829" t="b">
        <v>0</v>
      </c>
      <c r="D2829" s="1">
        <v>39783</v>
      </c>
      <c r="E2829">
        <v>5</v>
      </c>
      <c r="F2829"/>
      <c r="G2829"/>
      <c r="H2829"/>
      <c r="I2829"/>
      <c r="J2829"/>
      <c r="K2829"/>
      <c r="L2829"/>
      <c r="M2829"/>
      <c r="N2829"/>
      <c r="O2829"/>
    </row>
    <row r="2830" spans="1:15" hidden="1" x14ac:dyDescent="0.25">
      <c r="A2830" t="s">
        <v>30</v>
      </c>
      <c r="B2830" t="s">
        <v>115</v>
      </c>
      <c r="C2830" t="b">
        <v>0</v>
      </c>
      <c r="D2830" s="1">
        <v>39783</v>
      </c>
      <c r="E2830">
        <v>5</v>
      </c>
      <c r="F2830"/>
      <c r="G2830"/>
      <c r="H2830"/>
      <c r="I2830"/>
      <c r="J2830"/>
      <c r="K2830"/>
      <c r="L2830"/>
      <c r="M2830"/>
      <c r="N2830"/>
      <c r="O2830"/>
    </row>
    <row r="2831" spans="1:15" hidden="1" x14ac:dyDescent="0.25">
      <c r="A2831" t="s">
        <v>37</v>
      </c>
      <c r="B2831" t="s">
        <v>115</v>
      </c>
      <c r="C2831" t="b">
        <v>0</v>
      </c>
      <c r="D2831" s="1">
        <v>39783</v>
      </c>
      <c r="E2831">
        <v>5</v>
      </c>
      <c r="F2831"/>
      <c r="G2831"/>
      <c r="H2831"/>
      <c r="I2831"/>
      <c r="J2831"/>
      <c r="K2831"/>
      <c r="L2831"/>
      <c r="M2831"/>
      <c r="N2831"/>
      <c r="O2831"/>
    </row>
    <row r="2832" spans="1:15" hidden="1" x14ac:dyDescent="0.25">
      <c r="A2832" t="s">
        <v>39</v>
      </c>
      <c r="B2832" t="s">
        <v>115</v>
      </c>
      <c r="C2832" t="b">
        <v>0</v>
      </c>
      <c r="D2832" s="1">
        <v>39783</v>
      </c>
      <c r="E2832">
        <v>5</v>
      </c>
      <c r="F2832"/>
      <c r="G2832"/>
      <c r="H2832"/>
      <c r="I2832"/>
      <c r="J2832"/>
      <c r="K2832"/>
      <c r="L2832"/>
      <c r="M2832"/>
      <c r="N2832"/>
      <c r="O2832"/>
    </row>
    <row r="2833" spans="1:15" hidden="1" x14ac:dyDescent="0.25">
      <c r="A2833" t="s">
        <v>58</v>
      </c>
      <c r="B2833" t="s">
        <v>115</v>
      </c>
      <c r="C2833" t="b">
        <v>0</v>
      </c>
      <c r="D2833" s="1">
        <v>39783</v>
      </c>
      <c r="E2833">
        <v>5</v>
      </c>
      <c r="F2833"/>
      <c r="G2833"/>
      <c r="H2833"/>
      <c r="I2833"/>
      <c r="J2833"/>
      <c r="K2833"/>
      <c r="L2833"/>
      <c r="M2833"/>
      <c r="N2833"/>
      <c r="O2833"/>
    </row>
    <row r="2834" spans="1:15" hidden="1" x14ac:dyDescent="0.25">
      <c r="A2834" t="s">
        <v>57</v>
      </c>
      <c r="B2834" t="s">
        <v>115</v>
      </c>
      <c r="C2834" t="b">
        <v>0</v>
      </c>
      <c r="D2834" s="1">
        <v>39783</v>
      </c>
      <c r="E2834">
        <v>5</v>
      </c>
      <c r="F2834"/>
      <c r="G2834"/>
      <c r="H2834"/>
      <c r="I2834"/>
      <c r="J2834"/>
      <c r="K2834"/>
      <c r="L2834"/>
      <c r="M2834"/>
      <c r="N2834"/>
      <c r="O2834"/>
    </row>
    <row r="2835" spans="1:15" hidden="1" x14ac:dyDescent="0.25">
      <c r="A2835" t="s">
        <v>62</v>
      </c>
      <c r="B2835" t="s">
        <v>115</v>
      </c>
      <c r="C2835" t="b">
        <v>0</v>
      </c>
      <c r="D2835" s="1">
        <v>39783</v>
      </c>
      <c r="E2835">
        <v>5</v>
      </c>
      <c r="F2835"/>
      <c r="G2835"/>
      <c r="H2835"/>
      <c r="I2835"/>
      <c r="J2835"/>
      <c r="K2835"/>
      <c r="L2835"/>
      <c r="M2835"/>
      <c r="N2835"/>
      <c r="O2835"/>
    </row>
    <row r="2836" spans="1:15" hidden="1" x14ac:dyDescent="0.25">
      <c r="A2836" t="s">
        <v>69</v>
      </c>
      <c r="B2836" t="s">
        <v>115</v>
      </c>
      <c r="C2836" t="b">
        <v>0</v>
      </c>
      <c r="D2836" s="1">
        <v>39783</v>
      </c>
      <c r="E2836">
        <v>5</v>
      </c>
      <c r="F2836"/>
      <c r="G2836"/>
      <c r="H2836"/>
      <c r="I2836"/>
      <c r="J2836"/>
      <c r="K2836"/>
      <c r="L2836"/>
      <c r="M2836"/>
      <c r="N2836"/>
      <c r="O2836"/>
    </row>
    <row r="2837" spans="1:15" hidden="1" x14ac:dyDescent="0.25">
      <c r="A2837" t="s">
        <v>70</v>
      </c>
      <c r="B2837" t="s">
        <v>115</v>
      </c>
      <c r="C2837" t="b">
        <v>0</v>
      </c>
      <c r="D2837" s="1">
        <v>39783</v>
      </c>
      <c r="E2837">
        <v>5</v>
      </c>
      <c r="F2837"/>
      <c r="G2837"/>
      <c r="H2837"/>
      <c r="I2837"/>
      <c r="J2837"/>
      <c r="K2837"/>
      <c r="L2837"/>
      <c r="M2837"/>
      <c r="N2837"/>
      <c r="O2837"/>
    </row>
    <row r="2838" spans="1:15" hidden="1" x14ac:dyDescent="0.25">
      <c r="A2838" t="s">
        <v>71</v>
      </c>
      <c r="B2838" t="s">
        <v>115</v>
      </c>
      <c r="C2838" t="b">
        <v>0</v>
      </c>
      <c r="D2838" s="1">
        <v>39783</v>
      </c>
      <c r="E2838">
        <v>5</v>
      </c>
      <c r="F2838"/>
      <c r="G2838"/>
      <c r="H2838"/>
      <c r="I2838"/>
      <c r="J2838"/>
      <c r="K2838"/>
      <c r="L2838"/>
      <c r="M2838"/>
      <c r="N2838"/>
      <c r="O2838"/>
    </row>
    <row r="2839" spans="1:15" hidden="1" x14ac:dyDescent="0.25">
      <c r="A2839" t="s">
        <v>77</v>
      </c>
      <c r="B2839" t="s">
        <v>115</v>
      </c>
      <c r="C2839" t="b">
        <v>0</v>
      </c>
      <c r="D2839" s="1">
        <v>39783</v>
      </c>
      <c r="E2839">
        <v>5</v>
      </c>
      <c r="F2839"/>
      <c r="G2839"/>
      <c r="H2839"/>
      <c r="I2839"/>
      <c r="J2839"/>
      <c r="K2839"/>
      <c r="L2839"/>
      <c r="M2839"/>
      <c r="N2839"/>
      <c r="O2839"/>
    </row>
    <row r="2840" spans="1:15" hidden="1" x14ac:dyDescent="0.25">
      <c r="A2840" t="s">
        <v>86</v>
      </c>
      <c r="B2840" t="s">
        <v>115</v>
      </c>
      <c r="C2840" t="b">
        <v>0</v>
      </c>
      <c r="D2840" s="1">
        <v>39783</v>
      </c>
      <c r="E2840">
        <v>5</v>
      </c>
      <c r="F2840"/>
      <c r="G2840"/>
      <c r="H2840"/>
      <c r="I2840"/>
      <c r="J2840"/>
      <c r="K2840"/>
      <c r="L2840"/>
      <c r="M2840"/>
      <c r="N2840"/>
      <c r="O2840"/>
    </row>
    <row r="2841" spans="1:15" hidden="1" x14ac:dyDescent="0.25">
      <c r="A2841" t="s">
        <v>90</v>
      </c>
      <c r="B2841" t="s">
        <v>115</v>
      </c>
      <c r="C2841" t="b">
        <v>0</v>
      </c>
      <c r="D2841" s="1">
        <v>39783</v>
      </c>
      <c r="E2841">
        <v>5</v>
      </c>
      <c r="F2841"/>
      <c r="G2841"/>
      <c r="H2841"/>
      <c r="I2841"/>
      <c r="J2841"/>
      <c r="K2841"/>
      <c r="L2841"/>
      <c r="M2841"/>
      <c r="N2841"/>
      <c r="O2841"/>
    </row>
    <row r="2842" spans="1:15" hidden="1" x14ac:dyDescent="0.25">
      <c r="A2842" t="s">
        <v>99</v>
      </c>
      <c r="B2842" t="s">
        <v>114</v>
      </c>
      <c r="C2842" t="b">
        <v>0</v>
      </c>
      <c r="D2842" s="1">
        <v>39783</v>
      </c>
      <c r="E2842">
        <v>45.669999999999995</v>
      </c>
      <c r="F2842"/>
      <c r="G2842"/>
      <c r="H2842"/>
      <c r="I2842"/>
      <c r="J2842"/>
      <c r="K2842"/>
      <c r="L2842"/>
      <c r="M2842"/>
      <c r="N2842"/>
      <c r="O2842"/>
    </row>
    <row r="2843" spans="1:15" hidden="1" x14ac:dyDescent="0.25">
      <c r="A2843" t="s">
        <v>100</v>
      </c>
      <c r="B2843" t="s">
        <v>117</v>
      </c>
      <c r="C2843" t="b">
        <v>0</v>
      </c>
      <c r="D2843" s="1">
        <v>39814</v>
      </c>
      <c r="E2843" s="2">
        <v>-82.96</v>
      </c>
      <c r="F2843"/>
      <c r="G2843"/>
      <c r="H2843"/>
      <c r="I2843"/>
      <c r="J2843"/>
      <c r="K2843"/>
      <c r="L2843"/>
      <c r="M2843"/>
      <c r="N2843"/>
      <c r="O2843"/>
    </row>
    <row r="2844" spans="1:15" hidden="1" x14ac:dyDescent="0.25">
      <c r="A2844" t="s">
        <v>102</v>
      </c>
      <c r="B2844" t="s">
        <v>117</v>
      </c>
      <c r="C2844" t="b">
        <v>0</v>
      </c>
      <c r="D2844" s="1">
        <v>39814</v>
      </c>
      <c r="E2844" s="2">
        <v>-11.34</v>
      </c>
      <c r="F2844"/>
      <c r="G2844"/>
      <c r="H2844"/>
      <c r="I2844"/>
      <c r="J2844"/>
      <c r="K2844"/>
      <c r="L2844"/>
      <c r="M2844"/>
      <c r="N2844"/>
      <c r="O2844"/>
    </row>
    <row r="2845" spans="1:15" hidden="1" x14ac:dyDescent="0.25">
      <c r="A2845" t="s">
        <v>103</v>
      </c>
      <c r="B2845" t="s">
        <v>117</v>
      </c>
      <c r="C2845" t="b">
        <v>0</v>
      </c>
      <c r="D2845" s="1">
        <v>39814</v>
      </c>
      <c r="E2845" s="2">
        <v>-6.66</v>
      </c>
      <c r="F2845"/>
      <c r="G2845"/>
      <c r="H2845"/>
      <c r="I2845"/>
      <c r="J2845"/>
      <c r="K2845"/>
      <c r="L2845"/>
      <c r="M2845"/>
      <c r="N2845"/>
      <c r="O2845"/>
    </row>
    <row r="2846" spans="1:15" hidden="1" x14ac:dyDescent="0.25">
      <c r="A2846" t="s">
        <v>14</v>
      </c>
      <c r="B2846" t="s">
        <v>115</v>
      </c>
      <c r="C2846" t="b">
        <v>0</v>
      </c>
      <c r="D2846" s="1">
        <v>39814</v>
      </c>
      <c r="E2846">
        <v>5</v>
      </c>
      <c r="F2846"/>
      <c r="G2846"/>
      <c r="H2846"/>
      <c r="I2846"/>
      <c r="J2846"/>
      <c r="K2846"/>
      <c r="L2846"/>
      <c r="M2846"/>
      <c r="N2846"/>
      <c r="O2846"/>
    </row>
    <row r="2847" spans="1:15" hidden="1" x14ac:dyDescent="0.25">
      <c r="A2847" t="s">
        <v>30</v>
      </c>
      <c r="B2847" t="s">
        <v>115</v>
      </c>
      <c r="C2847" t="b">
        <v>0</v>
      </c>
      <c r="D2847" s="1">
        <v>39814</v>
      </c>
      <c r="E2847">
        <v>5</v>
      </c>
      <c r="F2847"/>
      <c r="G2847"/>
      <c r="H2847"/>
      <c r="I2847"/>
      <c r="J2847"/>
      <c r="K2847"/>
      <c r="L2847"/>
      <c r="M2847"/>
      <c r="N2847"/>
      <c r="O2847"/>
    </row>
    <row r="2848" spans="1:15" hidden="1" x14ac:dyDescent="0.25">
      <c r="A2848" t="s">
        <v>37</v>
      </c>
      <c r="B2848" t="s">
        <v>115</v>
      </c>
      <c r="C2848" t="b">
        <v>0</v>
      </c>
      <c r="D2848" s="1">
        <v>39814</v>
      </c>
      <c r="E2848">
        <v>5</v>
      </c>
      <c r="F2848"/>
      <c r="G2848"/>
      <c r="H2848"/>
      <c r="I2848"/>
      <c r="J2848"/>
      <c r="K2848"/>
      <c r="L2848"/>
      <c r="M2848"/>
      <c r="N2848"/>
      <c r="O2848"/>
    </row>
    <row r="2849" spans="1:15" hidden="1" x14ac:dyDescent="0.25">
      <c r="A2849" t="s">
        <v>39</v>
      </c>
      <c r="B2849" t="s">
        <v>115</v>
      </c>
      <c r="C2849" t="b">
        <v>0</v>
      </c>
      <c r="D2849" s="1">
        <v>39814</v>
      </c>
      <c r="E2849">
        <v>5</v>
      </c>
      <c r="F2849"/>
      <c r="G2849"/>
      <c r="H2849"/>
      <c r="I2849"/>
      <c r="J2849"/>
      <c r="K2849"/>
      <c r="L2849"/>
      <c r="M2849"/>
      <c r="N2849"/>
      <c r="O2849"/>
    </row>
    <row r="2850" spans="1:15" hidden="1" x14ac:dyDescent="0.25">
      <c r="A2850" t="s">
        <v>58</v>
      </c>
      <c r="B2850" t="s">
        <v>115</v>
      </c>
      <c r="C2850" t="b">
        <v>0</v>
      </c>
      <c r="D2850" s="1">
        <v>39814</v>
      </c>
      <c r="E2850">
        <v>5</v>
      </c>
      <c r="F2850"/>
      <c r="G2850"/>
      <c r="H2850"/>
      <c r="I2850"/>
      <c r="J2850"/>
      <c r="K2850"/>
      <c r="L2850"/>
      <c r="M2850"/>
      <c r="N2850"/>
      <c r="O2850"/>
    </row>
    <row r="2851" spans="1:15" hidden="1" x14ac:dyDescent="0.25">
      <c r="A2851" t="s">
        <v>57</v>
      </c>
      <c r="B2851" t="s">
        <v>115</v>
      </c>
      <c r="C2851" t="b">
        <v>0</v>
      </c>
      <c r="D2851" s="1">
        <v>39814</v>
      </c>
      <c r="E2851">
        <v>5</v>
      </c>
      <c r="F2851"/>
      <c r="G2851"/>
      <c r="H2851"/>
      <c r="I2851"/>
      <c r="J2851"/>
      <c r="K2851"/>
      <c r="L2851"/>
      <c r="M2851"/>
      <c r="N2851"/>
      <c r="O2851"/>
    </row>
    <row r="2852" spans="1:15" hidden="1" x14ac:dyDescent="0.25">
      <c r="A2852" t="s">
        <v>62</v>
      </c>
      <c r="B2852" t="s">
        <v>115</v>
      </c>
      <c r="C2852" t="b">
        <v>0</v>
      </c>
      <c r="D2852" s="1">
        <v>39814</v>
      </c>
      <c r="E2852">
        <v>5</v>
      </c>
      <c r="F2852"/>
      <c r="G2852"/>
      <c r="H2852"/>
      <c r="I2852"/>
      <c r="J2852"/>
      <c r="K2852"/>
      <c r="L2852"/>
      <c r="M2852"/>
      <c r="N2852"/>
      <c r="O2852"/>
    </row>
    <row r="2853" spans="1:15" hidden="1" x14ac:dyDescent="0.25">
      <c r="A2853" t="s">
        <v>69</v>
      </c>
      <c r="B2853" t="s">
        <v>115</v>
      </c>
      <c r="C2853" t="b">
        <v>0</v>
      </c>
      <c r="D2853" s="1">
        <v>39814</v>
      </c>
      <c r="E2853">
        <v>5</v>
      </c>
      <c r="F2853"/>
      <c r="G2853"/>
      <c r="H2853"/>
      <c r="I2853"/>
      <c r="J2853"/>
      <c r="K2853"/>
      <c r="L2853"/>
      <c r="M2853"/>
      <c r="N2853"/>
      <c r="O2853"/>
    </row>
    <row r="2854" spans="1:15" hidden="1" x14ac:dyDescent="0.25">
      <c r="A2854" t="s">
        <v>70</v>
      </c>
      <c r="B2854" t="s">
        <v>115</v>
      </c>
      <c r="C2854" t="b">
        <v>0</v>
      </c>
      <c r="D2854" s="1">
        <v>39814</v>
      </c>
      <c r="E2854">
        <v>5</v>
      </c>
      <c r="F2854"/>
      <c r="G2854"/>
      <c r="H2854"/>
      <c r="I2854"/>
      <c r="J2854"/>
      <c r="K2854"/>
      <c r="L2854"/>
      <c r="M2854"/>
      <c r="N2854"/>
      <c r="O2854"/>
    </row>
    <row r="2855" spans="1:15" hidden="1" x14ac:dyDescent="0.25">
      <c r="A2855" t="s">
        <v>71</v>
      </c>
      <c r="B2855" t="s">
        <v>115</v>
      </c>
      <c r="C2855" t="b">
        <v>0</v>
      </c>
      <c r="D2855" s="1">
        <v>39814</v>
      </c>
      <c r="E2855">
        <v>5</v>
      </c>
      <c r="F2855"/>
      <c r="G2855"/>
      <c r="H2855"/>
      <c r="I2855"/>
      <c r="J2855"/>
      <c r="K2855"/>
      <c r="L2855"/>
      <c r="M2855"/>
      <c r="N2855"/>
      <c r="O2855"/>
    </row>
    <row r="2856" spans="1:15" hidden="1" x14ac:dyDescent="0.25">
      <c r="A2856" t="s">
        <v>77</v>
      </c>
      <c r="B2856" t="s">
        <v>115</v>
      </c>
      <c r="C2856" t="b">
        <v>0</v>
      </c>
      <c r="D2856" s="1">
        <v>39814</v>
      </c>
      <c r="E2856">
        <v>5</v>
      </c>
      <c r="F2856"/>
      <c r="G2856"/>
      <c r="H2856"/>
      <c r="I2856"/>
      <c r="J2856"/>
      <c r="K2856"/>
      <c r="L2856"/>
      <c r="M2856"/>
      <c r="N2856"/>
      <c r="O2856"/>
    </row>
    <row r="2857" spans="1:15" hidden="1" x14ac:dyDescent="0.25">
      <c r="A2857" t="s">
        <v>86</v>
      </c>
      <c r="B2857" t="s">
        <v>115</v>
      </c>
      <c r="C2857" t="b">
        <v>0</v>
      </c>
      <c r="D2857" s="1">
        <v>39814</v>
      </c>
      <c r="E2857">
        <v>5</v>
      </c>
      <c r="F2857"/>
      <c r="G2857"/>
      <c r="H2857"/>
      <c r="I2857"/>
      <c r="J2857"/>
      <c r="K2857"/>
      <c r="L2857"/>
      <c r="M2857"/>
      <c r="N2857"/>
      <c r="O2857"/>
    </row>
    <row r="2858" spans="1:15" hidden="1" x14ac:dyDescent="0.25">
      <c r="A2858" t="s">
        <v>90</v>
      </c>
      <c r="B2858" t="s">
        <v>115</v>
      </c>
      <c r="C2858" t="b">
        <v>0</v>
      </c>
      <c r="D2858" s="1">
        <v>39814</v>
      </c>
      <c r="E2858">
        <v>5</v>
      </c>
      <c r="F2858"/>
      <c r="G2858"/>
      <c r="H2858"/>
      <c r="I2858"/>
      <c r="J2858"/>
      <c r="K2858"/>
      <c r="L2858"/>
      <c r="M2858"/>
      <c r="N2858"/>
      <c r="O2858"/>
    </row>
    <row r="2859" spans="1:15" hidden="1" x14ac:dyDescent="0.25">
      <c r="A2859" t="s">
        <v>99</v>
      </c>
      <c r="B2859" t="s">
        <v>114</v>
      </c>
      <c r="C2859" t="b">
        <v>0</v>
      </c>
      <c r="D2859" s="1">
        <v>39814</v>
      </c>
      <c r="E2859">
        <v>43.25</v>
      </c>
      <c r="F2859"/>
      <c r="G2859"/>
      <c r="H2859"/>
      <c r="I2859"/>
      <c r="J2859"/>
      <c r="K2859"/>
      <c r="L2859"/>
      <c r="M2859"/>
      <c r="N2859"/>
      <c r="O2859"/>
    </row>
    <row r="2860" spans="1:15" hidden="1" x14ac:dyDescent="0.25">
      <c r="A2860" t="s">
        <v>100</v>
      </c>
      <c r="B2860" t="s">
        <v>117</v>
      </c>
      <c r="C2860" t="b">
        <v>0</v>
      </c>
      <c r="D2860" s="1">
        <v>39845</v>
      </c>
      <c r="E2860" s="2">
        <v>-142.25</v>
      </c>
      <c r="F2860"/>
      <c r="G2860"/>
      <c r="H2860"/>
      <c r="I2860"/>
      <c r="J2860"/>
      <c r="K2860"/>
      <c r="L2860"/>
      <c r="M2860"/>
      <c r="N2860"/>
      <c r="O2860"/>
    </row>
    <row r="2861" spans="1:15" hidden="1" x14ac:dyDescent="0.25">
      <c r="A2861" t="s">
        <v>14</v>
      </c>
      <c r="B2861" t="s">
        <v>115</v>
      </c>
      <c r="C2861" t="b">
        <v>0</v>
      </c>
      <c r="D2861" s="1">
        <v>39845</v>
      </c>
      <c r="E2861">
        <v>5</v>
      </c>
      <c r="F2861"/>
      <c r="G2861"/>
      <c r="H2861"/>
      <c r="I2861"/>
      <c r="J2861"/>
      <c r="K2861"/>
      <c r="L2861"/>
      <c r="M2861"/>
      <c r="N2861"/>
      <c r="O2861"/>
    </row>
    <row r="2862" spans="1:15" hidden="1" x14ac:dyDescent="0.25">
      <c r="A2862" t="s">
        <v>30</v>
      </c>
      <c r="B2862" t="s">
        <v>115</v>
      </c>
      <c r="C2862" t="b">
        <v>0</v>
      </c>
      <c r="D2862" s="1">
        <v>39845</v>
      </c>
      <c r="E2862">
        <v>5</v>
      </c>
      <c r="F2862"/>
      <c r="G2862"/>
      <c r="H2862"/>
      <c r="I2862"/>
      <c r="J2862"/>
      <c r="K2862"/>
      <c r="L2862"/>
      <c r="M2862"/>
      <c r="N2862"/>
      <c r="O2862"/>
    </row>
    <row r="2863" spans="1:15" hidden="1" x14ac:dyDescent="0.25">
      <c r="A2863" t="s">
        <v>37</v>
      </c>
      <c r="B2863" t="s">
        <v>115</v>
      </c>
      <c r="C2863" t="b">
        <v>0</v>
      </c>
      <c r="D2863" s="1">
        <v>39845</v>
      </c>
      <c r="E2863">
        <v>5</v>
      </c>
      <c r="F2863"/>
      <c r="G2863"/>
      <c r="H2863"/>
      <c r="I2863"/>
      <c r="J2863"/>
      <c r="K2863"/>
      <c r="L2863"/>
      <c r="M2863"/>
      <c r="N2863"/>
      <c r="O2863"/>
    </row>
    <row r="2864" spans="1:15" hidden="1" x14ac:dyDescent="0.25">
      <c r="A2864" t="s">
        <v>38</v>
      </c>
      <c r="B2864" t="s">
        <v>115</v>
      </c>
      <c r="C2864" t="b">
        <v>0</v>
      </c>
      <c r="D2864" s="1">
        <v>39845</v>
      </c>
      <c r="E2864">
        <v>5</v>
      </c>
      <c r="F2864"/>
      <c r="G2864"/>
      <c r="H2864"/>
      <c r="I2864"/>
      <c r="J2864"/>
      <c r="K2864"/>
      <c r="L2864"/>
      <c r="M2864"/>
      <c r="N2864"/>
      <c r="O2864"/>
    </row>
    <row r="2865" spans="1:15" hidden="1" x14ac:dyDescent="0.25">
      <c r="A2865" t="s">
        <v>39</v>
      </c>
      <c r="B2865" t="s">
        <v>115</v>
      </c>
      <c r="C2865" t="b">
        <v>0</v>
      </c>
      <c r="D2865" s="1">
        <v>39845</v>
      </c>
      <c r="E2865">
        <v>5</v>
      </c>
      <c r="F2865"/>
      <c r="G2865"/>
      <c r="H2865"/>
      <c r="I2865"/>
      <c r="J2865"/>
      <c r="K2865"/>
      <c r="L2865"/>
      <c r="M2865"/>
      <c r="N2865"/>
      <c r="O2865"/>
    </row>
    <row r="2866" spans="1:15" hidden="1" x14ac:dyDescent="0.25">
      <c r="A2866" t="s">
        <v>58</v>
      </c>
      <c r="B2866" t="s">
        <v>115</v>
      </c>
      <c r="C2866" t="b">
        <v>0</v>
      </c>
      <c r="D2866" s="1">
        <v>39845</v>
      </c>
      <c r="E2866">
        <v>5</v>
      </c>
      <c r="F2866"/>
      <c r="G2866"/>
      <c r="H2866"/>
      <c r="I2866"/>
      <c r="J2866"/>
      <c r="K2866"/>
      <c r="L2866"/>
      <c r="M2866"/>
      <c r="N2866"/>
      <c r="O2866"/>
    </row>
    <row r="2867" spans="1:15" hidden="1" x14ac:dyDescent="0.25">
      <c r="A2867" t="s">
        <v>57</v>
      </c>
      <c r="B2867" t="s">
        <v>115</v>
      </c>
      <c r="C2867" t="b">
        <v>0</v>
      </c>
      <c r="D2867" s="1">
        <v>39845</v>
      </c>
      <c r="E2867">
        <v>5</v>
      </c>
      <c r="F2867"/>
      <c r="G2867"/>
      <c r="H2867"/>
      <c r="I2867"/>
      <c r="J2867"/>
      <c r="K2867"/>
      <c r="L2867"/>
      <c r="M2867"/>
      <c r="N2867"/>
      <c r="O2867"/>
    </row>
    <row r="2868" spans="1:15" hidden="1" x14ac:dyDescent="0.25">
      <c r="A2868" t="s">
        <v>62</v>
      </c>
      <c r="B2868" t="s">
        <v>115</v>
      </c>
      <c r="C2868" t="b">
        <v>0</v>
      </c>
      <c r="D2868" s="1">
        <v>39845</v>
      </c>
      <c r="E2868">
        <v>5</v>
      </c>
      <c r="F2868"/>
      <c r="G2868"/>
      <c r="H2868"/>
      <c r="I2868"/>
      <c r="J2868"/>
      <c r="K2868"/>
      <c r="L2868"/>
      <c r="M2868"/>
      <c r="N2868"/>
      <c r="O2868"/>
    </row>
    <row r="2869" spans="1:15" hidden="1" x14ac:dyDescent="0.25">
      <c r="A2869" t="s">
        <v>69</v>
      </c>
      <c r="B2869" t="s">
        <v>115</v>
      </c>
      <c r="C2869" t="b">
        <v>0</v>
      </c>
      <c r="D2869" s="1">
        <v>39845</v>
      </c>
      <c r="E2869">
        <v>5</v>
      </c>
      <c r="F2869"/>
      <c r="G2869"/>
      <c r="H2869"/>
      <c r="I2869"/>
      <c r="J2869"/>
      <c r="K2869"/>
      <c r="L2869"/>
      <c r="M2869"/>
      <c r="N2869"/>
      <c r="O2869"/>
    </row>
    <row r="2870" spans="1:15" hidden="1" x14ac:dyDescent="0.25">
      <c r="A2870" t="s">
        <v>70</v>
      </c>
      <c r="B2870" t="s">
        <v>115</v>
      </c>
      <c r="C2870" t="b">
        <v>0</v>
      </c>
      <c r="D2870" s="1">
        <v>39845</v>
      </c>
      <c r="E2870">
        <v>5</v>
      </c>
      <c r="F2870"/>
      <c r="G2870"/>
      <c r="H2870"/>
      <c r="I2870"/>
      <c r="J2870"/>
      <c r="K2870"/>
      <c r="L2870"/>
      <c r="M2870"/>
      <c r="N2870"/>
      <c r="O2870"/>
    </row>
    <row r="2871" spans="1:15" hidden="1" x14ac:dyDescent="0.25">
      <c r="A2871" t="s">
        <v>71</v>
      </c>
      <c r="B2871" t="s">
        <v>115</v>
      </c>
      <c r="C2871" t="b">
        <v>0</v>
      </c>
      <c r="D2871" s="1">
        <v>39845</v>
      </c>
      <c r="E2871">
        <v>5</v>
      </c>
      <c r="F2871"/>
      <c r="G2871"/>
      <c r="H2871"/>
      <c r="I2871"/>
      <c r="J2871"/>
      <c r="K2871"/>
      <c r="L2871"/>
      <c r="M2871"/>
      <c r="N2871"/>
      <c r="O2871"/>
    </row>
    <row r="2872" spans="1:15" hidden="1" x14ac:dyDescent="0.25">
      <c r="A2872" t="s">
        <v>74</v>
      </c>
      <c r="B2872" t="s">
        <v>115</v>
      </c>
      <c r="C2872" t="b">
        <v>0</v>
      </c>
      <c r="D2872" s="1">
        <v>39845</v>
      </c>
      <c r="E2872">
        <v>5</v>
      </c>
      <c r="F2872"/>
      <c r="G2872"/>
      <c r="H2872"/>
      <c r="I2872"/>
      <c r="J2872"/>
      <c r="K2872"/>
      <c r="L2872"/>
      <c r="M2872"/>
      <c r="N2872"/>
      <c r="O2872"/>
    </row>
    <row r="2873" spans="1:15" hidden="1" x14ac:dyDescent="0.25">
      <c r="A2873" t="s">
        <v>77</v>
      </c>
      <c r="B2873" t="s">
        <v>115</v>
      </c>
      <c r="C2873" t="b">
        <v>0</v>
      </c>
      <c r="D2873" s="1">
        <v>39845</v>
      </c>
      <c r="E2873">
        <v>5</v>
      </c>
      <c r="F2873"/>
      <c r="G2873"/>
      <c r="H2873"/>
      <c r="I2873"/>
      <c r="J2873"/>
      <c r="K2873"/>
      <c r="L2873"/>
      <c r="M2873"/>
      <c r="N2873"/>
      <c r="O2873"/>
    </row>
    <row r="2874" spans="1:15" hidden="1" x14ac:dyDescent="0.25">
      <c r="A2874" t="s">
        <v>86</v>
      </c>
      <c r="B2874" t="s">
        <v>115</v>
      </c>
      <c r="C2874" t="b">
        <v>0</v>
      </c>
      <c r="D2874" s="1">
        <v>39845</v>
      </c>
      <c r="E2874">
        <v>5</v>
      </c>
      <c r="F2874"/>
      <c r="G2874"/>
      <c r="H2874"/>
      <c r="I2874"/>
      <c r="J2874"/>
      <c r="K2874"/>
      <c r="L2874"/>
      <c r="M2874"/>
      <c r="N2874"/>
      <c r="O2874"/>
    </row>
    <row r="2875" spans="1:15" hidden="1" x14ac:dyDescent="0.25">
      <c r="A2875" t="s">
        <v>90</v>
      </c>
      <c r="B2875" t="s">
        <v>115</v>
      </c>
      <c r="C2875" t="b">
        <v>0</v>
      </c>
      <c r="D2875" s="1">
        <v>39845</v>
      </c>
      <c r="E2875">
        <v>5</v>
      </c>
      <c r="F2875"/>
      <c r="G2875"/>
      <c r="H2875"/>
      <c r="I2875"/>
      <c r="J2875"/>
      <c r="K2875"/>
      <c r="L2875"/>
      <c r="M2875"/>
      <c r="N2875"/>
      <c r="O2875"/>
    </row>
    <row r="2876" spans="1:15" hidden="1" x14ac:dyDescent="0.25">
      <c r="A2876" t="s">
        <v>95</v>
      </c>
      <c r="B2876" t="s">
        <v>115</v>
      </c>
      <c r="C2876" t="b">
        <v>0</v>
      </c>
      <c r="D2876" s="1">
        <v>39845</v>
      </c>
      <c r="E2876">
        <v>5</v>
      </c>
      <c r="F2876"/>
      <c r="G2876"/>
      <c r="H2876"/>
      <c r="I2876"/>
      <c r="J2876"/>
      <c r="K2876"/>
      <c r="L2876"/>
      <c r="M2876"/>
      <c r="N2876"/>
      <c r="O2876"/>
    </row>
    <row r="2877" spans="1:15" hidden="1" x14ac:dyDescent="0.25">
      <c r="A2877" t="s">
        <v>99</v>
      </c>
      <c r="B2877" t="s">
        <v>114</v>
      </c>
      <c r="C2877" t="b">
        <v>0</v>
      </c>
      <c r="D2877" s="1">
        <v>39845</v>
      </c>
      <c r="E2877">
        <v>26.25</v>
      </c>
      <c r="F2877"/>
      <c r="G2877"/>
      <c r="H2877"/>
      <c r="I2877"/>
      <c r="J2877"/>
      <c r="K2877"/>
      <c r="L2877"/>
      <c r="M2877"/>
      <c r="N2877"/>
      <c r="O2877"/>
    </row>
    <row r="2878" spans="1:15" hidden="1" x14ac:dyDescent="0.25">
      <c r="A2878" t="s">
        <v>100</v>
      </c>
      <c r="B2878" t="s">
        <v>117</v>
      </c>
      <c r="C2878" t="b">
        <v>0</v>
      </c>
      <c r="D2878" s="1">
        <v>39873</v>
      </c>
      <c r="E2878" s="2">
        <v>-108.31</v>
      </c>
      <c r="F2878"/>
      <c r="G2878"/>
      <c r="H2878"/>
      <c r="I2878"/>
      <c r="J2878"/>
      <c r="K2878"/>
      <c r="L2878"/>
      <c r="M2878"/>
      <c r="N2878"/>
      <c r="O2878"/>
    </row>
    <row r="2879" spans="1:15" hidden="1" x14ac:dyDescent="0.25">
      <c r="A2879" t="s">
        <v>101</v>
      </c>
      <c r="B2879" t="s">
        <v>117</v>
      </c>
      <c r="C2879" t="b">
        <v>0</v>
      </c>
      <c r="D2879" s="1">
        <v>39873</v>
      </c>
      <c r="E2879" s="2">
        <v>-0.33</v>
      </c>
      <c r="F2879"/>
      <c r="G2879"/>
      <c r="H2879"/>
      <c r="I2879"/>
      <c r="J2879"/>
      <c r="K2879"/>
      <c r="L2879"/>
      <c r="M2879"/>
      <c r="N2879"/>
      <c r="O2879"/>
    </row>
    <row r="2880" spans="1:15" hidden="1" x14ac:dyDescent="0.25">
      <c r="A2880" t="s">
        <v>14</v>
      </c>
      <c r="B2880" t="s">
        <v>115</v>
      </c>
      <c r="C2880" t="b">
        <v>0</v>
      </c>
      <c r="D2880" s="1">
        <v>39873</v>
      </c>
      <c r="E2880">
        <v>5</v>
      </c>
      <c r="F2880"/>
      <c r="G2880"/>
      <c r="H2880"/>
      <c r="I2880"/>
      <c r="J2880"/>
      <c r="K2880"/>
      <c r="L2880"/>
      <c r="M2880"/>
      <c r="N2880"/>
      <c r="O2880"/>
    </row>
    <row r="2881" spans="1:15" hidden="1" x14ac:dyDescent="0.25">
      <c r="A2881" t="s">
        <v>30</v>
      </c>
      <c r="B2881" t="s">
        <v>115</v>
      </c>
      <c r="C2881" t="b">
        <v>0</v>
      </c>
      <c r="D2881" s="1">
        <v>39873</v>
      </c>
      <c r="E2881">
        <v>5</v>
      </c>
      <c r="F2881"/>
      <c r="G2881"/>
      <c r="H2881"/>
      <c r="I2881"/>
      <c r="J2881"/>
      <c r="K2881"/>
      <c r="L2881"/>
      <c r="M2881"/>
      <c r="N2881"/>
      <c r="O2881"/>
    </row>
    <row r="2882" spans="1:15" hidden="1" x14ac:dyDescent="0.25">
      <c r="A2882" t="s">
        <v>37</v>
      </c>
      <c r="B2882" t="s">
        <v>115</v>
      </c>
      <c r="C2882" t="b">
        <v>0</v>
      </c>
      <c r="D2882" s="1">
        <v>39873</v>
      </c>
      <c r="E2882">
        <v>5</v>
      </c>
      <c r="F2882"/>
      <c r="G2882"/>
      <c r="H2882"/>
      <c r="I2882"/>
      <c r="J2882"/>
      <c r="K2882"/>
      <c r="L2882"/>
      <c r="M2882"/>
      <c r="N2882"/>
      <c r="O2882"/>
    </row>
    <row r="2883" spans="1:15" hidden="1" x14ac:dyDescent="0.25">
      <c r="A2883" t="s">
        <v>38</v>
      </c>
      <c r="B2883" t="s">
        <v>115</v>
      </c>
      <c r="C2883" t="b">
        <v>0</v>
      </c>
      <c r="D2883" s="1">
        <v>39873</v>
      </c>
      <c r="E2883">
        <v>5</v>
      </c>
      <c r="F2883"/>
      <c r="G2883"/>
      <c r="H2883"/>
      <c r="I2883"/>
      <c r="J2883"/>
      <c r="K2883"/>
      <c r="L2883"/>
      <c r="M2883"/>
      <c r="N2883"/>
      <c r="O2883"/>
    </row>
    <row r="2884" spans="1:15" hidden="1" x14ac:dyDescent="0.25">
      <c r="A2884" t="s">
        <v>39</v>
      </c>
      <c r="B2884" t="s">
        <v>115</v>
      </c>
      <c r="C2884" t="b">
        <v>0</v>
      </c>
      <c r="D2884" s="1">
        <v>39873</v>
      </c>
      <c r="E2884">
        <v>5</v>
      </c>
      <c r="F2884"/>
      <c r="G2884"/>
      <c r="H2884"/>
      <c r="I2884"/>
      <c r="J2884"/>
      <c r="K2884"/>
      <c r="L2884"/>
      <c r="M2884"/>
      <c r="N2884"/>
      <c r="O2884"/>
    </row>
    <row r="2885" spans="1:15" hidden="1" x14ac:dyDescent="0.25">
      <c r="A2885" t="s">
        <v>58</v>
      </c>
      <c r="B2885" t="s">
        <v>115</v>
      </c>
      <c r="C2885" t="b">
        <v>0</v>
      </c>
      <c r="D2885" s="1">
        <v>39873</v>
      </c>
      <c r="E2885">
        <v>5</v>
      </c>
      <c r="F2885"/>
      <c r="G2885"/>
      <c r="H2885"/>
      <c r="I2885"/>
      <c r="J2885"/>
      <c r="K2885"/>
      <c r="L2885"/>
      <c r="M2885"/>
      <c r="N2885"/>
      <c r="O2885"/>
    </row>
    <row r="2886" spans="1:15" hidden="1" x14ac:dyDescent="0.25">
      <c r="A2886" t="s">
        <v>57</v>
      </c>
      <c r="B2886" t="s">
        <v>115</v>
      </c>
      <c r="C2886" t="b">
        <v>0</v>
      </c>
      <c r="D2886" s="1">
        <v>39873</v>
      </c>
      <c r="E2886">
        <v>5</v>
      </c>
      <c r="F2886"/>
      <c r="G2886"/>
      <c r="H2886"/>
      <c r="I2886"/>
      <c r="J2886"/>
      <c r="K2886"/>
      <c r="L2886"/>
      <c r="M2886"/>
      <c r="N2886"/>
      <c r="O2886"/>
    </row>
    <row r="2887" spans="1:15" hidden="1" x14ac:dyDescent="0.25">
      <c r="A2887" t="s">
        <v>68</v>
      </c>
      <c r="B2887" t="s">
        <v>115</v>
      </c>
      <c r="C2887" t="b">
        <v>0</v>
      </c>
      <c r="D2887" s="1">
        <v>39873</v>
      </c>
      <c r="E2887">
        <v>5</v>
      </c>
      <c r="F2887"/>
      <c r="G2887"/>
      <c r="H2887"/>
      <c r="I2887"/>
      <c r="J2887"/>
      <c r="K2887"/>
      <c r="L2887"/>
      <c r="M2887"/>
      <c r="N2887"/>
      <c r="O2887"/>
    </row>
    <row r="2888" spans="1:15" hidden="1" x14ac:dyDescent="0.25">
      <c r="A2888" t="s">
        <v>62</v>
      </c>
      <c r="B2888" t="s">
        <v>115</v>
      </c>
      <c r="C2888" t="b">
        <v>0</v>
      </c>
      <c r="D2888" s="1">
        <v>39873</v>
      </c>
      <c r="E2888">
        <v>5</v>
      </c>
      <c r="F2888"/>
      <c r="G2888"/>
      <c r="H2888"/>
      <c r="I2888"/>
      <c r="J2888"/>
      <c r="K2888"/>
      <c r="L2888"/>
      <c r="M2888"/>
      <c r="N2888"/>
      <c r="O2888"/>
    </row>
    <row r="2889" spans="1:15" hidden="1" x14ac:dyDescent="0.25">
      <c r="A2889" t="s">
        <v>69</v>
      </c>
      <c r="B2889" t="s">
        <v>115</v>
      </c>
      <c r="C2889" t="b">
        <v>0</v>
      </c>
      <c r="D2889" s="1">
        <v>39873</v>
      </c>
      <c r="E2889">
        <v>5</v>
      </c>
      <c r="F2889"/>
      <c r="G2889"/>
      <c r="H2889"/>
      <c r="I2889"/>
      <c r="J2889"/>
      <c r="K2889"/>
      <c r="L2889"/>
      <c r="M2889"/>
      <c r="N2889"/>
      <c r="O2889"/>
    </row>
    <row r="2890" spans="1:15" hidden="1" x14ac:dyDescent="0.25">
      <c r="A2890" t="s">
        <v>70</v>
      </c>
      <c r="B2890" t="s">
        <v>115</v>
      </c>
      <c r="C2890" t="b">
        <v>0</v>
      </c>
      <c r="D2890" s="1">
        <v>39873</v>
      </c>
      <c r="E2890">
        <v>5</v>
      </c>
      <c r="F2890"/>
      <c r="G2890"/>
      <c r="H2890"/>
      <c r="I2890"/>
      <c r="J2890"/>
      <c r="K2890"/>
      <c r="L2890"/>
      <c r="M2890"/>
      <c r="N2890"/>
      <c r="O2890"/>
    </row>
    <row r="2891" spans="1:15" hidden="1" x14ac:dyDescent="0.25">
      <c r="A2891" t="s">
        <v>71</v>
      </c>
      <c r="B2891" t="s">
        <v>115</v>
      </c>
      <c r="C2891" t="b">
        <v>0</v>
      </c>
      <c r="D2891" s="1">
        <v>39873</v>
      </c>
      <c r="E2891">
        <v>5</v>
      </c>
      <c r="F2891"/>
      <c r="G2891"/>
      <c r="H2891"/>
      <c r="I2891"/>
      <c r="J2891"/>
      <c r="K2891"/>
      <c r="L2891"/>
      <c r="M2891"/>
      <c r="N2891"/>
      <c r="O2891"/>
    </row>
    <row r="2892" spans="1:15" hidden="1" x14ac:dyDescent="0.25">
      <c r="A2892" t="s">
        <v>74</v>
      </c>
      <c r="B2892" t="s">
        <v>115</v>
      </c>
      <c r="C2892" t="b">
        <v>0</v>
      </c>
      <c r="D2892" s="1">
        <v>39873</v>
      </c>
      <c r="E2892">
        <v>5</v>
      </c>
      <c r="F2892"/>
      <c r="G2892"/>
      <c r="H2892"/>
      <c r="I2892"/>
      <c r="J2892"/>
      <c r="K2892"/>
      <c r="L2892"/>
      <c r="M2892"/>
      <c r="N2892"/>
      <c r="O2892"/>
    </row>
    <row r="2893" spans="1:15" hidden="1" x14ac:dyDescent="0.25">
      <c r="A2893" t="s">
        <v>77</v>
      </c>
      <c r="B2893" t="s">
        <v>115</v>
      </c>
      <c r="C2893" t="b">
        <v>0</v>
      </c>
      <c r="D2893" s="1">
        <v>39873</v>
      </c>
      <c r="E2893">
        <v>5</v>
      </c>
      <c r="F2893"/>
      <c r="G2893"/>
      <c r="H2893"/>
      <c r="I2893"/>
      <c r="J2893"/>
      <c r="K2893"/>
      <c r="L2893"/>
      <c r="M2893"/>
      <c r="N2893"/>
      <c r="O2893"/>
    </row>
    <row r="2894" spans="1:15" hidden="1" x14ac:dyDescent="0.25">
      <c r="A2894" t="s">
        <v>86</v>
      </c>
      <c r="B2894" t="s">
        <v>115</v>
      </c>
      <c r="C2894" t="b">
        <v>0</v>
      </c>
      <c r="D2894" s="1">
        <v>39873</v>
      </c>
      <c r="E2894">
        <v>5</v>
      </c>
      <c r="F2894"/>
      <c r="G2894"/>
      <c r="H2894"/>
      <c r="I2894"/>
      <c r="J2894"/>
      <c r="K2894"/>
      <c r="L2894"/>
      <c r="M2894"/>
      <c r="N2894"/>
      <c r="O2894"/>
    </row>
    <row r="2895" spans="1:15" hidden="1" x14ac:dyDescent="0.25">
      <c r="A2895" t="s">
        <v>90</v>
      </c>
      <c r="B2895" t="s">
        <v>115</v>
      </c>
      <c r="C2895" t="b">
        <v>0</v>
      </c>
      <c r="D2895" s="1">
        <v>39873</v>
      </c>
      <c r="E2895">
        <v>5</v>
      </c>
      <c r="F2895"/>
      <c r="G2895"/>
      <c r="H2895"/>
      <c r="I2895"/>
      <c r="J2895"/>
      <c r="K2895"/>
      <c r="L2895"/>
      <c r="M2895"/>
      <c r="N2895"/>
      <c r="O2895"/>
    </row>
    <row r="2896" spans="1:15" hidden="1" x14ac:dyDescent="0.25">
      <c r="A2896" t="s">
        <v>95</v>
      </c>
      <c r="B2896" t="s">
        <v>115</v>
      </c>
      <c r="C2896" t="b">
        <v>0</v>
      </c>
      <c r="D2896" s="1">
        <v>39873</v>
      </c>
      <c r="E2896">
        <v>5</v>
      </c>
      <c r="F2896"/>
      <c r="G2896"/>
      <c r="H2896"/>
      <c r="I2896"/>
      <c r="J2896"/>
      <c r="K2896"/>
      <c r="L2896"/>
      <c r="M2896"/>
      <c r="N2896"/>
      <c r="O2896"/>
    </row>
    <row r="2897" spans="1:15" hidden="1" x14ac:dyDescent="0.25">
      <c r="A2897" t="s">
        <v>99</v>
      </c>
      <c r="B2897" t="s">
        <v>114</v>
      </c>
      <c r="C2897" t="b">
        <v>0</v>
      </c>
      <c r="D2897" s="1">
        <v>39873</v>
      </c>
      <c r="E2897">
        <v>31.7</v>
      </c>
      <c r="F2897"/>
      <c r="G2897"/>
      <c r="H2897"/>
      <c r="I2897"/>
      <c r="J2897"/>
      <c r="K2897"/>
      <c r="L2897"/>
      <c r="M2897"/>
      <c r="N2897"/>
      <c r="O2897"/>
    </row>
    <row r="2898" spans="1:15" hidden="1" x14ac:dyDescent="0.25">
      <c r="A2898" t="s">
        <v>100</v>
      </c>
      <c r="B2898" t="s">
        <v>117</v>
      </c>
      <c r="C2898" t="b">
        <v>0</v>
      </c>
      <c r="D2898" s="1">
        <v>39904</v>
      </c>
      <c r="E2898" s="2">
        <v>-108.31</v>
      </c>
      <c r="F2898"/>
      <c r="G2898"/>
      <c r="H2898"/>
      <c r="I2898"/>
      <c r="J2898"/>
      <c r="K2898"/>
      <c r="L2898"/>
      <c r="M2898"/>
      <c r="N2898"/>
      <c r="O2898"/>
    </row>
    <row r="2899" spans="1:15" hidden="1" x14ac:dyDescent="0.25">
      <c r="A2899" t="s">
        <v>102</v>
      </c>
      <c r="B2899" t="s">
        <v>117</v>
      </c>
      <c r="C2899" t="b">
        <v>0</v>
      </c>
      <c r="D2899" s="1">
        <v>39904</v>
      </c>
      <c r="E2899" s="2">
        <v>-10.649999999999999</v>
      </c>
      <c r="F2899"/>
      <c r="G2899"/>
      <c r="H2899"/>
      <c r="I2899"/>
      <c r="J2899"/>
      <c r="K2899"/>
      <c r="L2899"/>
      <c r="M2899"/>
      <c r="N2899"/>
      <c r="O2899"/>
    </row>
    <row r="2900" spans="1:15" hidden="1" x14ac:dyDescent="0.25">
      <c r="A2900" t="s">
        <v>103</v>
      </c>
      <c r="B2900" t="s">
        <v>117</v>
      </c>
      <c r="C2900" t="b">
        <v>0</v>
      </c>
      <c r="D2900" s="1">
        <v>39904</v>
      </c>
      <c r="E2900" s="2">
        <v>-18.55</v>
      </c>
      <c r="F2900"/>
      <c r="G2900"/>
      <c r="H2900"/>
      <c r="I2900"/>
      <c r="J2900"/>
      <c r="K2900"/>
      <c r="L2900"/>
      <c r="M2900"/>
      <c r="N2900"/>
      <c r="O2900"/>
    </row>
    <row r="2901" spans="1:15" hidden="1" x14ac:dyDescent="0.25">
      <c r="A2901" t="s">
        <v>101</v>
      </c>
      <c r="B2901" t="s">
        <v>117</v>
      </c>
      <c r="C2901" t="b">
        <v>0</v>
      </c>
      <c r="D2901" s="1">
        <v>39904</v>
      </c>
      <c r="E2901" s="2">
        <v>-5.35</v>
      </c>
      <c r="F2901"/>
      <c r="G2901"/>
      <c r="H2901"/>
      <c r="I2901"/>
      <c r="J2901"/>
      <c r="K2901"/>
      <c r="L2901"/>
      <c r="M2901"/>
      <c r="N2901"/>
      <c r="O2901"/>
    </row>
    <row r="2902" spans="1:15" hidden="1" x14ac:dyDescent="0.25">
      <c r="A2902" t="s">
        <v>14</v>
      </c>
      <c r="B2902" t="s">
        <v>115</v>
      </c>
      <c r="C2902" t="b">
        <v>0</v>
      </c>
      <c r="D2902" s="1">
        <v>39904</v>
      </c>
      <c r="E2902">
        <v>5</v>
      </c>
      <c r="F2902"/>
      <c r="G2902"/>
      <c r="H2902"/>
      <c r="I2902"/>
      <c r="J2902"/>
      <c r="K2902"/>
      <c r="L2902"/>
      <c r="M2902"/>
      <c r="N2902"/>
      <c r="O2902"/>
    </row>
    <row r="2903" spans="1:15" hidden="1" x14ac:dyDescent="0.25">
      <c r="A2903" t="s">
        <v>30</v>
      </c>
      <c r="B2903" t="s">
        <v>115</v>
      </c>
      <c r="C2903" t="b">
        <v>0</v>
      </c>
      <c r="D2903" s="1">
        <v>39904</v>
      </c>
      <c r="E2903">
        <v>5</v>
      </c>
      <c r="F2903"/>
      <c r="G2903"/>
      <c r="H2903"/>
      <c r="I2903"/>
      <c r="J2903"/>
      <c r="K2903"/>
      <c r="L2903"/>
      <c r="M2903"/>
      <c r="N2903"/>
      <c r="O2903"/>
    </row>
    <row r="2904" spans="1:15" hidden="1" x14ac:dyDescent="0.25">
      <c r="A2904" t="s">
        <v>37</v>
      </c>
      <c r="B2904" t="s">
        <v>115</v>
      </c>
      <c r="C2904" t="b">
        <v>0</v>
      </c>
      <c r="D2904" s="1">
        <v>39904</v>
      </c>
      <c r="E2904">
        <v>5</v>
      </c>
      <c r="F2904"/>
      <c r="G2904"/>
      <c r="H2904"/>
      <c r="I2904"/>
      <c r="J2904"/>
      <c r="K2904"/>
      <c r="L2904"/>
      <c r="M2904"/>
      <c r="N2904"/>
      <c r="O2904"/>
    </row>
    <row r="2905" spans="1:15" hidden="1" x14ac:dyDescent="0.25">
      <c r="A2905" t="s">
        <v>38</v>
      </c>
      <c r="B2905" t="s">
        <v>115</v>
      </c>
      <c r="C2905" t="b">
        <v>0</v>
      </c>
      <c r="D2905" s="1">
        <v>39904</v>
      </c>
      <c r="E2905">
        <v>5</v>
      </c>
      <c r="F2905"/>
      <c r="G2905"/>
      <c r="H2905"/>
      <c r="I2905"/>
      <c r="J2905"/>
      <c r="K2905"/>
      <c r="L2905"/>
      <c r="M2905"/>
      <c r="N2905"/>
      <c r="O2905"/>
    </row>
    <row r="2906" spans="1:15" hidden="1" x14ac:dyDescent="0.25">
      <c r="A2906" t="s">
        <v>39</v>
      </c>
      <c r="B2906" t="s">
        <v>115</v>
      </c>
      <c r="C2906" t="b">
        <v>0</v>
      </c>
      <c r="D2906" s="1">
        <v>39904</v>
      </c>
      <c r="E2906">
        <v>5</v>
      </c>
      <c r="F2906"/>
      <c r="G2906"/>
      <c r="H2906"/>
      <c r="I2906"/>
      <c r="J2906"/>
      <c r="K2906"/>
      <c r="L2906"/>
      <c r="M2906"/>
      <c r="N2906"/>
      <c r="O2906"/>
    </row>
    <row r="2907" spans="1:15" hidden="1" x14ac:dyDescent="0.25">
      <c r="A2907" t="s">
        <v>58</v>
      </c>
      <c r="B2907" t="s">
        <v>115</v>
      </c>
      <c r="C2907" t="b">
        <v>0</v>
      </c>
      <c r="D2907" s="1">
        <v>39904</v>
      </c>
      <c r="E2907">
        <v>5</v>
      </c>
      <c r="F2907"/>
      <c r="G2907"/>
      <c r="H2907"/>
      <c r="I2907"/>
      <c r="J2907"/>
      <c r="K2907"/>
      <c r="L2907"/>
      <c r="M2907"/>
      <c r="N2907"/>
      <c r="O2907"/>
    </row>
    <row r="2908" spans="1:15" hidden="1" x14ac:dyDescent="0.25">
      <c r="A2908" t="s">
        <v>57</v>
      </c>
      <c r="B2908" t="s">
        <v>115</v>
      </c>
      <c r="C2908" t="b">
        <v>0</v>
      </c>
      <c r="D2908" s="1">
        <v>39904</v>
      </c>
      <c r="E2908">
        <v>5</v>
      </c>
      <c r="F2908"/>
      <c r="G2908"/>
      <c r="H2908"/>
      <c r="I2908"/>
      <c r="J2908"/>
      <c r="K2908"/>
      <c r="L2908"/>
      <c r="M2908"/>
      <c r="N2908"/>
      <c r="O2908"/>
    </row>
    <row r="2909" spans="1:15" hidden="1" x14ac:dyDescent="0.25">
      <c r="A2909" t="s">
        <v>62</v>
      </c>
      <c r="B2909" t="s">
        <v>115</v>
      </c>
      <c r="C2909" t="b">
        <v>0</v>
      </c>
      <c r="D2909" s="1">
        <v>39904</v>
      </c>
      <c r="E2909">
        <v>5</v>
      </c>
      <c r="F2909"/>
      <c r="G2909"/>
      <c r="H2909"/>
      <c r="I2909"/>
      <c r="J2909"/>
      <c r="K2909"/>
      <c r="L2909"/>
      <c r="M2909"/>
      <c r="N2909"/>
      <c r="O2909"/>
    </row>
    <row r="2910" spans="1:15" hidden="1" x14ac:dyDescent="0.25">
      <c r="A2910" t="s">
        <v>70</v>
      </c>
      <c r="B2910" t="s">
        <v>115</v>
      </c>
      <c r="C2910" t="b">
        <v>0</v>
      </c>
      <c r="D2910" s="1">
        <v>39904</v>
      </c>
      <c r="E2910">
        <v>5</v>
      </c>
      <c r="F2910"/>
      <c r="G2910"/>
      <c r="H2910"/>
      <c r="I2910"/>
      <c r="J2910"/>
      <c r="K2910"/>
      <c r="L2910"/>
      <c r="M2910"/>
      <c r="N2910"/>
      <c r="O2910"/>
    </row>
    <row r="2911" spans="1:15" hidden="1" x14ac:dyDescent="0.25">
      <c r="A2911" t="s">
        <v>71</v>
      </c>
      <c r="B2911" t="s">
        <v>115</v>
      </c>
      <c r="C2911" t="b">
        <v>0</v>
      </c>
      <c r="D2911" s="1">
        <v>39904</v>
      </c>
      <c r="E2911">
        <v>5</v>
      </c>
      <c r="F2911"/>
      <c r="G2911"/>
      <c r="H2911"/>
      <c r="I2911"/>
      <c r="J2911"/>
      <c r="K2911"/>
      <c r="L2911"/>
      <c r="M2911"/>
      <c r="N2911"/>
      <c r="O2911"/>
    </row>
    <row r="2912" spans="1:15" hidden="1" x14ac:dyDescent="0.25">
      <c r="A2912" t="s">
        <v>74</v>
      </c>
      <c r="B2912" t="s">
        <v>115</v>
      </c>
      <c r="C2912" t="b">
        <v>0</v>
      </c>
      <c r="D2912" s="1">
        <v>39904</v>
      </c>
      <c r="E2912">
        <v>5</v>
      </c>
      <c r="F2912"/>
      <c r="G2912"/>
      <c r="H2912"/>
      <c r="I2912"/>
      <c r="J2912"/>
      <c r="K2912"/>
      <c r="L2912"/>
      <c r="M2912"/>
      <c r="N2912"/>
      <c r="O2912"/>
    </row>
    <row r="2913" spans="1:15" hidden="1" x14ac:dyDescent="0.25">
      <c r="A2913" t="s">
        <v>86</v>
      </c>
      <c r="B2913" t="s">
        <v>115</v>
      </c>
      <c r="C2913" t="b">
        <v>0</v>
      </c>
      <c r="D2913" s="1">
        <v>39904</v>
      </c>
      <c r="E2913">
        <v>5</v>
      </c>
      <c r="F2913"/>
      <c r="G2913"/>
      <c r="H2913"/>
      <c r="I2913"/>
      <c r="J2913"/>
      <c r="K2913"/>
      <c r="L2913"/>
      <c r="M2913"/>
      <c r="N2913"/>
      <c r="O2913"/>
    </row>
    <row r="2914" spans="1:15" hidden="1" x14ac:dyDescent="0.25">
      <c r="A2914" t="s">
        <v>90</v>
      </c>
      <c r="B2914" t="s">
        <v>115</v>
      </c>
      <c r="C2914" t="b">
        <v>0</v>
      </c>
      <c r="D2914" s="1">
        <v>39904</v>
      </c>
      <c r="E2914">
        <v>5</v>
      </c>
      <c r="F2914"/>
      <c r="G2914"/>
      <c r="H2914"/>
      <c r="I2914"/>
      <c r="J2914"/>
      <c r="K2914"/>
      <c r="L2914"/>
      <c r="M2914"/>
      <c r="N2914"/>
      <c r="O2914"/>
    </row>
    <row r="2915" spans="1:15" hidden="1" x14ac:dyDescent="0.25">
      <c r="A2915" t="s">
        <v>95</v>
      </c>
      <c r="B2915" t="s">
        <v>115</v>
      </c>
      <c r="C2915" t="b">
        <v>0</v>
      </c>
      <c r="D2915" s="1">
        <v>39904</v>
      </c>
      <c r="E2915">
        <v>5</v>
      </c>
      <c r="F2915"/>
      <c r="G2915"/>
      <c r="H2915"/>
      <c r="I2915"/>
      <c r="J2915"/>
      <c r="K2915"/>
      <c r="L2915"/>
      <c r="M2915"/>
      <c r="N2915"/>
      <c r="O2915"/>
    </row>
    <row r="2916" spans="1:15" hidden="1" x14ac:dyDescent="0.25">
      <c r="A2916" t="s">
        <v>99</v>
      </c>
      <c r="B2916" t="s">
        <v>114</v>
      </c>
      <c r="C2916" t="b">
        <v>0</v>
      </c>
      <c r="D2916" s="1">
        <v>39904</v>
      </c>
      <c r="E2916">
        <v>27.15</v>
      </c>
      <c r="F2916"/>
      <c r="G2916"/>
      <c r="H2916"/>
      <c r="I2916"/>
      <c r="J2916"/>
      <c r="K2916"/>
      <c r="L2916"/>
      <c r="M2916"/>
      <c r="N2916"/>
      <c r="O2916"/>
    </row>
    <row r="2917" spans="1:15" hidden="1" x14ac:dyDescent="0.25">
      <c r="A2917" t="s">
        <v>100</v>
      </c>
      <c r="B2917" t="s">
        <v>117</v>
      </c>
      <c r="C2917" t="b">
        <v>0</v>
      </c>
      <c r="D2917" s="1">
        <v>39934</v>
      </c>
      <c r="E2917" s="2">
        <v>-62.32</v>
      </c>
      <c r="F2917"/>
      <c r="G2917"/>
      <c r="H2917"/>
      <c r="I2917"/>
      <c r="J2917"/>
      <c r="K2917"/>
      <c r="L2917"/>
      <c r="M2917"/>
      <c r="N2917"/>
      <c r="O2917"/>
    </row>
    <row r="2918" spans="1:15" hidden="1" x14ac:dyDescent="0.25">
      <c r="A2918" t="s">
        <v>14</v>
      </c>
      <c r="B2918" t="s">
        <v>115</v>
      </c>
      <c r="C2918" t="b">
        <v>0</v>
      </c>
      <c r="D2918" s="1">
        <v>39934</v>
      </c>
      <c r="E2918">
        <v>5</v>
      </c>
      <c r="F2918"/>
      <c r="G2918"/>
      <c r="H2918"/>
      <c r="I2918"/>
      <c r="J2918"/>
      <c r="K2918"/>
      <c r="L2918"/>
      <c r="M2918"/>
      <c r="N2918"/>
      <c r="O2918"/>
    </row>
    <row r="2919" spans="1:15" hidden="1" x14ac:dyDescent="0.25">
      <c r="A2919" t="s">
        <v>30</v>
      </c>
      <c r="B2919" t="s">
        <v>115</v>
      </c>
      <c r="C2919" t="b">
        <v>0</v>
      </c>
      <c r="D2919" s="1">
        <v>39934</v>
      </c>
      <c r="E2919">
        <v>5</v>
      </c>
      <c r="F2919"/>
      <c r="G2919"/>
      <c r="H2919"/>
      <c r="I2919"/>
      <c r="J2919"/>
      <c r="K2919"/>
      <c r="L2919"/>
      <c r="M2919"/>
      <c r="N2919"/>
      <c r="O2919"/>
    </row>
    <row r="2920" spans="1:15" hidden="1" x14ac:dyDescent="0.25">
      <c r="A2920" t="s">
        <v>37</v>
      </c>
      <c r="B2920" t="s">
        <v>115</v>
      </c>
      <c r="C2920" t="b">
        <v>0</v>
      </c>
      <c r="D2920" s="1">
        <v>39934</v>
      </c>
      <c r="E2920">
        <v>5</v>
      </c>
      <c r="F2920"/>
      <c r="G2920"/>
      <c r="H2920"/>
      <c r="I2920"/>
      <c r="J2920"/>
      <c r="K2920"/>
      <c r="L2920"/>
      <c r="M2920"/>
      <c r="N2920"/>
      <c r="O2920"/>
    </row>
    <row r="2921" spans="1:15" hidden="1" x14ac:dyDescent="0.25">
      <c r="A2921" t="s">
        <v>38</v>
      </c>
      <c r="B2921" t="s">
        <v>115</v>
      </c>
      <c r="C2921" t="b">
        <v>0</v>
      </c>
      <c r="D2921" s="1">
        <v>39934</v>
      </c>
      <c r="E2921">
        <v>5</v>
      </c>
      <c r="F2921"/>
      <c r="G2921"/>
      <c r="H2921"/>
      <c r="I2921"/>
      <c r="J2921"/>
      <c r="K2921"/>
      <c r="L2921"/>
      <c r="M2921"/>
      <c r="N2921"/>
      <c r="O2921"/>
    </row>
    <row r="2922" spans="1:15" hidden="1" x14ac:dyDescent="0.25">
      <c r="A2922" t="s">
        <v>39</v>
      </c>
      <c r="B2922" t="s">
        <v>115</v>
      </c>
      <c r="C2922" t="b">
        <v>0</v>
      </c>
      <c r="D2922" s="1">
        <v>39934</v>
      </c>
      <c r="E2922">
        <v>5</v>
      </c>
      <c r="F2922"/>
      <c r="G2922"/>
      <c r="H2922"/>
      <c r="I2922"/>
      <c r="J2922"/>
      <c r="K2922"/>
      <c r="L2922"/>
      <c r="M2922"/>
      <c r="N2922"/>
      <c r="O2922"/>
    </row>
    <row r="2923" spans="1:15" hidden="1" x14ac:dyDescent="0.25">
      <c r="A2923" t="s">
        <v>58</v>
      </c>
      <c r="B2923" t="s">
        <v>115</v>
      </c>
      <c r="C2923" t="b">
        <v>0</v>
      </c>
      <c r="D2923" s="1">
        <v>39934</v>
      </c>
      <c r="E2923">
        <v>5</v>
      </c>
      <c r="F2923"/>
      <c r="G2923"/>
      <c r="H2923"/>
      <c r="I2923"/>
      <c r="J2923"/>
      <c r="K2923"/>
      <c r="L2923"/>
      <c r="M2923"/>
      <c r="N2923"/>
      <c r="O2923"/>
    </row>
    <row r="2924" spans="1:15" hidden="1" x14ac:dyDescent="0.25">
      <c r="A2924" t="s">
        <v>57</v>
      </c>
      <c r="B2924" t="s">
        <v>115</v>
      </c>
      <c r="C2924" t="b">
        <v>0</v>
      </c>
      <c r="D2924" s="1">
        <v>39934</v>
      </c>
      <c r="E2924">
        <v>5</v>
      </c>
      <c r="F2924"/>
      <c r="G2924"/>
      <c r="H2924"/>
      <c r="I2924"/>
      <c r="J2924"/>
      <c r="K2924"/>
      <c r="L2924"/>
      <c r="M2924"/>
      <c r="N2924"/>
      <c r="O2924"/>
    </row>
    <row r="2925" spans="1:15" hidden="1" x14ac:dyDescent="0.25">
      <c r="A2925" t="s">
        <v>68</v>
      </c>
      <c r="B2925" t="s">
        <v>115</v>
      </c>
      <c r="C2925" t="b">
        <v>0</v>
      </c>
      <c r="D2925" s="1">
        <v>39934</v>
      </c>
      <c r="E2925">
        <v>5</v>
      </c>
      <c r="F2925"/>
      <c r="G2925"/>
      <c r="H2925"/>
      <c r="I2925"/>
      <c r="J2925"/>
      <c r="K2925"/>
      <c r="L2925"/>
      <c r="M2925"/>
      <c r="N2925"/>
      <c r="O2925"/>
    </row>
    <row r="2926" spans="1:15" hidden="1" x14ac:dyDescent="0.25">
      <c r="A2926" t="s">
        <v>62</v>
      </c>
      <c r="B2926" t="s">
        <v>115</v>
      </c>
      <c r="C2926" t="b">
        <v>0</v>
      </c>
      <c r="D2926" s="1">
        <v>39934</v>
      </c>
      <c r="E2926">
        <v>5</v>
      </c>
      <c r="F2926"/>
      <c r="G2926"/>
      <c r="H2926"/>
      <c r="I2926"/>
      <c r="J2926"/>
      <c r="K2926"/>
      <c r="L2926"/>
      <c r="M2926"/>
      <c r="N2926"/>
      <c r="O2926"/>
    </row>
    <row r="2927" spans="1:15" hidden="1" x14ac:dyDescent="0.25">
      <c r="A2927" t="s">
        <v>69</v>
      </c>
      <c r="B2927" t="s">
        <v>115</v>
      </c>
      <c r="C2927" t="b">
        <v>0</v>
      </c>
      <c r="D2927" s="1">
        <v>39934</v>
      </c>
      <c r="E2927">
        <v>5</v>
      </c>
      <c r="F2927"/>
      <c r="G2927"/>
      <c r="H2927"/>
      <c r="I2927"/>
      <c r="J2927"/>
      <c r="K2927"/>
      <c r="L2927"/>
      <c r="M2927"/>
      <c r="N2927"/>
      <c r="O2927"/>
    </row>
    <row r="2928" spans="1:15" hidden="1" x14ac:dyDescent="0.25">
      <c r="A2928" t="s">
        <v>70</v>
      </c>
      <c r="B2928" t="s">
        <v>115</v>
      </c>
      <c r="C2928" t="b">
        <v>0</v>
      </c>
      <c r="D2928" s="1">
        <v>39934</v>
      </c>
      <c r="E2928">
        <v>5</v>
      </c>
      <c r="F2928"/>
      <c r="G2928"/>
      <c r="H2928"/>
      <c r="I2928"/>
      <c r="J2928"/>
      <c r="K2928"/>
      <c r="L2928"/>
      <c r="M2928"/>
      <c r="N2928"/>
      <c r="O2928"/>
    </row>
    <row r="2929" spans="1:15" hidden="1" x14ac:dyDescent="0.25">
      <c r="A2929" t="s">
        <v>71</v>
      </c>
      <c r="B2929" t="s">
        <v>115</v>
      </c>
      <c r="C2929" t="b">
        <v>0</v>
      </c>
      <c r="D2929" s="1">
        <v>39934</v>
      </c>
      <c r="E2929">
        <v>5</v>
      </c>
      <c r="F2929"/>
      <c r="G2929"/>
      <c r="H2929"/>
      <c r="I2929"/>
      <c r="J2929"/>
      <c r="K2929"/>
      <c r="L2929"/>
      <c r="M2929"/>
      <c r="N2929"/>
      <c r="O2929"/>
    </row>
    <row r="2930" spans="1:15" hidden="1" x14ac:dyDescent="0.25">
      <c r="A2930" t="s">
        <v>74</v>
      </c>
      <c r="B2930" t="s">
        <v>115</v>
      </c>
      <c r="C2930" t="b">
        <v>0</v>
      </c>
      <c r="D2930" s="1">
        <v>39934</v>
      </c>
      <c r="E2930">
        <v>5</v>
      </c>
      <c r="F2930"/>
      <c r="G2930"/>
      <c r="H2930"/>
      <c r="I2930"/>
      <c r="J2930"/>
      <c r="K2930"/>
      <c r="L2930"/>
      <c r="M2930"/>
      <c r="N2930"/>
      <c r="O2930"/>
    </row>
    <row r="2931" spans="1:15" hidden="1" x14ac:dyDescent="0.25">
      <c r="A2931" t="s">
        <v>77</v>
      </c>
      <c r="B2931" t="s">
        <v>115</v>
      </c>
      <c r="C2931" t="b">
        <v>0</v>
      </c>
      <c r="D2931" s="1">
        <v>39934</v>
      </c>
      <c r="E2931">
        <v>5</v>
      </c>
      <c r="F2931"/>
      <c r="G2931"/>
      <c r="H2931"/>
      <c r="I2931"/>
      <c r="J2931"/>
      <c r="K2931"/>
      <c r="L2931"/>
      <c r="M2931"/>
      <c r="N2931"/>
      <c r="O2931"/>
    </row>
    <row r="2932" spans="1:15" hidden="1" x14ac:dyDescent="0.25">
      <c r="A2932" t="s">
        <v>86</v>
      </c>
      <c r="B2932" t="s">
        <v>115</v>
      </c>
      <c r="C2932" t="b">
        <v>0</v>
      </c>
      <c r="D2932" s="1">
        <v>39934</v>
      </c>
      <c r="E2932">
        <v>5</v>
      </c>
      <c r="F2932"/>
      <c r="G2932"/>
      <c r="H2932"/>
      <c r="I2932"/>
      <c r="J2932"/>
      <c r="K2932"/>
      <c r="L2932"/>
      <c r="M2932"/>
      <c r="N2932"/>
      <c r="O2932"/>
    </row>
    <row r="2933" spans="1:15" hidden="1" x14ac:dyDescent="0.25">
      <c r="A2933" t="s">
        <v>90</v>
      </c>
      <c r="B2933" t="s">
        <v>115</v>
      </c>
      <c r="C2933" t="b">
        <v>0</v>
      </c>
      <c r="D2933" s="1">
        <v>39934</v>
      </c>
      <c r="E2933">
        <v>5</v>
      </c>
      <c r="F2933"/>
      <c r="G2933"/>
      <c r="H2933"/>
      <c r="I2933"/>
      <c r="J2933"/>
      <c r="K2933"/>
      <c r="L2933"/>
      <c r="M2933"/>
      <c r="N2933"/>
      <c r="O2933"/>
    </row>
    <row r="2934" spans="1:15" hidden="1" x14ac:dyDescent="0.25">
      <c r="A2934" t="s">
        <v>95</v>
      </c>
      <c r="B2934" t="s">
        <v>115</v>
      </c>
      <c r="C2934" t="b">
        <v>0</v>
      </c>
      <c r="D2934" s="1">
        <v>39934</v>
      </c>
      <c r="E2934">
        <v>5</v>
      </c>
      <c r="F2934"/>
      <c r="G2934"/>
      <c r="H2934"/>
      <c r="I2934"/>
      <c r="J2934"/>
      <c r="K2934"/>
      <c r="L2934"/>
      <c r="M2934"/>
      <c r="N2934"/>
      <c r="O2934"/>
    </row>
    <row r="2935" spans="1:15" hidden="1" x14ac:dyDescent="0.25">
      <c r="A2935" t="s">
        <v>100</v>
      </c>
      <c r="B2935" t="s">
        <v>117</v>
      </c>
      <c r="C2935" t="b">
        <v>0</v>
      </c>
      <c r="D2935" s="1">
        <v>39965</v>
      </c>
      <c r="E2935" s="2">
        <v>-73.099999999999994</v>
      </c>
      <c r="F2935"/>
      <c r="G2935"/>
      <c r="H2935"/>
      <c r="I2935"/>
      <c r="J2935"/>
      <c r="K2935"/>
      <c r="L2935"/>
      <c r="M2935"/>
      <c r="N2935"/>
      <c r="O2935"/>
    </row>
    <row r="2936" spans="1:15" hidden="1" x14ac:dyDescent="0.25">
      <c r="A2936" t="s">
        <v>102</v>
      </c>
      <c r="B2936" t="s">
        <v>117</v>
      </c>
      <c r="C2936" t="b">
        <v>0</v>
      </c>
      <c r="D2936" s="1">
        <v>39965</v>
      </c>
      <c r="E2936" s="2">
        <v>-0.66</v>
      </c>
      <c r="F2936"/>
      <c r="G2936"/>
      <c r="H2936"/>
      <c r="I2936"/>
      <c r="J2936"/>
      <c r="K2936"/>
      <c r="L2936"/>
      <c r="M2936"/>
      <c r="N2936"/>
      <c r="O2936"/>
    </row>
    <row r="2937" spans="1:15" hidden="1" x14ac:dyDescent="0.25">
      <c r="A2937" t="s">
        <v>14</v>
      </c>
      <c r="B2937" t="s">
        <v>115</v>
      </c>
      <c r="C2937" t="b">
        <v>0</v>
      </c>
      <c r="D2937" s="1">
        <v>39965</v>
      </c>
      <c r="E2937">
        <v>5</v>
      </c>
      <c r="F2937"/>
      <c r="G2937"/>
      <c r="H2937"/>
      <c r="I2937"/>
      <c r="J2937"/>
      <c r="K2937"/>
      <c r="L2937"/>
      <c r="M2937"/>
      <c r="N2937"/>
      <c r="O2937"/>
    </row>
    <row r="2938" spans="1:15" hidden="1" x14ac:dyDescent="0.25">
      <c r="A2938" t="s">
        <v>30</v>
      </c>
      <c r="B2938" t="s">
        <v>115</v>
      </c>
      <c r="C2938" t="b">
        <v>0</v>
      </c>
      <c r="D2938" s="1">
        <v>39965</v>
      </c>
      <c r="E2938">
        <v>5</v>
      </c>
      <c r="F2938"/>
      <c r="G2938"/>
      <c r="H2938"/>
      <c r="I2938"/>
      <c r="J2938"/>
      <c r="K2938"/>
      <c r="L2938"/>
      <c r="M2938"/>
      <c r="N2938"/>
      <c r="O2938"/>
    </row>
    <row r="2939" spans="1:15" hidden="1" x14ac:dyDescent="0.25">
      <c r="A2939" t="s">
        <v>37</v>
      </c>
      <c r="B2939" t="s">
        <v>115</v>
      </c>
      <c r="C2939" t="b">
        <v>0</v>
      </c>
      <c r="D2939" s="1">
        <v>39965</v>
      </c>
      <c r="E2939">
        <v>5</v>
      </c>
      <c r="F2939"/>
      <c r="G2939"/>
      <c r="H2939"/>
      <c r="I2939"/>
      <c r="J2939"/>
      <c r="K2939"/>
      <c r="L2939"/>
      <c r="M2939"/>
      <c r="N2939"/>
      <c r="O2939"/>
    </row>
    <row r="2940" spans="1:15" hidden="1" x14ac:dyDescent="0.25">
      <c r="A2940" t="s">
        <v>38</v>
      </c>
      <c r="B2940" t="s">
        <v>115</v>
      </c>
      <c r="C2940" t="b">
        <v>0</v>
      </c>
      <c r="D2940" s="1">
        <v>39965</v>
      </c>
      <c r="E2940">
        <v>5</v>
      </c>
      <c r="F2940"/>
      <c r="G2940"/>
      <c r="H2940"/>
      <c r="I2940"/>
      <c r="J2940"/>
      <c r="K2940"/>
      <c r="L2940"/>
      <c r="M2940"/>
      <c r="N2940"/>
      <c r="O2940"/>
    </row>
    <row r="2941" spans="1:15" hidden="1" x14ac:dyDescent="0.25">
      <c r="A2941" t="s">
        <v>39</v>
      </c>
      <c r="B2941" t="s">
        <v>115</v>
      </c>
      <c r="C2941" t="b">
        <v>0</v>
      </c>
      <c r="D2941" s="1">
        <v>39965</v>
      </c>
      <c r="E2941">
        <v>5</v>
      </c>
      <c r="F2941"/>
      <c r="G2941"/>
      <c r="H2941"/>
      <c r="I2941"/>
      <c r="J2941"/>
      <c r="K2941"/>
      <c r="L2941"/>
      <c r="M2941"/>
      <c r="N2941"/>
      <c r="O2941"/>
    </row>
    <row r="2942" spans="1:15" hidden="1" x14ac:dyDescent="0.25">
      <c r="A2942" t="s">
        <v>58</v>
      </c>
      <c r="B2942" t="s">
        <v>115</v>
      </c>
      <c r="C2942" t="b">
        <v>0</v>
      </c>
      <c r="D2942" s="1">
        <v>39965</v>
      </c>
      <c r="E2942">
        <v>5</v>
      </c>
      <c r="F2942"/>
      <c r="G2942"/>
      <c r="H2942"/>
      <c r="I2942"/>
      <c r="J2942"/>
      <c r="K2942"/>
      <c r="L2942"/>
      <c r="M2942"/>
      <c r="N2942"/>
      <c r="O2942"/>
    </row>
    <row r="2943" spans="1:15" hidden="1" x14ac:dyDescent="0.25">
      <c r="A2943" t="s">
        <v>57</v>
      </c>
      <c r="B2943" t="s">
        <v>115</v>
      </c>
      <c r="C2943" t="b">
        <v>0</v>
      </c>
      <c r="D2943" s="1">
        <v>39965</v>
      </c>
      <c r="E2943">
        <v>5</v>
      </c>
      <c r="F2943"/>
      <c r="G2943"/>
      <c r="H2943"/>
      <c r="I2943"/>
      <c r="J2943"/>
      <c r="K2943"/>
      <c r="L2943"/>
      <c r="M2943"/>
      <c r="N2943"/>
      <c r="O2943"/>
    </row>
    <row r="2944" spans="1:15" hidden="1" x14ac:dyDescent="0.25">
      <c r="A2944" t="s">
        <v>68</v>
      </c>
      <c r="B2944" t="s">
        <v>115</v>
      </c>
      <c r="C2944" t="b">
        <v>0</v>
      </c>
      <c r="D2944" s="1">
        <v>39965</v>
      </c>
      <c r="E2944">
        <v>5</v>
      </c>
      <c r="F2944"/>
      <c r="G2944"/>
      <c r="H2944"/>
      <c r="I2944"/>
      <c r="J2944"/>
      <c r="K2944"/>
      <c r="L2944"/>
      <c r="M2944"/>
      <c r="N2944"/>
      <c r="O2944"/>
    </row>
    <row r="2945" spans="1:15" hidden="1" x14ac:dyDescent="0.25">
      <c r="A2945" t="s">
        <v>69</v>
      </c>
      <c r="B2945" t="s">
        <v>115</v>
      </c>
      <c r="C2945" t="b">
        <v>0</v>
      </c>
      <c r="D2945" s="1">
        <v>39965</v>
      </c>
      <c r="E2945">
        <v>5</v>
      </c>
      <c r="F2945"/>
      <c r="G2945"/>
      <c r="H2945"/>
      <c r="I2945"/>
      <c r="J2945"/>
      <c r="K2945"/>
      <c r="L2945"/>
      <c r="M2945"/>
      <c r="N2945"/>
      <c r="O2945"/>
    </row>
    <row r="2946" spans="1:15" hidden="1" x14ac:dyDescent="0.25">
      <c r="A2946" t="s">
        <v>70</v>
      </c>
      <c r="B2946" t="s">
        <v>115</v>
      </c>
      <c r="C2946" t="b">
        <v>0</v>
      </c>
      <c r="D2946" s="1">
        <v>39965</v>
      </c>
      <c r="E2946">
        <v>5</v>
      </c>
      <c r="F2946"/>
      <c r="G2946"/>
      <c r="H2946"/>
      <c r="I2946"/>
      <c r="J2946"/>
      <c r="K2946"/>
      <c r="L2946"/>
      <c r="M2946"/>
      <c r="N2946"/>
      <c r="O2946"/>
    </row>
    <row r="2947" spans="1:15" hidden="1" x14ac:dyDescent="0.25">
      <c r="A2947" t="s">
        <v>71</v>
      </c>
      <c r="B2947" t="s">
        <v>115</v>
      </c>
      <c r="C2947" t="b">
        <v>0</v>
      </c>
      <c r="D2947" s="1">
        <v>39965</v>
      </c>
      <c r="E2947">
        <v>5</v>
      </c>
      <c r="F2947"/>
      <c r="G2947"/>
      <c r="H2947"/>
      <c r="I2947"/>
      <c r="J2947"/>
      <c r="K2947"/>
      <c r="L2947"/>
      <c r="M2947"/>
      <c r="N2947"/>
      <c r="O2947"/>
    </row>
    <row r="2948" spans="1:15" hidden="1" x14ac:dyDescent="0.25">
      <c r="A2948" t="s">
        <v>74</v>
      </c>
      <c r="B2948" t="s">
        <v>115</v>
      </c>
      <c r="C2948" t="b">
        <v>0</v>
      </c>
      <c r="D2948" s="1">
        <v>39965</v>
      </c>
      <c r="E2948">
        <v>5</v>
      </c>
      <c r="F2948"/>
      <c r="G2948"/>
      <c r="H2948"/>
      <c r="I2948"/>
      <c r="J2948"/>
      <c r="K2948"/>
      <c r="L2948"/>
      <c r="M2948"/>
      <c r="N2948"/>
      <c r="O2948"/>
    </row>
    <row r="2949" spans="1:15" hidden="1" x14ac:dyDescent="0.25">
      <c r="A2949" t="s">
        <v>76</v>
      </c>
      <c r="B2949" t="s">
        <v>115</v>
      </c>
      <c r="C2949" t="b">
        <v>0</v>
      </c>
      <c r="D2949" s="1">
        <v>39965</v>
      </c>
      <c r="E2949">
        <v>1E-3</v>
      </c>
      <c r="F2949"/>
      <c r="G2949"/>
      <c r="H2949"/>
      <c r="I2949"/>
      <c r="J2949"/>
      <c r="K2949"/>
      <c r="L2949"/>
      <c r="M2949"/>
      <c r="N2949"/>
      <c r="O2949"/>
    </row>
    <row r="2950" spans="1:15" hidden="1" x14ac:dyDescent="0.25">
      <c r="A2950" t="s">
        <v>77</v>
      </c>
      <c r="B2950" t="s">
        <v>115</v>
      </c>
      <c r="C2950" t="b">
        <v>0</v>
      </c>
      <c r="D2950" s="1">
        <v>39965</v>
      </c>
      <c r="E2950">
        <v>5</v>
      </c>
      <c r="F2950"/>
      <c r="G2950"/>
      <c r="H2950"/>
      <c r="I2950"/>
      <c r="J2950"/>
      <c r="K2950"/>
      <c r="L2950"/>
      <c r="M2950"/>
      <c r="N2950"/>
      <c r="O2950"/>
    </row>
    <row r="2951" spans="1:15" hidden="1" x14ac:dyDescent="0.25">
      <c r="A2951" t="s">
        <v>86</v>
      </c>
      <c r="B2951" t="s">
        <v>115</v>
      </c>
      <c r="C2951" t="b">
        <v>0</v>
      </c>
      <c r="D2951" s="1">
        <v>39965</v>
      </c>
      <c r="E2951">
        <v>5</v>
      </c>
      <c r="F2951"/>
      <c r="G2951"/>
      <c r="H2951"/>
      <c r="I2951"/>
      <c r="J2951"/>
      <c r="K2951"/>
      <c r="L2951"/>
      <c r="M2951"/>
      <c r="N2951"/>
      <c r="O2951"/>
    </row>
    <row r="2952" spans="1:15" hidden="1" x14ac:dyDescent="0.25">
      <c r="A2952" t="s">
        <v>90</v>
      </c>
      <c r="B2952" t="s">
        <v>115</v>
      </c>
      <c r="C2952" t="b">
        <v>0</v>
      </c>
      <c r="D2952" s="1">
        <v>39965</v>
      </c>
      <c r="E2952">
        <v>5</v>
      </c>
      <c r="F2952"/>
      <c r="G2952"/>
      <c r="H2952"/>
      <c r="I2952"/>
      <c r="J2952"/>
      <c r="K2952"/>
      <c r="L2952"/>
      <c r="M2952"/>
      <c r="N2952"/>
      <c r="O2952"/>
    </row>
    <row r="2953" spans="1:15" hidden="1" x14ac:dyDescent="0.25">
      <c r="A2953" t="s">
        <v>95</v>
      </c>
      <c r="B2953" t="s">
        <v>115</v>
      </c>
      <c r="C2953" t="b">
        <v>0</v>
      </c>
      <c r="D2953" s="1">
        <v>39965</v>
      </c>
      <c r="E2953">
        <v>5</v>
      </c>
      <c r="F2953"/>
      <c r="G2953"/>
      <c r="H2953"/>
      <c r="I2953"/>
      <c r="J2953"/>
      <c r="K2953"/>
      <c r="L2953"/>
      <c r="M2953"/>
      <c r="N2953"/>
      <c r="O2953"/>
    </row>
    <row r="2954" spans="1:15" hidden="1" x14ac:dyDescent="0.25">
      <c r="A2954" t="s">
        <v>99</v>
      </c>
      <c r="B2954" t="s">
        <v>114</v>
      </c>
      <c r="C2954" t="b">
        <v>0</v>
      </c>
      <c r="D2954" s="1">
        <v>39965</v>
      </c>
      <c r="E2954">
        <v>24.52</v>
      </c>
      <c r="F2954"/>
      <c r="G2954"/>
      <c r="H2954"/>
      <c r="I2954"/>
      <c r="J2954"/>
      <c r="K2954"/>
      <c r="L2954"/>
      <c r="M2954"/>
      <c r="N2954"/>
      <c r="O2954"/>
    </row>
    <row r="2955" spans="1:15" hidden="1" x14ac:dyDescent="0.25">
      <c r="A2955" t="s">
        <v>100</v>
      </c>
      <c r="B2955" t="s">
        <v>117</v>
      </c>
      <c r="C2955" t="b">
        <v>0</v>
      </c>
      <c r="D2955" s="1">
        <v>39995</v>
      </c>
      <c r="E2955" s="2">
        <v>-112.04</v>
      </c>
      <c r="F2955"/>
      <c r="G2955"/>
      <c r="H2955"/>
      <c r="I2955"/>
      <c r="J2955"/>
      <c r="K2955"/>
      <c r="L2955"/>
      <c r="M2955"/>
      <c r="N2955"/>
      <c r="O2955"/>
    </row>
    <row r="2956" spans="1:15" hidden="1" x14ac:dyDescent="0.25">
      <c r="A2956" t="s">
        <v>14</v>
      </c>
      <c r="B2956" t="s">
        <v>115</v>
      </c>
      <c r="C2956" t="b">
        <v>0</v>
      </c>
      <c r="D2956" s="1">
        <v>39995</v>
      </c>
      <c r="E2956">
        <v>5</v>
      </c>
      <c r="F2956"/>
      <c r="G2956"/>
      <c r="H2956"/>
      <c r="I2956"/>
      <c r="J2956"/>
      <c r="K2956"/>
      <c r="L2956"/>
      <c r="M2956"/>
      <c r="N2956"/>
      <c r="O2956"/>
    </row>
    <row r="2957" spans="1:15" hidden="1" x14ac:dyDescent="0.25">
      <c r="A2957" t="s">
        <v>30</v>
      </c>
      <c r="B2957" t="s">
        <v>115</v>
      </c>
      <c r="C2957" t="b">
        <v>0</v>
      </c>
      <c r="D2957" s="1">
        <v>39995</v>
      </c>
      <c r="E2957">
        <v>5</v>
      </c>
      <c r="F2957"/>
      <c r="G2957"/>
      <c r="H2957"/>
      <c r="I2957"/>
      <c r="J2957"/>
      <c r="K2957"/>
      <c r="L2957"/>
      <c r="M2957"/>
      <c r="N2957"/>
      <c r="O2957"/>
    </row>
    <row r="2958" spans="1:15" hidden="1" x14ac:dyDescent="0.25">
      <c r="A2958" t="s">
        <v>31</v>
      </c>
      <c r="B2958" t="s">
        <v>115</v>
      </c>
      <c r="C2958" t="b">
        <v>0</v>
      </c>
      <c r="D2958" s="1">
        <v>39995</v>
      </c>
      <c r="E2958">
        <v>2</v>
      </c>
      <c r="F2958"/>
      <c r="G2958"/>
      <c r="H2958"/>
      <c r="I2958"/>
      <c r="J2958"/>
      <c r="K2958"/>
      <c r="L2958"/>
      <c r="M2958"/>
      <c r="N2958"/>
      <c r="O2958"/>
    </row>
    <row r="2959" spans="1:15" hidden="1" x14ac:dyDescent="0.25">
      <c r="A2959" t="s">
        <v>34</v>
      </c>
      <c r="B2959" t="s">
        <v>115</v>
      </c>
      <c r="C2959" t="b">
        <v>0</v>
      </c>
      <c r="D2959" s="1">
        <v>39995</v>
      </c>
      <c r="E2959">
        <v>5</v>
      </c>
      <c r="F2959"/>
      <c r="G2959"/>
      <c r="H2959"/>
      <c r="I2959"/>
      <c r="J2959"/>
      <c r="K2959"/>
      <c r="L2959"/>
      <c r="M2959"/>
      <c r="N2959"/>
      <c r="O2959"/>
    </row>
    <row r="2960" spans="1:15" hidden="1" x14ac:dyDescent="0.25">
      <c r="A2960" t="s">
        <v>37</v>
      </c>
      <c r="B2960" t="s">
        <v>115</v>
      </c>
      <c r="C2960" t="b">
        <v>0</v>
      </c>
      <c r="D2960" s="1">
        <v>39995</v>
      </c>
      <c r="E2960">
        <v>5</v>
      </c>
      <c r="F2960"/>
      <c r="G2960"/>
      <c r="H2960"/>
      <c r="I2960"/>
      <c r="J2960"/>
      <c r="K2960"/>
      <c r="L2960"/>
      <c r="M2960"/>
      <c r="N2960"/>
      <c r="O2960"/>
    </row>
    <row r="2961" spans="1:15" hidden="1" x14ac:dyDescent="0.25">
      <c r="A2961" t="s">
        <v>39</v>
      </c>
      <c r="B2961" t="s">
        <v>115</v>
      </c>
      <c r="C2961" t="b">
        <v>0</v>
      </c>
      <c r="D2961" s="1">
        <v>39995</v>
      </c>
      <c r="E2961">
        <v>5</v>
      </c>
      <c r="F2961"/>
      <c r="G2961"/>
      <c r="H2961"/>
      <c r="I2961"/>
      <c r="J2961"/>
      <c r="K2961"/>
      <c r="L2961"/>
      <c r="M2961"/>
      <c r="N2961"/>
      <c r="O2961"/>
    </row>
    <row r="2962" spans="1:15" hidden="1" x14ac:dyDescent="0.25">
      <c r="A2962" t="s">
        <v>58</v>
      </c>
      <c r="B2962" t="s">
        <v>115</v>
      </c>
      <c r="C2962" t="b">
        <v>0</v>
      </c>
      <c r="D2962" s="1">
        <v>39995</v>
      </c>
      <c r="E2962">
        <v>5</v>
      </c>
      <c r="F2962"/>
      <c r="G2962"/>
      <c r="H2962"/>
      <c r="I2962"/>
      <c r="J2962"/>
      <c r="K2962"/>
      <c r="L2962"/>
      <c r="M2962"/>
      <c r="N2962"/>
      <c r="O2962"/>
    </row>
    <row r="2963" spans="1:15" hidden="1" x14ac:dyDescent="0.25">
      <c r="A2963" t="s">
        <v>57</v>
      </c>
      <c r="B2963" t="s">
        <v>115</v>
      </c>
      <c r="C2963" t="b">
        <v>0</v>
      </c>
      <c r="D2963" s="1">
        <v>39995</v>
      </c>
      <c r="E2963">
        <v>5</v>
      </c>
      <c r="F2963"/>
      <c r="G2963"/>
      <c r="H2963"/>
      <c r="I2963"/>
      <c r="J2963"/>
      <c r="K2963"/>
      <c r="L2963"/>
      <c r="M2963"/>
      <c r="N2963"/>
      <c r="O2963"/>
    </row>
    <row r="2964" spans="1:15" hidden="1" x14ac:dyDescent="0.25">
      <c r="A2964" t="s">
        <v>68</v>
      </c>
      <c r="B2964" t="s">
        <v>115</v>
      </c>
      <c r="C2964" t="b">
        <v>0</v>
      </c>
      <c r="D2964" s="1">
        <v>39995</v>
      </c>
      <c r="E2964">
        <v>5</v>
      </c>
      <c r="F2964"/>
      <c r="G2964"/>
      <c r="H2964"/>
      <c r="I2964"/>
      <c r="J2964"/>
      <c r="K2964"/>
      <c r="L2964"/>
      <c r="M2964"/>
      <c r="N2964"/>
      <c r="O2964"/>
    </row>
    <row r="2965" spans="1:15" hidden="1" x14ac:dyDescent="0.25">
      <c r="A2965" t="s">
        <v>69</v>
      </c>
      <c r="B2965" t="s">
        <v>115</v>
      </c>
      <c r="C2965" t="b">
        <v>0</v>
      </c>
      <c r="D2965" s="1">
        <v>39995</v>
      </c>
      <c r="E2965">
        <v>5</v>
      </c>
      <c r="F2965"/>
      <c r="G2965"/>
      <c r="H2965"/>
      <c r="I2965"/>
      <c r="J2965"/>
      <c r="K2965"/>
      <c r="L2965"/>
      <c r="M2965"/>
      <c r="N2965"/>
      <c r="O2965"/>
    </row>
    <row r="2966" spans="1:15" hidden="1" x14ac:dyDescent="0.25">
      <c r="A2966" t="s">
        <v>70</v>
      </c>
      <c r="B2966" t="s">
        <v>115</v>
      </c>
      <c r="C2966" t="b">
        <v>0</v>
      </c>
      <c r="D2966" s="1">
        <v>39995</v>
      </c>
      <c r="E2966">
        <v>5</v>
      </c>
      <c r="F2966"/>
      <c r="G2966"/>
      <c r="H2966"/>
      <c r="I2966"/>
      <c r="J2966"/>
      <c r="K2966"/>
      <c r="L2966"/>
      <c r="M2966"/>
      <c r="N2966"/>
      <c r="O2966"/>
    </row>
    <row r="2967" spans="1:15" hidden="1" x14ac:dyDescent="0.25">
      <c r="A2967" t="s">
        <v>71</v>
      </c>
      <c r="B2967" t="s">
        <v>115</v>
      </c>
      <c r="C2967" t="b">
        <v>0</v>
      </c>
      <c r="D2967" s="1">
        <v>39995</v>
      </c>
      <c r="E2967">
        <v>5</v>
      </c>
      <c r="F2967"/>
      <c r="G2967"/>
      <c r="H2967"/>
      <c r="I2967"/>
      <c r="J2967"/>
      <c r="K2967"/>
      <c r="L2967"/>
      <c r="M2967"/>
      <c r="N2967"/>
      <c r="O2967"/>
    </row>
    <row r="2968" spans="1:15" hidden="1" x14ac:dyDescent="0.25">
      <c r="A2968" t="s">
        <v>74</v>
      </c>
      <c r="B2968" t="s">
        <v>115</v>
      </c>
      <c r="C2968" t="b">
        <v>0</v>
      </c>
      <c r="D2968" s="1">
        <v>39995</v>
      </c>
      <c r="E2968">
        <v>5</v>
      </c>
      <c r="F2968"/>
      <c r="G2968"/>
      <c r="H2968"/>
      <c r="I2968"/>
      <c r="J2968"/>
      <c r="K2968"/>
      <c r="L2968"/>
      <c r="M2968"/>
      <c r="N2968"/>
      <c r="O2968"/>
    </row>
    <row r="2969" spans="1:15" hidden="1" x14ac:dyDescent="0.25">
      <c r="A2969" t="s">
        <v>76</v>
      </c>
      <c r="B2969" t="s">
        <v>115</v>
      </c>
      <c r="C2969" t="b">
        <v>0</v>
      </c>
      <c r="D2969" s="1">
        <v>39995</v>
      </c>
      <c r="E2969">
        <v>1E-3</v>
      </c>
      <c r="F2969"/>
      <c r="G2969"/>
      <c r="H2969"/>
      <c r="I2969"/>
      <c r="J2969"/>
      <c r="K2969"/>
      <c r="L2969"/>
      <c r="M2969"/>
      <c r="N2969"/>
      <c r="O2969"/>
    </row>
    <row r="2970" spans="1:15" hidden="1" x14ac:dyDescent="0.25">
      <c r="A2970" t="s">
        <v>77</v>
      </c>
      <c r="B2970" t="s">
        <v>115</v>
      </c>
      <c r="C2970" t="b">
        <v>0</v>
      </c>
      <c r="D2970" s="1">
        <v>39995</v>
      </c>
      <c r="E2970">
        <v>5</v>
      </c>
      <c r="F2970"/>
      <c r="G2970"/>
      <c r="H2970"/>
      <c r="I2970"/>
      <c r="J2970"/>
      <c r="K2970"/>
      <c r="L2970"/>
      <c r="M2970"/>
      <c r="N2970"/>
      <c r="O2970"/>
    </row>
    <row r="2971" spans="1:15" hidden="1" x14ac:dyDescent="0.25">
      <c r="A2971" t="s">
        <v>86</v>
      </c>
      <c r="B2971" t="s">
        <v>115</v>
      </c>
      <c r="C2971" t="b">
        <v>0</v>
      </c>
      <c r="D2971" s="1">
        <v>39995</v>
      </c>
      <c r="E2971">
        <v>5</v>
      </c>
      <c r="F2971"/>
      <c r="G2971"/>
      <c r="H2971"/>
      <c r="I2971"/>
      <c r="J2971"/>
      <c r="K2971"/>
      <c r="L2971"/>
      <c r="M2971"/>
      <c r="N2971"/>
      <c r="O2971"/>
    </row>
    <row r="2972" spans="1:15" hidden="1" x14ac:dyDescent="0.25">
      <c r="A2972" t="s">
        <v>90</v>
      </c>
      <c r="B2972" t="s">
        <v>115</v>
      </c>
      <c r="C2972" t="b">
        <v>0</v>
      </c>
      <c r="D2972" s="1">
        <v>39995</v>
      </c>
      <c r="E2972">
        <v>5</v>
      </c>
      <c r="F2972"/>
      <c r="G2972"/>
      <c r="H2972"/>
      <c r="I2972"/>
      <c r="J2972"/>
      <c r="K2972"/>
      <c r="L2972"/>
      <c r="M2972"/>
      <c r="N2972"/>
      <c r="O2972"/>
    </row>
    <row r="2973" spans="1:15" hidden="1" x14ac:dyDescent="0.25">
      <c r="A2973" t="s">
        <v>99</v>
      </c>
      <c r="B2973" t="s">
        <v>114</v>
      </c>
      <c r="C2973" t="b">
        <v>0</v>
      </c>
      <c r="D2973" s="1">
        <v>39995</v>
      </c>
      <c r="E2973">
        <v>8.4499999999999993</v>
      </c>
      <c r="F2973"/>
      <c r="G2973"/>
      <c r="H2973"/>
      <c r="I2973"/>
      <c r="J2973"/>
      <c r="K2973"/>
      <c r="L2973"/>
      <c r="M2973"/>
      <c r="N2973"/>
      <c r="O2973"/>
    </row>
    <row r="2974" spans="1:15" hidden="1" x14ac:dyDescent="0.25">
      <c r="A2974" t="s">
        <v>100</v>
      </c>
      <c r="B2974" t="s">
        <v>117</v>
      </c>
      <c r="C2974" t="b">
        <v>0</v>
      </c>
      <c r="D2974" s="1">
        <v>40026</v>
      </c>
      <c r="E2974" s="2">
        <v>-86.85</v>
      </c>
      <c r="F2974"/>
      <c r="G2974"/>
      <c r="H2974"/>
      <c r="I2974"/>
      <c r="J2974"/>
      <c r="K2974"/>
      <c r="L2974"/>
      <c r="M2974"/>
      <c r="N2974"/>
      <c r="O2974"/>
    </row>
    <row r="2975" spans="1:15" hidden="1" x14ac:dyDescent="0.25">
      <c r="A2975" t="s">
        <v>104</v>
      </c>
      <c r="B2975" t="s">
        <v>117</v>
      </c>
      <c r="C2975" t="b">
        <v>0</v>
      </c>
      <c r="D2975" s="1">
        <v>40026</v>
      </c>
      <c r="E2975" s="2">
        <v>-0.47</v>
      </c>
      <c r="F2975"/>
      <c r="G2975"/>
      <c r="H2975"/>
      <c r="I2975"/>
      <c r="J2975"/>
      <c r="K2975"/>
      <c r="L2975"/>
      <c r="M2975"/>
      <c r="N2975"/>
      <c r="O2975"/>
    </row>
    <row r="2976" spans="1:15" hidden="1" x14ac:dyDescent="0.25">
      <c r="A2976" t="s">
        <v>101</v>
      </c>
      <c r="B2976" t="s">
        <v>117</v>
      </c>
      <c r="C2976" t="b">
        <v>0</v>
      </c>
      <c r="D2976" s="1">
        <v>40026</v>
      </c>
      <c r="E2976" s="2">
        <v>-3.99</v>
      </c>
      <c r="F2976"/>
      <c r="G2976"/>
      <c r="H2976"/>
      <c r="I2976"/>
      <c r="J2976"/>
      <c r="K2976"/>
      <c r="L2976"/>
      <c r="M2976"/>
      <c r="N2976"/>
      <c r="O2976"/>
    </row>
    <row r="2977" spans="1:15" hidden="1" x14ac:dyDescent="0.25">
      <c r="A2977" t="s">
        <v>14</v>
      </c>
      <c r="B2977" t="s">
        <v>115</v>
      </c>
      <c r="C2977" t="b">
        <v>0</v>
      </c>
      <c r="D2977" s="1">
        <v>40026</v>
      </c>
      <c r="E2977">
        <v>5</v>
      </c>
      <c r="F2977"/>
      <c r="G2977"/>
      <c r="H2977"/>
      <c r="I2977"/>
      <c r="J2977"/>
      <c r="K2977"/>
      <c r="L2977"/>
      <c r="M2977"/>
      <c r="N2977"/>
      <c r="O2977"/>
    </row>
    <row r="2978" spans="1:15" hidden="1" x14ac:dyDescent="0.25">
      <c r="A2978" t="s">
        <v>30</v>
      </c>
      <c r="B2978" t="s">
        <v>115</v>
      </c>
      <c r="C2978" t="b">
        <v>0</v>
      </c>
      <c r="D2978" s="1">
        <v>40026</v>
      </c>
      <c r="E2978">
        <v>5</v>
      </c>
      <c r="F2978"/>
      <c r="G2978"/>
      <c r="H2978"/>
      <c r="I2978"/>
      <c r="J2978"/>
      <c r="K2978"/>
      <c r="L2978"/>
      <c r="M2978"/>
      <c r="N2978"/>
      <c r="O2978"/>
    </row>
    <row r="2979" spans="1:15" hidden="1" x14ac:dyDescent="0.25">
      <c r="A2979" t="s">
        <v>31</v>
      </c>
      <c r="B2979" t="s">
        <v>115</v>
      </c>
      <c r="C2979" t="b">
        <v>0</v>
      </c>
      <c r="D2979" s="1">
        <v>40026</v>
      </c>
      <c r="E2979">
        <v>5</v>
      </c>
      <c r="F2979"/>
      <c r="G2979"/>
      <c r="H2979"/>
      <c r="I2979"/>
      <c r="J2979"/>
      <c r="K2979"/>
      <c r="L2979"/>
      <c r="M2979"/>
      <c r="N2979"/>
      <c r="O2979"/>
    </row>
    <row r="2980" spans="1:15" hidden="1" x14ac:dyDescent="0.25">
      <c r="A2980" t="s">
        <v>34</v>
      </c>
      <c r="B2980" t="s">
        <v>115</v>
      </c>
      <c r="C2980" t="b">
        <v>0</v>
      </c>
      <c r="D2980" s="1">
        <v>40026</v>
      </c>
      <c r="E2980">
        <v>5</v>
      </c>
      <c r="F2980"/>
      <c r="G2980"/>
      <c r="H2980"/>
      <c r="I2980"/>
      <c r="J2980"/>
      <c r="K2980"/>
      <c r="L2980"/>
      <c r="M2980"/>
      <c r="N2980"/>
      <c r="O2980"/>
    </row>
    <row r="2981" spans="1:15" hidden="1" x14ac:dyDescent="0.25">
      <c r="A2981" t="s">
        <v>37</v>
      </c>
      <c r="B2981" t="s">
        <v>115</v>
      </c>
      <c r="C2981" t="b">
        <v>0</v>
      </c>
      <c r="D2981" s="1">
        <v>40026</v>
      </c>
      <c r="E2981">
        <v>5</v>
      </c>
      <c r="F2981"/>
      <c r="G2981"/>
      <c r="H2981"/>
      <c r="I2981"/>
      <c r="J2981"/>
      <c r="K2981"/>
      <c r="L2981"/>
      <c r="M2981"/>
      <c r="N2981"/>
      <c r="O2981"/>
    </row>
    <row r="2982" spans="1:15" hidden="1" x14ac:dyDescent="0.25">
      <c r="A2982" t="s">
        <v>39</v>
      </c>
      <c r="B2982" t="s">
        <v>115</v>
      </c>
      <c r="C2982" t="b">
        <v>0</v>
      </c>
      <c r="D2982" s="1">
        <v>40026</v>
      </c>
      <c r="E2982">
        <v>5</v>
      </c>
      <c r="F2982"/>
      <c r="G2982"/>
      <c r="H2982"/>
      <c r="I2982"/>
      <c r="J2982"/>
      <c r="K2982"/>
      <c r="L2982"/>
      <c r="M2982"/>
      <c r="N2982"/>
      <c r="O2982"/>
    </row>
    <row r="2983" spans="1:15" hidden="1" x14ac:dyDescent="0.25">
      <c r="A2983" t="s">
        <v>58</v>
      </c>
      <c r="B2983" t="s">
        <v>115</v>
      </c>
      <c r="C2983" t="b">
        <v>0</v>
      </c>
      <c r="D2983" s="1">
        <v>40026</v>
      </c>
      <c r="E2983">
        <v>5</v>
      </c>
      <c r="F2983"/>
      <c r="G2983"/>
      <c r="H2983"/>
      <c r="I2983"/>
      <c r="J2983"/>
      <c r="K2983"/>
      <c r="L2983"/>
      <c r="M2983"/>
      <c r="N2983"/>
      <c r="O2983"/>
    </row>
    <row r="2984" spans="1:15" hidden="1" x14ac:dyDescent="0.25">
      <c r="A2984" t="s">
        <v>57</v>
      </c>
      <c r="B2984" t="s">
        <v>115</v>
      </c>
      <c r="C2984" t="b">
        <v>0</v>
      </c>
      <c r="D2984" s="1">
        <v>40026</v>
      </c>
      <c r="E2984">
        <v>5</v>
      </c>
      <c r="F2984"/>
      <c r="G2984"/>
      <c r="H2984"/>
      <c r="I2984"/>
      <c r="J2984"/>
      <c r="K2984"/>
      <c r="L2984"/>
      <c r="M2984"/>
      <c r="N2984"/>
      <c r="O2984"/>
    </row>
    <row r="2985" spans="1:15" hidden="1" x14ac:dyDescent="0.25">
      <c r="A2985" t="s">
        <v>68</v>
      </c>
      <c r="B2985" t="s">
        <v>115</v>
      </c>
      <c r="C2985" t="b">
        <v>0</v>
      </c>
      <c r="D2985" s="1">
        <v>40026</v>
      </c>
      <c r="E2985">
        <v>5</v>
      </c>
      <c r="F2985"/>
      <c r="G2985"/>
      <c r="H2985"/>
      <c r="I2985"/>
      <c r="J2985"/>
      <c r="K2985"/>
      <c r="L2985"/>
      <c r="M2985"/>
      <c r="N2985"/>
      <c r="O2985"/>
    </row>
    <row r="2986" spans="1:15" hidden="1" x14ac:dyDescent="0.25">
      <c r="A2986" t="s">
        <v>69</v>
      </c>
      <c r="B2986" t="s">
        <v>115</v>
      </c>
      <c r="C2986" t="b">
        <v>0</v>
      </c>
      <c r="D2986" s="1">
        <v>40026</v>
      </c>
      <c r="E2986">
        <v>5</v>
      </c>
      <c r="F2986"/>
      <c r="G2986"/>
      <c r="H2986"/>
      <c r="I2986"/>
      <c r="J2986"/>
      <c r="K2986"/>
      <c r="L2986"/>
      <c r="M2986"/>
      <c r="N2986"/>
      <c r="O2986"/>
    </row>
    <row r="2987" spans="1:15" hidden="1" x14ac:dyDescent="0.25">
      <c r="A2987" t="s">
        <v>70</v>
      </c>
      <c r="B2987" t="s">
        <v>115</v>
      </c>
      <c r="C2987" t="b">
        <v>0</v>
      </c>
      <c r="D2987" s="1">
        <v>40026</v>
      </c>
      <c r="E2987">
        <v>5</v>
      </c>
      <c r="F2987"/>
      <c r="G2987"/>
      <c r="H2987"/>
      <c r="I2987"/>
      <c r="J2987"/>
      <c r="K2987"/>
      <c r="L2987"/>
      <c r="M2987"/>
      <c r="N2987"/>
      <c r="O2987"/>
    </row>
    <row r="2988" spans="1:15" hidden="1" x14ac:dyDescent="0.25">
      <c r="A2988" t="s">
        <v>71</v>
      </c>
      <c r="B2988" t="s">
        <v>115</v>
      </c>
      <c r="C2988" t="b">
        <v>0</v>
      </c>
      <c r="D2988" s="1">
        <v>40026</v>
      </c>
      <c r="E2988">
        <v>5</v>
      </c>
      <c r="F2988"/>
      <c r="G2988"/>
      <c r="H2988"/>
      <c r="I2988"/>
      <c r="J2988"/>
      <c r="K2988"/>
      <c r="L2988"/>
      <c r="M2988"/>
      <c r="N2988"/>
      <c r="O2988"/>
    </row>
    <row r="2989" spans="1:15" hidden="1" x14ac:dyDescent="0.25">
      <c r="A2989" t="s">
        <v>74</v>
      </c>
      <c r="B2989" t="s">
        <v>115</v>
      </c>
      <c r="C2989" t="b">
        <v>0</v>
      </c>
      <c r="D2989" s="1">
        <v>40026</v>
      </c>
      <c r="E2989">
        <v>5</v>
      </c>
      <c r="F2989"/>
      <c r="G2989"/>
      <c r="H2989"/>
      <c r="I2989"/>
      <c r="J2989"/>
      <c r="K2989"/>
      <c r="L2989"/>
      <c r="M2989"/>
      <c r="N2989"/>
      <c r="O2989"/>
    </row>
    <row r="2990" spans="1:15" hidden="1" x14ac:dyDescent="0.25">
      <c r="A2990" t="s">
        <v>76</v>
      </c>
      <c r="B2990" t="s">
        <v>115</v>
      </c>
      <c r="C2990" t="b">
        <v>0</v>
      </c>
      <c r="D2990" s="1">
        <v>40026</v>
      </c>
      <c r="E2990">
        <v>1E-3</v>
      </c>
      <c r="F2990"/>
      <c r="G2990"/>
      <c r="H2990"/>
      <c r="I2990"/>
      <c r="J2990"/>
      <c r="K2990"/>
      <c r="L2990"/>
      <c r="M2990"/>
      <c r="N2990"/>
      <c r="O2990"/>
    </row>
    <row r="2991" spans="1:15" hidden="1" x14ac:dyDescent="0.25">
      <c r="A2991" t="s">
        <v>77</v>
      </c>
      <c r="B2991" t="s">
        <v>115</v>
      </c>
      <c r="C2991" t="b">
        <v>0</v>
      </c>
      <c r="D2991" s="1">
        <v>40026</v>
      </c>
      <c r="E2991">
        <v>5</v>
      </c>
      <c r="F2991"/>
      <c r="G2991"/>
      <c r="H2991"/>
      <c r="I2991"/>
      <c r="J2991"/>
      <c r="K2991"/>
      <c r="L2991"/>
      <c r="M2991"/>
      <c r="N2991"/>
      <c r="O2991"/>
    </row>
    <row r="2992" spans="1:15" hidden="1" x14ac:dyDescent="0.25">
      <c r="A2992" t="s">
        <v>86</v>
      </c>
      <c r="B2992" t="s">
        <v>115</v>
      </c>
      <c r="C2992" t="b">
        <v>0</v>
      </c>
      <c r="D2992" s="1">
        <v>40026</v>
      </c>
      <c r="E2992">
        <v>5</v>
      </c>
      <c r="F2992"/>
      <c r="G2992"/>
      <c r="H2992"/>
      <c r="I2992"/>
      <c r="J2992"/>
      <c r="K2992"/>
      <c r="L2992"/>
      <c r="M2992"/>
      <c r="N2992"/>
      <c r="O2992"/>
    </row>
    <row r="2993" spans="1:15" hidden="1" x14ac:dyDescent="0.25">
      <c r="A2993" t="s">
        <v>90</v>
      </c>
      <c r="B2993" t="s">
        <v>115</v>
      </c>
      <c r="C2993" t="b">
        <v>0</v>
      </c>
      <c r="D2993" s="1">
        <v>40026</v>
      </c>
      <c r="E2993">
        <v>5</v>
      </c>
      <c r="F2993"/>
      <c r="G2993"/>
      <c r="H2993"/>
      <c r="I2993"/>
      <c r="J2993"/>
      <c r="K2993"/>
      <c r="L2993"/>
      <c r="M2993"/>
      <c r="N2993"/>
      <c r="O2993"/>
    </row>
    <row r="2994" spans="1:15" hidden="1" x14ac:dyDescent="0.25">
      <c r="A2994" t="s">
        <v>99</v>
      </c>
      <c r="B2994" t="s">
        <v>114</v>
      </c>
      <c r="C2994" t="b">
        <v>0</v>
      </c>
      <c r="D2994" s="1">
        <v>40026</v>
      </c>
      <c r="E2994">
        <v>5.65</v>
      </c>
      <c r="F2994"/>
      <c r="G2994"/>
      <c r="H2994"/>
      <c r="I2994"/>
      <c r="J2994"/>
      <c r="K2994"/>
      <c r="L2994"/>
      <c r="M2994"/>
      <c r="N2994"/>
      <c r="O2994"/>
    </row>
    <row r="2995" spans="1:15" hidden="1" x14ac:dyDescent="0.25">
      <c r="A2995" t="s">
        <v>100</v>
      </c>
      <c r="B2995" t="s">
        <v>117</v>
      </c>
      <c r="C2995" t="b">
        <v>0</v>
      </c>
      <c r="D2995" s="1">
        <v>40057</v>
      </c>
      <c r="E2995" s="2">
        <v>-105.48</v>
      </c>
      <c r="F2995"/>
      <c r="G2995"/>
      <c r="H2995"/>
      <c r="I2995"/>
      <c r="J2995"/>
      <c r="K2995"/>
      <c r="L2995"/>
      <c r="M2995"/>
      <c r="N2995"/>
      <c r="O2995"/>
    </row>
    <row r="2996" spans="1:15" hidden="1" x14ac:dyDescent="0.25">
      <c r="A2996" t="s">
        <v>101</v>
      </c>
      <c r="B2996" t="s">
        <v>117</v>
      </c>
      <c r="C2996" t="b">
        <v>0</v>
      </c>
      <c r="D2996" s="1">
        <v>40057</v>
      </c>
      <c r="E2996" s="2">
        <v>-0.38</v>
      </c>
      <c r="F2996"/>
      <c r="G2996"/>
      <c r="H2996"/>
      <c r="I2996"/>
      <c r="J2996"/>
      <c r="K2996"/>
      <c r="L2996"/>
      <c r="M2996"/>
      <c r="N2996"/>
      <c r="O2996"/>
    </row>
    <row r="2997" spans="1:15" hidden="1" x14ac:dyDescent="0.25">
      <c r="A2997" t="s">
        <v>14</v>
      </c>
      <c r="B2997" t="s">
        <v>115</v>
      </c>
      <c r="C2997" t="b">
        <v>0</v>
      </c>
      <c r="D2997" s="1">
        <v>40057</v>
      </c>
      <c r="E2997">
        <v>5</v>
      </c>
      <c r="F2997"/>
      <c r="G2997"/>
      <c r="H2997"/>
      <c r="I2997"/>
      <c r="J2997"/>
      <c r="K2997"/>
      <c r="L2997"/>
      <c r="M2997"/>
      <c r="N2997"/>
      <c r="O2997"/>
    </row>
    <row r="2998" spans="1:15" hidden="1" x14ac:dyDescent="0.25">
      <c r="A2998" t="s">
        <v>30</v>
      </c>
      <c r="B2998" t="s">
        <v>115</v>
      </c>
      <c r="C2998" t="b">
        <v>0</v>
      </c>
      <c r="D2998" s="1">
        <v>40057</v>
      </c>
      <c r="E2998">
        <v>5</v>
      </c>
      <c r="F2998"/>
      <c r="G2998"/>
      <c r="H2998"/>
      <c r="I2998"/>
      <c r="J2998"/>
      <c r="K2998"/>
      <c r="L2998"/>
      <c r="M2998"/>
      <c r="N2998"/>
      <c r="O2998"/>
    </row>
    <row r="2999" spans="1:15" hidden="1" x14ac:dyDescent="0.25">
      <c r="A2999" t="s">
        <v>31</v>
      </c>
      <c r="B2999" t="s">
        <v>115</v>
      </c>
      <c r="C2999" t="b">
        <v>0</v>
      </c>
      <c r="D2999" s="1">
        <v>40057</v>
      </c>
      <c r="E2999">
        <v>5</v>
      </c>
      <c r="F2999"/>
      <c r="G2999"/>
      <c r="H2999"/>
      <c r="I2999"/>
      <c r="J2999"/>
      <c r="K2999"/>
      <c r="L2999"/>
      <c r="M2999"/>
      <c r="N2999"/>
      <c r="O2999"/>
    </row>
    <row r="3000" spans="1:15" hidden="1" x14ac:dyDescent="0.25">
      <c r="A3000" t="s">
        <v>34</v>
      </c>
      <c r="B3000" t="s">
        <v>115</v>
      </c>
      <c r="C3000" t="b">
        <v>0</v>
      </c>
      <c r="D3000" s="1">
        <v>40057</v>
      </c>
      <c r="E3000">
        <v>5</v>
      </c>
      <c r="F3000"/>
      <c r="G3000"/>
      <c r="H3000"/>
      <c r="I3000"/>
      <c r="J3000"/>
      <c r="K3000"/>
      <c r="L3000"/>
      <c r="M3000"/>
      <c r="N3000"/>
      <c r="O3000"/>
    </row>
    <row r="3001" spans="1:15" hidden="1" x14ac:dyDescent="0.25">
      <c r="A3001" t="s">
        <v>37</v>
      </c>
      <c r="B3001" t="s">
        <v>115</v>
      </c>
      <c r="C3001" t="b">
        <v>0</v>
      </c>
      <c r="D3001" s="1">
        <v>40057</v>
      </c>
      <c r="E3001">
        <v>5</v>
      </c>
      <c r="F3001"/>
      <c r="G3001"/>
      <c r="H3001"/>
      <c r="I3001"/>
      <c r="J3001"/>
      <c r="K3001"/>
      <c r="L3001"/>
      <c r="M3001"/>
      <c r="N3001"/>
      <c r="O3001"/>
    </row>
    <row r="3002" spans="1:15" hidden="1" x14ac:dyDescent="0.25">
      <c r="A3002" t="s">
        <v>39</v>
      </c>
      <c r="B3002" t="s">
        <v>115</v>
      </c>
      <c r="C3002" t="b">
        <v>0</v>
      </c>
      <c r="D3002" s="1">
        <v>40057</v>
      </c>
      <c r="E3002">
        <v>5</v>
      </c>
      <c r="F3002"/>
      <c r="G3002"/>
      <c r="H3002"/>
      <c r="I3002"/>
      <c r="J3002"/>
      <c r="K3002"/>
      <c r="L3002"/>
      <c r="M3002"/>
      <c r="N3002"/>
      <c r="O3002"/>
    </row>
    <row r="3003" spans="1:15" hidden="1" x14ac:dyDescent="0.25">
      <c r="A3003" t="s">
        <v>58</v>
      </c>
      <c r="B3003" t="s">
        <v>115</v>
      </c>
      <c r="C3003" t="b">
        <v>0</v>
      </c>
      <c r="D3003" s="1">
        <v>40057</v>
      </c>
      <c r="E3003">
        <v>5</v>
      </c>
      <c r="F3003"/>
      <c r="G3003"/>
      <c r="H3003"/>
      <c r="I3003"/>
      <c r="J3003"/>
      <c r="K3003"/>
      <c r="L3003"/>
      <c r="M3003"/>
      <c r="N3003"/>
      <c r="O3003"/>
    </row>
    <row r="3004" spans="1:15" hidden="1" x14ac:dyDescent="0.25">
      <c r="A3004" t="s">
        <v>57</v>
      </c>
      <c r="B3004" t="s">
        <v>115</v>
      </c>
      <c r="C3004" t="b">
        <v>0</v>
      </c>
      <c r="D3004" s="1">
        <v>40057</v>
      </c>
      <c r="E3004">
        <v>5</v>
      </c>
      <c r="F3004"/>
      <c r="G3004"/>
      <c r="H3004"/>
      <c r="I3004"/>
      <c r="J3004"/>
      <c r="K3004"/>
      <c r="L3004"/>
      <c r="M3004"/>
      <c r="N3004"/>
      <c r="O3004"/>
    </row>
    <row r="3005" spans="1:15" hidden="1" x14ac:dyDescent="0.25">
      <c r="A3005" t="s">
        <v>68</v>
      </c>
      <c r="B3005" t="s">
        <v>115</v>
      </c>
      <c r="C3005" t="b">
        <v>0</v>
      </c>
      <c r="D3005" s="1">
        <v>40057</v>
      </c>
      <c r="E3005">
        <v>5</v>
      </c>
      <c r="F3005"/>
      <c r="G3005"/>
      <c r="H3005"/>
      <c r="I3005"/>
      <c r="J3005"/>
      <c r="K3005"/>
      <c r="L3005"/>
      <c r="M3005"/>
      <c r="N3005"/>
      <c r="O3005"/>
    </row>
    <row r="3006" spans="1:15" hidden="1" x14ac:dyDescent="0.25">
      <c r="A3006" t="s">
        <v>70</v>
      </c>
      <c r="B3006" t="s">
        <v>115</v>
      </c>
      <c r="C3006" t="b">
        <v>0</v>
      </c>
      <c r="D3006" s="1">
        <v>40057</v>
      </c>
      <c r="E3006">
        <v>5</v>
      </c>
      <c r="F3006"/>
      <c r="G3006"/>
      <c r="H3006"/>
      <c r="I3006"/>
      <c r="J3006"/>
      <c r="K3006"/>
      <c r="L3006"/>
      <c r="M3006"/>
      <c r="N3006"/>
      <c r="O3006"/>
    </row>
    <row r="3007" spans="1:15" hidden="1" x14ac:dyDescent="0.25">
      <c r="A3007" t="s">
        <v>71</v>
      </c>
      <c r="B3007" t="s">
        <v>115</v>
      </c>
      <c r="C3007" t="b">
        <v>0</v>
      </c>
      <c r="D3007" s="1">
        <v>40057</v>
      </c>
      <c r="E3007">
        <v>5</v>
      </c>
      <c r="F3007"/>
      <c r="G3007"/>
      <c r="H3007"/>
      <c r="I3007"/>
      <c r="J3007"/>
      <c r="K3007"/>
      <c r="L3007"/>
      <c r="M3007"/>
      <c r="N3007"/>
      <c r="O3007"/>
    </row>
    <row r="3008" spans="1:15" hidden="1" x14ac:dyDescent="0.25">
      <c r="A3008" t="s">
        <v>74</v>
      </c>
      <c r="B3008" t="s">
        <v>115</v>
      </c>
      <c r="C3008" t="b">
        <v>0</v>
      </c>
      <c r="D3008" s="1">
        <v>40057</v>
      </c>
      <c r="E3008">
        <v>5</v>
      </c>
      <c r="F3008"/>
      <c r="G3008"/>
      <c r="H3008"/>
      <c r="I3008"/>
      <c r="J3008"/>
      <c r="K3008"/>
      <c r="L3008"/>
      <c r="M3008"/>
      <c r="N3008"/>
      <c r="O3008"/>
    </row>
    <row r="3009" spans="1:15" hidden="1" x14ac:dyDescent="0.25">
      <c r="A3009" t="s">
        <v>76</v>
      </c>
      <c r="B3009" t="s">
        <v>115</v>
      </c>
      <c r="C3009" t="b">
        <v>0</v>
      </c>
      <c r="D3009" s="1">
        <v>40057</v>
      </c>
      <c r="E3009">
        <v>1E-3</v>
      </c>
      <c r="F3009"/>
      <c r="G3009"/>
      <c r="H3009"/>
      <c r="I3009"/>
      <c r="J3009"/>
      <c r="K3009"/>
      <c r="L3009"/>
      <c r="M3009"/>
      <c r="N3009"/>
      <c r="O3009"/>
    </row>
    <row r="3010" spans="1:15" hidden="1" x14ac:dyDescent="0.25">
      <c r="A3010" t="s">
        <v>77</v>
      </c>
      <c r="B3010" t="s">
        <v>115</v>
      </c>
      <c r="C3010" t="b">
        <v>0</v>
      </c>
      <c r="D3010" s="1">
        <v>40057</v>
      </c>
      <c r="E3010">
        <v>5</v>
      </c>
      <c r="F3010"/>
      <c r="G3010"/>
      <c r="H3010"/>
      <c r="I3010"/>
      <c r="J3010"/>
      <c r="K3010"/>
      <c r="L3010"/>
      <c r="M3010"/>
      <c r="N3010"/>
      <c r="O3010"/>
    </row>
    <row r="3011" spans="1:15" hidden="1" x14ac:dyDescent="0.25">
      <c r="A3011" t="s">
        <v>86</v>
      </c>
      <c r="B3011" t="s">
        <v>115</v>
      </c>
      <c r="C3011" t="b">
        <v>0</v>
      </c>
      <c r="D3011" s="1">
        <v>40057</v>
      </c>
      <c r="E3011">
        <v>5</v>
      </c>
      <c r="F3011"/>
      <c r="G3011"/>
      <c r="H3011"/>
      <c r="I3011"/>
      <c r="J3011"/>
      <c r="K3011"/>
      <c r="L3011"/>
      <c r="M3011"/>
      <c r="N3011"/>
      <c r="O3011"/>
    </row>
    <row r="3012" spans="1:15" hidden="1" x14ac:dyDescent="0.25">
      <c r="A3012" t="s">
        <v>90</v>
      </c>
      <c r="B3012" t="s">
        <v>115</v>
      </c>
      <c r="C3012" t="b">
        <v>0</v>
      </c>
      <c r="D3012" s="1">
        <v>40057</v>
      </c>
      <c r="E3012">
        <v>5</v>
      </c>
      <c r="F3012"/>
      <c r="G3012"/>
      <c r="H3012"/>
      <c r="I3012"/>
      <c r="J3012"/>
      <c r="K3012"/>
      <c r="L3012"/>
      <c r="M3012"/>
      <c r="N3012"/>
      <c r="O3012"/>
    </row>
    <row r="3013" spans="1:15" hidden="1" x14ac:dyDescent="0.25">
      <c r="A3013" t="s">
        <v>95</v>
      </c>
      <c r="B3013" t="s">
        <v>115</v>
      </c>
      <c r="C3013" t="b">
        <v>0</v>
      </c>
      <c r="D3013" s="1">
        <v>40057</v>
      </c>
      <c r="E3013">
        <v>5</v>
      </c>
      <c r="F3013"/>
      <c r="G3013"/>
      <c r="H3013"/>
      <c r="I3013"/>
      <c r="J3013"/>
      <c r="K3013"/>
      <c r="L3013"/>
      <c r="M3013"/>
      <c r="N3013"/>
      <c r="O3013"/>
    </row>
    <row r="3014" spans="1:15" hidden="1" x14ac:dyDescent="0.25">
      <c r="A3014" t="s">
        <v>99</v>
      </c>
      <c r="B3014" t="s">
        <v>114</v>
      </c>
      <c r="C3014" t="b">
        <v>0</v>
      </c>
      <c r="D3014" s="1">
        <v>40057</v>
      </c>
      <c r="E3014">
        <v>10.82</v>
      </c>
      <c r="F3014"/>
      <c r="G3014"/>
      <c r="H3014"/>
      <c r="I3014"/>
      <c r="J3014"/>
      <c r="K3014"/>
      <c r="L3014"/>
      <c r="M3014"/>
      <c r="N3014"/>
      <c r="O3014"/>
    </row>
    <row r="3015" spans="1:15" hidden="1" x14ac:dyDescent="0.25">
      <c r="A3015" t="s">
        <v>100</v>
      </c>
      <c r="B3015" t="s">
        <v>117</v>
      </c>
      <c r="C3015" t="b">
        <v>0</v>
      </c>
      <c r="D3015" s="1">
        <v>40087</v>
      </c>
      <c r="E3015" s="2">
        <v>-81.900000000000006</v>
      </c>
      <c r="F3015"/>
      <c r="G3015"/>
      <c r="H3015"/>
      <c r="I3015"/>
      <c r="J3015"/>
      <c r="K3015"/>
      <c r="L3015"/>
      <c r="M3015"/>
      <c r="N3015"/>
      <c r="O3015"/>
    </row>
    <row r="3016" spans="1:15" hidden="1" x14ac:dyDescent="0.25">
      <c r="A3016" t="s">
        <v>101</v>
      </c>
      <c r="B3016" t="s">
        <v>117</v>
      </c>
      <c r="C3016" t="b">
        <v>0</v>
      </c>
      <c r="D3016" s="1">
        <v>40087</v>
      </c>
      <c r="E3016" s="2">
        <v>-6</v>
      </c>
      <c r="F3016"/>
      <c r="G3016"/>
      <c r="H3016"/>
      <c r="I3016"/>
      <c r="J3016"/>
      <c r="K3016"/>
      <c r="L3016"/>
      <c r="M3016"/>
      <c r="N3016"/>
      <c r="O3016"/>
    </row>
    <row r="3017" spans="1:15" hidden="1" x14ac:dyDescent="0.25">
      <c r="A3017" t="s">
        <v>30</v>
      </c>
      <c r="B3017" t="s">
        <v>115</v>
      </c>
      <c r="C3017" t="b">
        <v>0</v>
      </c>
      <c r="D3017" s="1">
        <v>40087</v>
      </c>
      <c r="E3017">
        <v>5</v>
      </c>
      <c r="F3017"/>
      <c r="G3017"/>
      <c r="H3017"/>
      <c r="I3017"/>
      <c r="J3017"/>
      <c r="K3017"/>
      <c r="L3017"/>
      <c r="M3017"/>
      <c r="N3017"/>
      <c r="O3017"/>
    </row>
    <row r="3018" spans="1:15" hidden="1" x14ac:dyDescent="0.25">
      <c r="A3018" t="s">
        <v>34</v>
      </c>
      <c r="B3018" t="s">
        <v>115</v>
      </c>
      <c r="C3018" t="b">
        <v>0</v>
      </c>
      <c r="D3018" s="1">
        <v>40087</v>
      </c>
      <c r="E3018">
        <v>5</v>
      </c>
      <c r="F3018"/>
      <c r="G3018"/>
      <c r="H3018"/>
      <c r="I3018"/>
      <c r="J3018"/>
      <c r="K3018"/>
      <c r="L3018"/>
      <c r="M3018"/>
      <c r="N3018"/>
      <c r="O3018"/>
    </row>
    <row r="3019" spans="1:15" hidden="1" x14ac:dyDescent="0.25">
      <c r="A3019" t="s">
        <v>37</v>
      </c>
      <c r="B3019" t="s">
        <v>115</v>
      </c>
      <c r="C3019" t="b">
        <v>0</v>
      </c>
      <c r="D3019" s="1">
        <v>40087</v>
      </c>
      <c r="E3019">
        <v>5</v>
      </c>
      <c r="F3019"/>
      <c r="G3019"/>
      <c r="H3019"/>
      <c r="I3019"/>
      <c r="J3019"/>
      <c r="K3019"/>
      <c r="L3019"/>
      <c r="M3019"/>
      <c r="N3019"/>
      <c r="O3019"/>
    </row>
    <row r="3020" spans="1:15" hidden="1" x14ac:dyDescent="0.25">
      <c r="A3020" t="s">
        <v>38</v>
      </c>
      <c r="B3020" t="s">
        <v>115</v>
      </c>
      <c r="C3020" t="b">
        <v>0</v>
      </c>
      <c r="D3020" s="1">
        <v>40087</v>
      </c>
      <c r="E3020">
        <v>5</v>
      </c>
      <c r="F3020"/>
      <c r="G3020"/>
      <c r="H3020"/>
      <c r="I3020"/>
      <c r="J3020"/>
      <c r="K3020"/>
      <c r="L3020"/>
      <c r="M3020"/>
      <c r="N3020"/>
      <c r="O3020"/>
    </row>
    <row r="3021" spans="1:15" hidden="1" x14ac:dyDescent="0.25">
      <c r="A3021" t="s">
        <v>39</v>
      </c>
      <c r="B3021" t="s">
        <v>115</v>
      </c>
      <c r="C3021" t="b">
        <v>0</v>
      </c>
      <c r="D3021" s="1">
        <v>40087</v>
      </c>
      <c r="E3021">
        <v>5</v>
      </c>
      <c r="F3021"/>
      <c r="G3021"/>
      <c r="H3021"/>
      <c r="I3021"/>
      <c r="J3021"/>
      <c r="K3021"/>
      <c r="L3021"/>
      <c r="M3021"/>
      <c r="N3021"/>
      <c r="O3021"/>
    </row>
    <row r="3022" spans="1:15" hidden="1" x14ac:dyDescent="0.25">
      <c r="A3022" t="s">
        <v>58</v>
      </c>
      <c r="B3022" t="s">
        <v>115</v>
      </c>
      <c r="C3022" t="b">
        <v>0</v>
      </c>
      <c r="D3022" s="1">
        <v>40087</v>
      </c>
      <c r="E3022">
        <v>5</v>
      </c>
      <c r="F3022"/>
      <c r="G3022"/>
      <c r="H3022"/>
      <c r="I3022"/>
      <c r="J3022"/>
      <c r="K3022"/>
      <c r="L3022"/>
      <c r="M3022"/>
      <c r="N3022"/>
      <c r="O3022"/>
    </row>
    <row r="3023" spans="1:15" hidden="1" x14ac:dyDescent="0.25">
      <c r="A3023" t="s">
        <v>57</v>
      </c>
      <c r="B3023" t="s">
        <v>115</v>
      </c>
      <c r="C3023" t="b">
        <v>0</v>
      </c>
      <c r="D3023" s="1">
        <v>40087</v>
      </c>
      <c r="E3023">
        <v>5</v>
      </c>
      <c r="F3023"/>
      <c r="G3023"/>
      <c r="H3023"/>
      <c r="I3023"/>
      <c r="J3023"/>
      <c r="K3023"/>
      <c r="L3023"/>
      <c r="M3023"/>
      <c r="N3023"/>
      <c r="O3023"/>
    </row>
    <row r="3024" spans="1:15" hidden="1" x14ac:dyDescent="0.25">
      <c r="A3024" t="s">
        <v>68</v>
      </c>
      <c r="B3024" t="s">
        <v>115</v>
      </c>
      <c r="C3024" t="b">
        <v>0</v>
      </c>
      <c r="D3024" s="1">
        <v>40087</v>
      </c>
      <c r="E3024">
        <v>5</v>
      </c>
      <c r="F3024"/>
      <c r="G3024"/>
      <c r="H3024"/>
      <c r="I3024"/>
      <c r="J3024"/>
      <c r="K3024"/>
      <c r="L3024"/>
      <c r="M3024"/>
      <c r="N3024"/>
      <c r="O3024"/>
    </row>
    <row r="3025" spans="1:15" hidden="1" x14ac:dyDescent="0.25">
      <c r="A3025" t="s">
        <v>62</v>
      </c>
      <c r="B3025" t="s">
        <v>115</v>
      </c>
      <c r="C3025" t="b">
        <v>0</v>
      </c>
      <c r="D3025" s="1">
        <v>40087</v>
      </c>
      <c r="E3025">
        <v>5</v>
      </c>
      <c r="F3025"/>
      <c r="G3025"/>
      <c r="H3025"/>
      <c r="I3025"/>
      <c r="J3025"/>
      <c r="K3025"/>
      <c r="L3025"/>
      <c r="M3025"/>
      <c r="N3025"/>
      <c r="O3025"/>
    </row>
    <row r="3026" spans="1:15" hidden="1" x14ac:dyDescent="0.25">
      <c r="A3026" t="s">
        <v>69</v>
      </c>
      <c r="B3026" t="s">
        <v>115</v>
      </c>
      <c r="C3026" t="b">
        <v>0</v>
      </c>
      <c r="D3026" s="1">
        <v>40087</v>
      </c>
      <c r="E3026">
        <v>5</v>
      </c>
      <c r="F3026"/>
      <c r="G3026"/>
      <c r="H3026"/>
      <c r="I3026"/>
      <c r="J3026"/>
      <c r="K3026"/>
      <c r="L3026"/>
      <c r="M3026"/>
      <c r="N3026"/>
      <c r="O3026"/>
    </row>
    <row r="3027" spans="1:15" hidden="1" x14ac:dyDescent="0.25">
      <c r="A3027" t="s">
        <v>70</v>
      </c>
      <c r="B3027" t="s">
        <v>115</v>
      </c>
      <c r="C3027" t="b">
        <v>0</v>
      </c>
      <c r="D3027" s="1">
        <v>40087</v>
      </c>
      <c r="E3027">
        <v>5</v>
      </c>
      <c r="F3027"/>
      <c r="G3027"/>
      <c r="H3027"/>
      <c r="I3027"/>
      <c r="J3027"/>
      <c r="K3027"/>
      <c r="L3027"/>
      <c r="M3027"/>
      <c r="N3027"/>
      <c r="O3027"/>
    </row>
    <row r="3028" spans="1:15" hidden="1" x14ac:dyDescent="0.25">
      <c r="A3028" t="s">
        <v>71</v>
      </c>
      <c r="B3028" t="s">
        <v>115</v>
      </c>
      <c r="C3028" t="b">
        <v>0</v>
      </c>
      <c r="D3028" s="1">
        <v>40087</v>
      </c>
      <c r="E3028">
        <v>5</v>
      </c>
      <c r="F3028"/>
      <c r="G3028"/>
      <c r="H3028"/>
      <c r="I3028"/>
      <c r="J3028"/>
      <c r="K3028"/>
      <c r="L3028"/>
      <c r="M3028"/>
      <c r="N3028"/>
      <c r="O3028"/>
    </row>
    <row r="3029" spans="1:15" hidden="1" x14ac:dyDescent="0.25">
      <c r="A3029" t="s">
        <v>74</v>
      </c>
      <c r="B3029" t="s">
        <v>115</v>
      </c>
      <c r="C3029" t="b">
        <v>0</v>
      </c>
      <c r="D3029" s="1">
        <v>40087</v>
      </c>
      <c r="E3029">
        <v>5</v>
      </c>
      <c r="F3029"/>
      <c r="G3029"/>
      <c r="H3029"/>
      <c r="I3029"/>
      <c r="J3029"/>
      <c r="K3029"/>
      <c r="L3029"/>
      <c r="M3029"/>
      <c r="N3029"/>
      <c r="O3029"/>
    </row>
    <row r="3030" spans="1:15" hidden="1" x14ac:dyDescent="0.25">
      <c r="A3030" t="s">
        <v>76</v>
      </c>
      <c r="B3030" t="s">
        <v>115</v>
      </c>
      <c r="C3030" t="b">
        <v>0</v>
      </c>
      <c r="D3030" s="1">
        <v>40087</v>
      </c>
      <c r="E3030">
        <v>1E-3</v>
      </c>
      <c r="F3030"/>
      <c r="G3030"/>
      <c r="H3030"/>
      <c r="I3030"/>
      <c r="J3030"/>
      <c r="K3030"/>
      <c r="L3030"/>
      <c r="M3030"/>
      <c r="N3030"/>
      <c r="O3030"/>
    </row>
    <row r="3031" spans="1:15" hidden="1" x14ac:dyDescent="0.25">
      <c r="A3031" t="s">
        <v>77</v>
      </c>
      <c r="B3031" t="s">
        <v>115</v>
      </c>
      <c r="C3031" t="b">
        <v>0</v>
      </c>
      <c r="D3031" s="1">
        <v>40087</v>
      </c>
      <c r="E3031">
        <v>5</v>
      </c>
      <c r="F3031"/>
      <c r="G3031"/>
      <c r="H3031"/>
      <c r="I3031"/>
      <c r="J3031"/>
      <c r="K3031"/>
      <c r="L3031"/>
      <c r="M3031"/>
      <c r="N3031"/>
      <c r="O3031"/>
    </row>
    <row r="3032" spans="1:15" hidden="1" x14ac:dyDescent="0.25">
      <c r="A3032" t="s">
        <v>86</v>
      </c>
      <c r="B3032" t="s">
        <v>115</v>
      </c>
      <c r="C3032" t="b">
        <v>0</v>
      </c>
      <c r="D3032" s="1">
        <v>40087</v>
      </c>
      <c r="E3032">
        <v>5</v>
      </c>
      <c r="F3032"/>
      <c r="G3032"/>
      <c r="H3032"/>
      <c r="I3032"/>
      <c r="J3032"/>
      <c r="K3032"/>
      <c r="L3032"/>
      <c r="M3032"/>
      <c r="N3032"/>
      <c r="O3032"/>
    </row>
    <row r="3033" spans="1:15" hidden="1" x14ac:dyDescent="0.25">
      <c r="A3033" t="s">
        <v>88</v>
      </c>
      <c r="B3033" t="s">
        <v>115</v>
      </c>
      <c r="C3033" t="b">
        <v>0</v>
      </c>
      <c r="D3033" s="1">
        <v>40087</v>
      </c>
      <c r="E3033">
        <v>5</v>
      </c>
      <c r="F3033"/>
      <c r="G3033"/>
      <c r="H3033"/>
      <c r="I3033"/>
      <c r="J3033"/>
      <c r="K3033"/>
      <c r="L3033"/>
      <c r="M3033"/>
      <c r="N3033"/>
      <c r="O3033"/>
    </row>
    <row r="3034" spans="1:15" hidden="1" x14ac:dyDescent="0.25">
      <c r="A3034" t="s">
        <v>90</v>
      </c>
      <c r="B3034" t="s">
        <v>115</v>
      </c>
      <c r="C3034" t="b">
        <v>0</v>
      </c>
      <c r="D3034" s="1">
        <v>40087</v>
      </c>
      <c r="E3034">
        <v>5</v>
      </c>
      <c r="F3034"/>
      <c r="G3034"/>
      <c r="H3034"/>
      <c r="I3034"/>
      <c r="J3034"/>
      <c r="K3034"/>
      <c r="L3034"/>
      <c r="M3034"/>
      <c r="N3034"/>
      <c r="O3034"/>
    </row>
    <row r="3035" spans="1:15" hidden="1" x14ac:dyDescent="0.25">
      <c r="A3035" t="s">
        <v>91</v>
      </c>
      <c r="B3035" t="s">
        <v>115</v>
      </c>
      <c r="C3035" t="b">
        <v>0</v>
      </c>
      <c r="D3035" s="1">
        <v>40087</v>
      </c>
      <c r="E3035">
        <v>5</v>
      </c>
      <c r="F3035"/>
      <c r="G3035"/>
      <c r="H3035"/>
      <c r="I3035"/>
      <c r="J3035"/>
      <c r="K3035"/>
      <c r="L3035"/>
      <c r="M3035"/>
      <c r="N3035"/>
      <c r="O3035"/>
    </row>
    <row r="3036" spans="1:15" hidden="1" x14ac:dyDescent="0.25">
      <c r="A3036" t="s">
        <v>95</v>
      </c>
      <c r="B3036" t="s">
        <v>115</v>
      </c>
      <c r="C3036" t="b">
        <v>0</v>
      </c>
      <c r="D3036" s="1">
        <v>40087</v>
      </c>
      <c r="E3036">
        <v>5</v>
      </c>
      <c r="F3036"/>
      <c r="G3036"/>
      <c r="H3036"/>
      <c r="I3036"/>
      <c r="J3036"/>
      <c r="K3036"/>
      <c r="L3036"/>
      <c r="M3036"/>
      <c r="N3036"/>
      <c r="O3036"/>
    </row>
    <row r="3037" spans="1:15" hidden="1" x14ac:dyDescent="0.25">
      <c r="A3037" t="s">
        <v>99</v>
      </c>
      <c r="B3037" t="s">
        <v>114</v>
      </c>
      <c r="C3037" t="b">
        <v>0</v>
      </c>
      <c r="D3037" s="1">
        <v>40087</v>
      </c>
      <c r="E3037">
        <v>8</v>
      </c>
      <c r="F3037"/>
      <c r="G3037"/>
      <c r="H3037"/>
      <c r="I3037"/>
      <c r="J3037"/>
      <c r="K3037"/>
      <c r="L3037"/>
      <c r="M3037"/>
      <c r="N3037"/>
      <c r="O3037"/>
    </row>
    <row r="3038" spans="1:15" hidden="1" x14ac:dyDescent="0.25">
      <c r="A3038" t="s">
        <v>100</v>
      </c>
      <c r="B3038" t="s">
        <v>117</v>
      </c>
      <c r="C3038" t="b">
        <v>0</v>
      </c>
      <c r="D3038" s="1">
        <v>40118</v>
      </c>
      <c r="E3038" s="2">
        <v>-26.85</v>
      </c>
      <c r="F3038"/>
      <c r="G3038"/>
      <c r="H3038"/>
      <c r="I3038"/>
      <c r="J3038"/>
      <c r="K3038"/>
      <c r="L3038"/>
      <c r="M3038"/>
      <c r="N3038"/>
      <c r="O3038"/>
    </row>
    <row r="3039" spans="1:15" hidden="1" x14ac:dyDescent="0.25">
      <c r="A3039" t="s">
        <v>101</v>
      </c>
      <c r="B3039" t="s">
        <v>117</v>
      </c>
      <c r="C3039" t="b">
        <v>0</v>
      </c>
      <c r="D3039" s="1">
        <v>40118</v>
      </c>
      <c r="E3039" s="2">
        <v>-89.62</v>
      </c>
      <c r="F3039"/>
      <c r="G3039"/>
      <c r="H3039"/>
      <c r="I3039"/>
      <c r="J3039"/>
      <c r="K3039"/>
      <c r="L3039"/>
      <c r="M3039"/>
      <c r="N3039"/>
      <c r="O3039"/>
    </row>
    <row r="3040" spans="1:15" hidden="1" x14ac:dyDescent="0.25">
      <c r="A3040" t="s">
        <v>30</v>
      </c>
      <c r="B3040" t="s">
        <v>115</v>
      </c>
      <c r="C3040" t="b">
        <v>0</v>
      </c>
      <c r="D3040" s="1">
        <v>40118</v>
      </c>
      <c r="E3040">
        <v>5</v>
      </c>
      <c r="F3040"/>
      <c r="G3040"/>
      <c r="H3040"/>
      <c r="I3040"/>
      <c r="J3040"/>
      <c r="K3040"/>
      <c r="L3040"/>
      <c r="M3040"/>
      <c r="N3040"/>
      <c r="O3040"/>
    </row>
    <row r="3041" spans="1:15" hidden="1" x14ac:dyDescent="0.25">
      <c r="A3041" t="s">
        <v>107</v>
      </c>
      <c r="B3041" t="s">
        <v>115</v>
      </c>
      <c r="C3041" t="b">
        <v>0</v>
      </c>
      <c r="D3041" s="1">
        <v>40118</v>
      </c>
      <c r="E3041">
        <v>5</v>
      </c>
      <c r="F3041"/>
      <c r="G3041"/>
      <c r="H3041"/>
      <c r="I3041"/>
      <c r="J3041"/>
      <c r="K3041"/>
      <c r="L3041"/>
      <c r="M3041"/>
      <c r="N3041"/>
      <c r="O3041"/>
    </row>
    <row r="3042" spans="1:15" hidden="1" x14ac:dyDescent="0.25">
      <c r="A3042" t="s">
        <v>31</v>
      </c>
      <c r="B3042" t="s">
        <v>115</v>
      </c>
      <c r="C3042" t="b">
        <v>0</v>
      </c>
      <c r="D3042" s="1">
        <v>40118</v>
      </c>
      <c r="E3042">
        <v>5</v>
      </c>
      <c r="F3042"/>
      <c r="G3042"/>
      <c r="H3042"/>
      <c r="I3042"/>
      <c r="J3042"/>
      <c r="K3042"/>
      <c r="L3042"/>
      <c r="M3042"/>
      <c r="N3042"/>
      <c r="O3042"/>
    </row>
    <row r="3043" spans="1:15" hidden="1" x14ac:dyDescent="0.25">
      <c r="A3043" t="s">
        <v>34</v>
      </c>
      <c r="B3043" t="s">
        <v>115</v>
      </c>
      <c r="C3043" t="b">
        <v>0</v>
      </c>
      <c r="D3043" s="1">
        <v>40118</v>
      </c>
      <c r="E3043">
        <v>5</v>
      </c>
      <c r="F3043"/>
      <c r="G3043"/>
      <c r="H3043"/>
      <c r="I3043"/>
      <c r="J3043"/>
      <c r="K3043"/>
      <c r="L3043"/>
      <c r="M3043"/>
      <c r="N3043"/>
      <c r="O3043"/>
    </row>
    <row r="3044" spans="1:15" hidden="1" x14ac:dyDescent="0.25">
      <c r="A3044" t="s">
        <v>37</v>
      </c>
      <c r="B3044" t="s">
        <v>115</v>
      </c>
      <c r="C3044" t="b">
        <v>0</v>
      </c>
      <c r="D3044" s="1">
        <v>40118</v>
      </c>
      <c r="E3044">
        <v>5</v>
      </c>
      <c r="F3044"/>
      <c r="G3044"/>
      <c r="H3044"/>
      <c r="I3044"/>
      <c r="J3044"/>
      <c r="K3044"/>
      <c r="L3044"/>
      <c r="M3044"/>
      <c r="N3044"/>
      <c r="O3044"/>
    </row>
    <row r="3045" spans="1:15" hidden="1" x14ac:dyDescent="0.25">
      <c r="A3045" t="s">
        <v>39</v>
      </c>
      <c r="B3045" t="s">
        <v>115</v>
      </c>
      <c r="C3045" t="b">
        <v>0</v>
      </c>
      <c r="D3045" s="1">
        <v>40118</v>
      </c>
      <c r="E3045">
        <v>5</v>
      </c>
      <c r="F3045"/>
      <c r="G3045"/>
      <c r="H3045"/>
      <c r="I3045"/>
      <c r="J3045"/>
      <c r="K3045"/>
      <c r="L3045"/>
      <c r="M3045"/>
      <c r="N3045"/>
      <c r="O3045"/>
    </row>
    <row r="3046" spans="1:15" hidden="1" x14ac:dyDescent="0.25">
      <c r="A3046" t="s">
        <v>58</v>
      </c>
      <c r="B3046" t="s">
        <v>115</v>
      </c>
      <c r="C3046" t="b">
        <v>0</v>
      </c>
      <c r="D3046" s="1">
        <v>40118</v>
      </c>
      <c r="E3046">
        <v>5</v>
      </c>
      <c r="F3046"/>
      <c r="G3046"/>
      <c r="H3046"/>
      <c r="I3046"/>
      <c r="J3046"/>
      <c r="K3046"/>
      <c r="L3046"/>
      <c r="M3046"/>
      <c r="N3046"/>
      <c r="O3046"/>
    </row>
    <row r="3047" spans="1:15" hidden="1" x14ac:dyDescent="0.25">
      <c r="A3047" t="s">
        <v>57</v>
      </c>
      <c r="B3047" t="s">
        <v>115</v>
      </c>
      <c r="C3047" t="b">
        <v>0</v>
      </c>
      <c r="D3047" s="1">
        <v>40118</v>
      </c>
      <c r="E3047">
        <v>5</v>
      </c>
      <c r="F3047"/>
      <c r="G3047"/>
      <c r="H3047"/>
      <c r="I3047"/>
      <c r="J3047"/>
      <c r="K3047"/>
      <c r="L3047"/>
      <c r="M3047"/>
      <c r="N3047"/>
      <c r="O3047"/>
    </row>
    <row r="3048" spans="1:15" hidden="1" x14ac:dyDescent="0.25">
      <c r="A3048" t="s">
        <v>68</v>
      </c>
      <c r="B3048" t="s">
        <v>115</v>
      </c>
      <c r="C3048" t="b">
        <v>0</v>
      </c>
      <c r="D3048" s="1">
        <v>40118</v>
      </c>
      <c r="E3048">
        <v>5</v>
      </c>
      <c r="F3048"/>
      <c r="G3048"/>
      <c r="H3048"/>
      <c r="I3048"/>
      <c r="J3048"/>
      <c r="K3048"/>
      <c r="L3048"/>
      <c r="M3048"/>
      <c r="N3048"/>
      <c r="O3048"/>
    </row>
    <row r="3049" spans="1:15" hidden="1" x14ac:dyDescent="0.25">
      <c r="A3049" t="s">
        <v>62</v>
      </c>
      <c r="B3049" t="s">
        <v>115</v>
      </c>
      <c r="C3049" t="b">
        <v>0</v>
      </c>
      <c r="D3049" s="1">
        <v>40118</v>
      </c>
      <c r="E3049">
        <v>5</v>
      </c>
      <c r="F3049"/>
      <c r="G3049"/>
      <c r="H3049"/>
      <c r="I3049"/>
      <c r="J3049"/>
      <c r="K3049"/>
      <c r="L3049"/>
      <c r="M3049"/>
      <c r="N3049"/>
      <c r="O3049"/>
    </row>
    <row r="3050" spans="1:15" hidden="1" x14ac:dyDescent="0.25">
      <c r="A3050" t="s">
        <v>69</v>
      </c>
      <c r="B3050" t="s">
        <v>115</v>
      </c>
      <c r="C3050" t="b">
        <v>0</v>
      </c>
      <c r="D3050" s="1">
        <v>40118</v>
      </c>
      <c r="E3050">
        <v>5</v>
      </c>
      <c r="F3050"/>
      <c r="G3050"/>
      <c r="H3050"/>
      <c r="I3050"/>
      <c r="J3050"/>
      <c r="K3050"/>
      <c r="L3050"/>
      <c r="M3050"/>
      <c r="N3050"/>
      <c r="O3050"/>
    </row>
    <row r="3051" spans="1:15" hidden="1" x14ac:dyDescent="0.25">
      <c r="A3051" t="s">
        <v>70</v>
      </c>
      <c r="B3051" t="s">
        <v>115</v>
      </c>
      <c r="C3051" t="b">
        <v>0</v>
      </c>
      <c r="D3051" s="1">
        <v>40118</v>
      </c>
      <c r="E3051">
        <v>5</v>
      </c>
      <c r="F3051"/>
      <c r="G3051"/>
      <c r="H3051"/>
      <c r="I3051"/>
      <c r="J3051"/>
      <c r="K3051"/>
      <c r="L3051"/>
      <c r="M3051"/>
      <c r="N3051"/>
      <c r="O3051"/>
    </row>
    <row r="3052" spans="1:15" hidden="1" x14ac:dyDescent="0.25">
      <c r="A3052" t="s">
        <v>71</v>
      </c>
      <c r="B3052" t="s">
        <v>115</v>
      </c>
      <c r="C3052" t="b">
        <v>0</v>
      </c>
      <c r="D3052" s="1">
        <v>40118</v>
      </c>
      <c r="E3052">
        <v>5</v>
      </c>
      <c r="F3052"/>
      <c r="G3052"/>
      <c r="H3052"/>
      <c r="I3052"/>
      <c r="J3052"/>
      <c r="K3052"/>
      <c r="L3052"/>
      <c r="M3052"/>
      <c r="N3052"/>
      <c r="O3052"/>
    </row>
    <row r="3053" spans="1:15" hidden="1" x14ac:dyDescent="0.25">
      <c r="A3053" t="s">
        <v>74</v>
      </c>
      <c r="B3053" t="s">
        <v>115</v>
      </c>
      <c r="C3053" t="b">
        <v>0</v>
      </c>
      <c r="D3053" s="1">
        <v>40118</v>
      </c>
      <c r="E3053">
        <v>5</v>
      </c>
      <c r="F3053"/>
      <c r="G3053"/>
      <c r="H3053"/>
      <c r="I3053"/>
      <c r="J3053"/>
      <c r="K3053"/>
      <c r="L3053"/>
      <c r="M3053"/>
      <c r="N3053"/>
      <c r="O3053"/>
    </row>
    <row r="3054" spans="1:15" hidden="1" x14ac:dyDescent="0.25">
      <c r="A3054" t="s">
        <v>76</v>
      </c>
      <c r="B3054" t="s">
        <v>115</v>
      </c>
      <c r="C3054" t="b">
        <v>0</v>
      </c>
      <c r="D3054" s="1">
        <v>40118</v>
      </c>
      <c r="E3054">
        <v>1E-3</v>
      </c>
      <c r="F3054"/>
      <c r="G3054"/>
      <c r="H3054"/>
      <c r="I3054"/>
      <c r="J3054"/>
      <c r="K3054"/>
      <c r="L3054"/>
      <c r="M3054"/>
      <c r="N3054"/>
      <c r="O3054"/>
    </row>
    <row r="3055" spans="1:15" hidden="1" x14ac:dyDescent="0.25">
      <c r="A3055" t="s">
        <v>77</v>
      </c>
      <c r="B3055" t="s">
        <v>115</v>
      </c>
      <c r="C3055" t="b">
        <v>0</v>
      </c>
      <c r="D3055" s="1">
        <v>40118</v>
      </c>
      <c r="E3055">
        <v>5</v>
      </c>
      <c r="F3055"/>
      <c r="G3055"/>
      <c r="H3055"/>
      <c r="I3055"/>
      <c r="J3055"/>
      <c r="K3055"/>
      <c r="L3055"/>
      <c r="M3055"/>
      <c r="N3055"/>
      <c r="O3055"/>
    </row>
    <row r="3056" spans="1:15" hidden="1" x14ac:dyDescent="0.25">
      <c r="A3056" t="s">
        <v>86</v>
      </c>
      <c r="B3056" t="s">
        <v>115</v>
      </c>
      <c r="C3056" t="b">
        <v>0</v>
      </c>
      <c r="D3056" s="1">
        <v>40118</v>
      </c>
      <c r="E3056">
        <v>5</v>
      </c>
      <c r="F3056"/>
      <c r="G3056"/>
      <c r="H3056"/>
      <c r="I3056"/>
      <c r="J3056"/>
      <c r="K3056"/>
      <c r="L3056"/>
      <c r="M3056"/>
      <c r="N3056"/>
      <c r="O3056"/>
    </row>
    <row r="3057" spans="1:15" hidden="1" x14ac:dyDescent="0.25">
      <c r="A3057" t="s">
        <v>88</v>
      </c>
      <c r="B3057" t="s">
        <v>115</v>
      </c>
      <c r="C3057" t="b">
        <v>0</v>
      </c>
      <c r="D3057" s="1">
        <v>40118</v>
      </c>
      <c r="E3057">
        <v>5</v>
      </c>
      <c r="F3057"/>
      <c r="G3057"/>
      <c r="H3057"/>
      <c r="I3057"/>
      <c r="J3057"/>
      <c r="K3057"/>
      <c r="L3057"/>
      <c r="M3057"/>
      <c r="N3057"/>
      <c r="O3057"/>
    </row>
    <row r="3058" spans="1:15" hidden="1" x14ac:dyDescent="0.25">
      <c r="A3058" t="s">
        <v>90</v>
      </c>
      <c r="B3058" t="s">
        <v>115</v>
      </c>
      <c r="C3058" t="b">
        <v>0</v>
      </c>
      <c r="D3058" s="1">
        <v>40118</v>
      </c>
      <c r="E3058">
        <v>5</v>
      </c>
      <c r="F3058"/>
      <c r="G3058"/>
      <c r="H3058"/>
      <c r="I3058"/>
      <c r="J3058"/>
      <c r="K3058"/>
      <c r="L3058"/>
      <c r="M3058"/>
      <c r="N3058"/>
      <c r="O3058"/>
    </row>
    <row r="3059" spans="1:15" hidden="1" x14ac:dyDescent="0.25">
      <c r="A3059" t="s">
        <v>99</v>
      </c>
      <c r="B3059" t="s">
        <v>114</v>
      </c>
      <c r="C3059" t="b">
        <v>0</v>
      </c>
      <c r="D3059" s="1">
        <v>40118</v>
      </c>
      <c r="E3059">
        <v>6.85</v>
      </c>
      <c r="F3059"/>
      <c r="G3059"/>
      <c r="H3059"/>
      <c r="I3059"/>
      <c r="J3059"/>
      <c r="K3059"/>
      <c r="L3059"/>
      <c r="M3059"/>
      <c r="N3059"/>
      <c r="O3059"/>
    </row>
    <row r="3060" spans="1:15" hidden="1" x14ac:dyDescent="0.25">
      <c r="A3060" t="s">
        <v>100</v>
      </c>
      <c r="B3060" t="s">
        <v>117</v>
      </c>
      <c r="C3060" t="b">
        <v>0</v>
      </c>
      <c r="D3060" s="1">
        <v>40148</v>
      </c>
      <c r="E3060" s="2">
        <v>-123.47000000000001</v>
      </c>
      <c r="F3060"/>
      <c r="G3060"/>
      <c r="H3060"/>
      <c r="I3060"/>
      <c r="J3060"/>
      <c r="K3060"/>
      <c r="L3060"/>
      <c r="M3060"/>
      <c r="N3060"/>
      <c r="O3060"/>
    </row>
    <row r="3061" spans="1:15" hidden="1" x14ac:dyDescent="0.25">
      <c r="A3061" t="s">
        <v>101</v>
      </c>
      <c r="B3061" t="s">
        <v>117</v>
      </c>
      <c r="C3061" t="b">
        <v>0</v>
      </c>
      <c r="D3061" s="1">
        <v>40148</v>
      </c>
      <c r="E3061" s="2">
        <v>-2.36</v>
      </c>
      <c r="F3061"/>
      <c r="G3061"/>
      <c r="H3061"/>
      <c r="I3061"/>
      <c r="J3061"/>
      <c r="K3061"/>
      <c r="L3061"/>
      <c r="M3061"/>
      <c r="N3061"/>
      <c r="O3061"/>
    </row>
    <row r="3062" spans="1:15" hidden="1" x14ac:dyDescent="0.25">
      <c r="A3062" t="s">
        <v>30</v>
      </c>
      <c r="B3062" t="s">
        <v>115</v>
      </c>
      <c r="C3062" t="b">
        <v>0</v>
      </c>
      <c r="D3062" s="1">
        <v>40148</v>
      </c>
      <c r="E3062">
        <v>5</v>
      </c>
      <c r="F3062"/>
      <c r="G3062"/>
      <c r="H3062"/>
      <c r="I3062"/>
      <c r="J3062"/>
      <c r="K3062"/>
      <c r="L3062"/>
      <c r="M3062"/>
      <c r="N3062"/>
      <c r="O3062"/>
    </row>
    <row r="3063" spans="1:15" hidden="1" x14ac:dyDescent="0.25">
      <c r="A3063" t="s">
        <v>107</v>
      </c>
      <c r="B3063" t="s">
        <v>115</v>
      </c>
      <c r="C3063" t="b">
        <v>0</v>
      </c>
      <c r="D3063" s="1">
        <v>40148</v>
      </c>
      <c r="E3063">
        <v>5</v>
      </c>
      <c r="F3063"/>
      <c r="G3063"/>
      <c r="H3063"/>
      <c r="I3063"/>
      <c r="J3063"/>
      <c r="K3063"/>
      <c r="L3063"/>
      <c r="M3063"/>
      <c r="N3063"/>
      <c r="O3063"/>
    </row>
    <row r="3064" spans="1:15" hidden="1" x14ac:dyDescent="0.25">
      <c r="A3064" t="s">
        <v>31</v>
      </c>
      <c r="B3064" t="s">
        <v>115</v>
      </c>
      <c r="C3064" t="b">
        <v>0</v>
      </c>
      <c r="D3064" s="1">
        <v>40148</v>
      </c>
      <c r="E3064">
        <v>5</v>
      </c>
      <c r="F3064"/>
      <c r="G3064"/>
      <c r="H3064"/>
      <c r="I3064"/>
      <c r="J3064"/>
      <c r="K3064"/>
      <c r="L3064"/>
      <c r="M3064"/>
      <c r="N3064"/>
      <c r="O3064"/>
    </row>
    <row r="3065" spans="1:15" hidden="1" x14ac:dyDescent="0.25">
      <c r="A3065" t="s">
        <v>34</v>
      </c>
      <c r="B3065" t="s">
        <v>115</v>
      </c>
      <c r="C3065" t="b">
        <v>0</v>
      </c>
      <c r="D3065" s="1">
        <v>40148</v>
      </c>
      <c r="E3065">
        <v>5</v>
      </c>
      <c r="F3065"/>
      <c r="G3065"/>
      <c r="H3065"/>
      <c r="I3065"/>
      <c r="J3065"/>
      <c r="K3065"/>
      <c r="L3065"/>
      <c r="M3065"/>
      <c r="N3065"/>
      <c r="O3065"/>
    </row>
    <row r="3066" spans="1:15" hidden="1" x14ac:dyDescent="0.25">
      <c r="A3066" t="s">
        <v>37</v>
      </c>
      <c r="B3066" t="s">
        <v>115</v>
      </c>
      <c r="C3066" t="b">
        <v>0</v>
      </c>
      <c r="D3066" s="1">
        <v>40148</v>
      </c>
      <c r="E3066">
        <v>5</v>
      </c>
      <c r="F3066"/>
      <c r="G3066"/>
      <c r="H3066"/>
      <c r="I3066"/>
      <c r="J3066"/>
      <c r="K3066"/>
      <c r="L3066"/>
      <c r="M3066"/>
      <c r="N3066"/>
      <c r="O3066"/>
    </row>
    <row r="3067" spans="1:15" hidden="1" x14ac:dyDescent="0.25">
      <c r="A3067" t="s">
        <v>39</v>
      </c>
      <c r="B3067" t="s">
        <v>115</v>
      </c>
      <c r="C3067" t="b">
        <v>0</v>
      </c>
      <c r="D3067" s="1">
        <v>40148</v>
      </c>
      <c r="E3067">
        <v>5</v>
      </c>
      <c r="F3067"/>
      <c r="G3067"/>
      <c r="H3067"/>
      <c r="I3067"/>
      <c r="J3067"/>
      <c r="K3067"/>
      <c r="L3067"/>
      <c r="M3067"/>
      <c r="N3067"/>
      <c r="O3067"/>
    </row>
    <row r="3068" spans="1:15" hidden="1" x14ac:dyDescent="0.25">
      <c r="A3068" t="s">
        <v>58</v>
      </c>
      <c r="B3068" t="s">
        <v>115</v>
      </c>
      <c r="C3068" t="b">
        <v>0</v>
      </c>
      <c r="D3068" s="1">
        <v>40148</v>
      </c>
      <c r="E3068">
        <v>5</v>
      </c>
      <c r="F3068"/>
      <c r="G3068"/>
      <c r="H3068"/>
      <c r="I3068"/>
      <c r="J3068"/>
      <c r="K3068"/>
      <c r="L3068"/>
      <c r="M3068"/>
      <c r="N3068"/>
      <c r="O3068"/>
    </row>
    <row r="3069" spans="1:15" hidden="1" x14ac:dyDescent="0.25">
      <c r="A3069" t="s">
        <v>57</v>
      </c>
      <c r="B3069" t="s">
        <v>115</v>
      </c>
      <c r="C3069" t="b">
        <v>0</v>
      </c>
      <c r="D3069" s="1">
        <v>40148</v>
      </c>
      <c r="E3069">
        <v>5</v>
      </c>
      <c r="F3069"/>
      <c r="G3069"/>
      <c r="H3069"/>
      <c r="I3069"/>
      <c r="J3069"/>
      <c r="K3069"/>
      <c r="L3069"/>
      <c r="M3069"/>
      <c r="N3069"/>
      <c r="O3069"/>
    </row>
    <row r="3070" spans="1:15" hidden="1" x14ac:dyDescent="0.25">
      <c r="A3070" t="s">
        <v>68</v>
      </c>
      <c r="B3070" t="s">
        <v>115</v>
      </c>
      <c r="C3070" t="b">
        <v>0</v>
      </c>
      <c r="D3070" s="1">
        <v>40148</v>
      </c>
      <c r="E3070">
        <v>5</v>
      </c>
      <c r="F3070"/>
      <c r="G3070"/>
      <c r="H3070"/>
      <c r="I3070"/>
      <c r="J3070"/>
      <c r="K3070"/>
      <c r="L3070"/>
      <c r="M3070"/>
      <c r="N3070"/>
      <c r="O3070"/>
    </row>
    <row r="3071" spans="1:15" hidden="1" x14ac:dyDescent="0.25">
      <c r="A3071" t="s">
        <v>69</v>
      </c>
      <c r="B3071" t="s">
        <v>115</v>
      </c>
      <c r="C3071" t="b">
        <v>0</v>
      </c>
      <c r="D3071" s="1">
        <v>40148</v>
      </c>
      <c r="E3071">
        <v>5</v>
      </c>
      <c r="F3071"/>
      <c r="G3071"/>
      <c r="H3071"/>
      <c r="I3071"/>
      <c r="J3071"/>
      <c r="K3071"/>
      <c r="L3071"/>
      <c r="M3071"/>
      <c r="N3071"/>
      <c r="O3071"/>
    </row>
    <row r="3072" spans="1:15" hidden="1" x14ac:dyDescent="0.25">
      <c r="A3072" t="s">
        <v>70</v>
      </c>
      <c r="B3072" t="s">
        <v>115</v>
      </c>
      <c r="C3072" t="b">
        <v>0</v>
      </c>
      <c r="D3072" s="1">
        <v>40148</v>
      </c>
      <c r="E3072">
        <v>5</v>
      </c>
      <c r="F3072"/>
      <c r="G3072"/>
      <c r="H3072"/>
      <c r="I3072"/>
      <c r="J3072"/>
      <c r="K3072"/>
      <c r="L3072"/>
      <c r="M3072"/>
      <c r="N3072"/>
      <c r="O3072"/>
    </row>
    <row r="3073" spans="1:15" hidden="1" x14ac:dyDescent="0.25">
      <c r="A3073" t="s">
        <v>71</v>
      </c>
      <c r="B3073" t="s">
        <v>115</v>
      </c>
      <c r="C3073" t="b">
        <v>0</v>
      </c>
      <c r="D3073" s="1">
        <v>40148</v>
      </c>
      <c r="E3073">
        <v>5</v>
      </c>
      <c r="F3073"/>
      <c r="G3073"/>
      <c r="H3073"/>
      <c r="I3073"/>
      <c r="J3073"/>
      <c r="K3073"/>
      <c r="L3073"/>
      <c r="M3073"/>
      <c r="N3073"/>
      <c r="O3073"/>
    </row>
    <row r="3074" spans="1:15" hidden="1" x14ac:dyDescent="0.25">
      <c r="A3074" t="s">
        <v>74</v>
      </c>
      <c r="B3074" t="s">
        <v>115</v>
      </c>
      <c r="C3074" t="b">
        <v>0</v>
      </c>
      <c r="D3074" s="1">
        <v>40148</v>
      </c>
      <c r="E3074">
        <v>5</v>
      </c>
      <c r="F3074"/>
      <c r="G3074"/>
      <c r="H3074"/>
      <c r="I3074"/>
      <c r="J3074"/>
      <c r="K3074"/>
      <c r="L3074"/>
      <c r="M3074"/>
      <c r="N3074"/>
      <c r="O3074"/>
    </row>
    <row r="3075" spans="1:15" hidden="1" x14ac:dyDescent="0.25">
      <c r="A3075" t="s">
        <v>76</v>
      </c>
      <c r="B3075" t="s">
        <v>115</v>
      </c>
      <c r="C3075" t="b">
        <v>0</v>
      </c>
      <c r="D3075" s="1">
        <v>40148</v>
      </c>
      <c r="E3075">
        <v>1E-3</v>
      </c>
      <c r="F3075"/>
      <c r="G3075"/>
      <c r="H3075"/>
      <c r="I3075"/>
      <c r="J3075"/>
      <c r="K3075"/>
      <c r="L3075"/>
      <c r="M3075"/>
      <c r="N3075"/>
      <c r="O3075"/>
    </row>
    <row r="3076" spans="1:15" hidden="1" x14ac:dyDescent="0.25">
      <c r="A3076" t="s">
        <v>77</v>
      </c>
      <c r="B3076" t="s">
        <v>115</v>
      </c>
      <c r="C3076" t="b">
        <v>0</v>
      </c>
      <c r="D3076" s="1">
        <v>40148</v>
      </c>
      <c r="E3076">
        <v>5</v>
      </c>
      <c r="F3076"/>
      <c r="G3076"/>
      <c r="H3076"/>
      <c r="I3076"/>
      <c r="J3076"/>
      <c r="K3076"/>
      <c r="L3076"/>
      <c r="M3076"/>
      <c r="N3076"/>
      <c r="O3076"/>
    </row>
    <row r="3077" spans="1:15" hidden="1" x14ac:dyDescent="0.25">
      <c r="A3077" t="s">
        <v>86</v>
      </c>
      <c r="B3077" t="s">
        <v>115</v>
      </c>
      <c r="C3077" t="b">
        <v>0</v>
      </c>
      <c r="D3077" s="1">
        <v>40148</v>
      </c>
      <c r="E3077">
        <v>5</v>
      </c>
      <c r="F3077"/>
      <c r="G3077"/>
      <c r="H3077"/>
      <c r="I3077"/>
      <c r="J3077"/>
      <c r="K3077"/>
      <c r="L3077"/>
      <c r="M3077"/>
      <c r="N3077"/>
      <c r="O3077"/>
    </row>
    <row r="3078" spans="1:15" hidden="1" x14ac:dyDescent="0.25">
      <c r="A3078" t="s">
        <v>88</v>
      </c>
      <c r="B3078" t="s">
        <v>115</v>
      </c>
      <c r="C3078" t="b">
        <v>0</v>
      </c>
      <c r="D3078" s="1">
        <v>40148</v>
      </c>
      <c r="E3078">
        <v>5</v>
      </c>
      <c r="F3078"/>
      <c r="G3078"/>
      <c r="H3078"/>
      <c r="I3078"/>
      <c r="J3078"/>
      <c r="K3078"/>
      <c r="L3078"/>
      <c r="M3078"/>
      <c r="N3078"/>
      <c r="O3078"/>
    </row>
    <row r="3079" spans="1:15" hidden="1" x14ac:dyDescent="0.25">
      <c r="A3079" t="s">
        <v>90</v>
      </c>
      <c r="B3079" t="s">
        <v>115</v>
      </c>
      <c r="C3079" t="b">
        <v>0</v>
      </c>
      <c r="D3079" s="1">
        <v>40148</v>
      </c>
      <c r="E3079">
        <v>5</v>
      </c>
      <c r="F3079"/>
      <c r="G3079"/>
      <c r="H3079"/>
      <c r="I3079"/>
      <c r="J3079"/>
      <c r="K3079"/>
      <c r="L3079"/>
      <c r="M3079"/>
      <c r="N3079"/>
      <c r="O3079"/>
    </row>
    <row r="3080" spans="1:15" hidden="1" x14ac:dyDescent="0.25">
      <c r="A3080" t="s">
        <v>95</v>
      </c>
      <c r="B3080" t="s">
        <v>115</v>
      </c>
      <c r="C3080" t="b">
        <v>0</v>
      </c>
      <c r="D3080" s="1">
        <v>40148</v>
      </c>
      <c r="E3080">
        <v>5</v>
      </c>
      <c r="F3080"/>
      <c r="G3080"/>
      <c r="H3080"/>
      <c r="I3080"/>
      <c r="J3080"/>
      <c r="K3080"/>
      <c r="L3080"/>
      <c r="M3080"/>
      <c r="N3080"/>
      <c r="O3080"/>
    </row>
    <row r="3081" spans="1:15" hidden="1" x14ac:dyDescent="0.25">
      <c r="A3081" t="s">
        <v>99</v>
      </c>
      <c r="B3081" t="s">
        <v>114</v>
      </c>
      <c r="C3081" t="b">
        <v>0</v>
      </c>
      <c r="D3081" s="1">
        <v>40148</v>
      </c>
      <c r="E3081">
        <v>10.8</v>
      </c>
      <c r="F3081"/>
      <c r="G3081"/>
      <c r="H3081"/>
      <c r="I3081"/>
      <c r="J3081"/>
      <c r="K3081"/>
      <c r="L3081"/>
      <c r="M3081"/>
      <c r="N3081"/>
      <c r="O3081"/>
    </row>
    <row r="3082" spans="1:15" hidden="1" x14ac:dyDescent="0.25">
      <c r="A3082" t="s">
        <v>100</v>
      </c>
      <c r="B3082" t="s">
        <v>117</v>
      </c>
      <c r="C3082" t="b">
        <v>0</v>
      </c>
      <c r="D3082" s="1">
        <v>40179</v>
      </c>
      <c r="E3082" s="2">
        <v>-132.09</v>
      </c>
      <c r="F3082"/>
      <c r="G3082"/>
      <c r="H3082"/>
      <c r="I3082"/>
      <c r="J3082"/>
      <c r="K3082"/>
      <c r="L3082"/>
      <c r="M3082"/>
      <c r="N3082"/>
      <c r="O3082"/>
    </row>
    <row r="3083" spans="1:15" hidden="1" x14ac:dyDescent="0.25">
      <c r="A3083" t="s">
        <v>26</v>
      </c>
      <c r="B3083" t="s">
        <v>115</v>
      </c>
      <c r="C3083" t="b">
        <v>0</v>
      </c>
      <c r="D3083" s="1">
        <v>40179</v>
      </c>
      <c r="E3083">
        <v>5</v>
      </c>
      <c r="F3083"/>
      <c r="G3083"/>
      <c r="H3083"/>
      <c r="I3083"/>
      <c r="J3083"/>
      <c r="K3083"/>
      <c r="L3083"/>
      <c r="M3083"/>
      <c r="N3083"/>
      <c r="O3083"/>
    </row>
    <row r="3084" spans="1:15" hidden="1" x14ac:dyDescent="0.25">
      <c r="A3084" t="s">
        <v>27</v>
      </c>
      <c r="B3084" t="s">
        <v>115</v>
      </c>
      <c r="C3084" t="b">
        <v>0</v>
      </c>
      <c r="D3084" s="1">
        <v>40179</v>
      </c>
      <c r="E3084">
        <v>5</v>
      </c>
      <c r="F3084"/>
      <c r="G3084"/>
      <c r="H3084"/>
      <c r="I3084"/>
      <c r="J3084"/>
      <c r="K3084"/>
      <c r="L3084"/>
      <c r="M3084"/>
      <c r="N3084"/>
      <c r="O3084"/>
    </row>
    <row r="3085" spans="1:15" hidden="1" x14ac:dyDescent="0.25">
      <c r="A3085" t="s">
        <v>30</v>
      </c>
      <c r="B3085" t="s">
        <v>115</v>
      </c>
      <c r="C3085" t="b">
        <v>0</v>
      </c>
      <c r="D3085" s="1">
        <v>40179</v>
      </c>
      <c r="E3085">
        <v>5</v>
      </c>
      <c r="F3085"/>
      <c r="G3085"/>
      <c r="H3085"/>
      <c r="I3085"/>
      <c r="J3085"/>
      <c r="K3085"/>
      <c r="L3085"/>
      <c r="M3085"/>
      <c r="N3085"/>
      <c r="O3085"/>
    </row>
    <row r="3086" spans="1:15" hidden="1" x14ac:dyDescent="0.25">
      <c r="A3086" t="s">
        <v>107</v>
      </c>
      <c r="B3086" t="s">
        <v>115</v>
      </c>
      <c r="C3086" t="b">
        <v>0</v>
      </c>
      <c r="D3086" s="1">
        <v>40179</v>
      </c>
      <c r="E3086">
        <v>5</v>
      </c>
      <c r="F3086"/>
      <c r="G3086"/>
      <c r="H3086"/>
      <c r="I3086"/>
      <c r="J3086"/>
      <c r="K3086"/>
      <c r="L3086"/>
      <c r="M3086"/>
      <c r="N3086"/>
      <c r="O3086"/>
    </row>
    <row r="3087" spans="1:15" hidden="1" x14ac:dyDescent="0.25">
      <c r="A3087" t="s">
        <v>31</v>
      </c>
      <c r="B3087" t="s">
        <v>115</v>
      </c>
      <c r="C3087" t="b">
        <v>0</v>
      </c>
      <c r="D3087" s="1">
        <v>40179</v>
      </c>
      <c r="E3087">
        <v>5</v>
      </c>
      <c r="F3087"/>
      <c r="G3087"/>
      <c r="H3087"/>
      <c r="I3087"/>
      <c r="J3087"/>
      <c r="K3087"/>
      <c r="L3087"/>
      <c r="M3087"/>
      <c r="N3087"/>
      <c r="O3087"/>
    </row>
    <row r="3088" spans="1:15" hidden="1" x14ac:dyDescent="0.25">
      <c r="A3088" t="s">
        <v>34</v>
      </c>
      <c r="B3088" t="s">
        <v>115</v>
      </c>
      <c r="C3088" t="b">
        <v>0</v>
      </c>
      <c r="D3088" s="1">
        <v>40179</v>
      </c>
      <c r="E3088">
        <v>5</v>
      </c>
      <c r="F3088"/>
      <c r="G3088"/>
      <c r="H3088"/>
      <c r="I3088"/>
      <c r="J3088"/>
      <c r="K3088"/>
      <c r="L3088"/>
      <c r="M3088"/>
      <c r="N3088"/>
      <c r="O3088"/>
    </row>
    <row r="3089" spans="1:15" hidden="1" x14ac:dyDescent="0.25">
      <c r="A3089" t="s">
        <v>37</v>
      </c>
      <c r="B3089" t="s">
        <v>115</v>
      </c>
      <c r="C3089" t="b">
        <v>0</v>
      </c>
      <c r="D3089" s="1">
        <v>40179</v>
      </c>
      <c r="E3089">
        <v>5</v>
      </c>
      <c r="F3089"/>
      <c r="G3089"/>
      <c r="H3089"/>
      <c r="I3089"/>
      <c r="J3089"/>
      <c r="K3089"/>
      <c r="L3089"/>
      <c r="M3089"/>
      <c r="N3089"/>
      <c r="O3089"/>
    </row>
    <row r="3090" spans="1:15" hidden="1" x14ac:dyDescent="0.25">
      <c r="A3090" t="s">
        <v>39</v>
      </c>
      <c r="B3090" t="s">
        <v>115</v>
      </c>
      <c r="C3090" t="b">
        <v>0</v>
      </c>
      <c r="D3090" s="1">
        <v>40179</v>
      </c>
      <c r="E3090">
        <v>5</v>
      </c>
      <c r="F3090"/>
      <c r="G3090"/>
      <c r="H3090"/>
      <c r="I3090"/>
      <c r="J3090"/>
      <c r="K3090"/>
      <c r="L3090"/>
      <c r="M3090"/>
      <c r="N3090"/>
      <c r="O3090"/>
    </row>
    <row r="3091" spans="1:15" hidden="1" x14ac:dyDescent="0.25">
      <c r="A3091" t="s">
        <v>58</v>
      </c>
      <c r="B3091" t="s">
        <v>115</v>
      </c>
      <c r="C3091" t="b">
        <v>0</v>
      </c>
      <c r="D3091" s="1">
        <v>40179</v>
      </c>
      <c r="E3091">
        <v>5</v>
      </c>
      <c r="F3091"/>
      <c r="G3091"/>
      <c r="H3091"/>
      <c r="I3091"/>
      <c r="J3091"/>
      <c r="K3091"/>
      <c r="L3091"/>
      <c r="M3091"/>
      <c r="N3091"/>
      <c r="O3091"/>
    </row>
    <row r="3092" spans="1:15" hidden="1" x14ac:dyDescent="0.25">
      <c r="A3092" t="s">
        <v>57</v>
      </c>
      <c r="B3092" t="s">
        <v>115</v>
      </c>
      <c r="C3092" t="b">
        <v>0</v>
      </c>
      <c r="D3092" s="1">
        <v>40179</v>
      </c>
      <c r="E3092">
        <v>5</v>
      </c>
      <c r="F3092"/>
      <c r="G3092"/>
      <c r="H3092"/>
      <c r="I3092"/>
      <c r="J3092"/>
      <c r="K3092"/>
      <c r="L3092"/>
      <c r="M3092"/>
      <c r="N3092"/>
      <c r="O3092"/>
    </row>
    <row r="3093" spans="1:15" hidden="1" x14ac:dyDescent="0.25">
      <c r="A3093" t="s">
        <v>68</v>
      </c>
      <c r="B3093" t="s">
        <v>115</v>
      </c>
      <c r="C3093" t="b">
        <v>0</v>
      </c>
      <c r="D3093" s="1">
        <v>40179</v>
      </c>
      <c r="E3093">
        <v>5</v>
      </c>
      <c r="F3093"/>
      <c r="G3093"/>
      <c r="H3093"/>
      <c r="I3093"/>
      <c r="J3093"/>
      <c r="K3093"/>
      <c r="L3093"/>
      <c r="M3093"/>
      <c r="N3093"/>
      <c r="O3093"/>
    </row>
    <row r="3094" spans="1:15" hidden="1" x14ac:dyDescent="0.25">
      <c r="A3094" t="s">
        <v>62</v>
      </c>
      <c r="B3094" t="s">
        <v>115</v>
      </c>
      <c r="C3094" t="b">
        <v>0</v>
      </c>
      <c r="D3094" s="1">
        <v>40179</v>
      </c>
      <c r="E3094">
        <v>5</v>
      </c>
      <c r="F3094"/>
      <c r="G3094"/>
      <c r="H3094"/>
      <c r="I3094"/>
      <c r="J3094"/>
      <c r="K3094"/>
      <c r="L3094"/>
      <c r="M3094"/>
      <c r="N3094"/>
      <c r="O3094"/>
    </row>
    <row r="3095" spans="1:15" hidden="1" x14ac:dyDescent="0.25">
      <c r="A3095" t="s">
        <v>69</v>
      </c>
      <c r="B3095" t="s">
        <v>115</v>
      </c>
      <c r="C3095" t="b">
        <v>0</v>
      </c>
      <c r="D3095" s="1">
        <v>40179</v>
      </c>
      <c r="E3095">
        <v>5</v>
      </c>
      <c r="F3095"/>
      <c r="G3095"/>
      <c r="H3095"/>
      <c r="I3095"/>
      <c r="J3095"/>
      <c r="K3095"/>
      <c r="L3095"/>
      <c r="M3095"/>
      <c r="N3095"/>
      <c r="O3095"/>
    </row>
    <row r="3096" spans="1:15" hidden="1" x14ac:dyDescent="0.25">
      <c r="A3096" t="s">
        <v>70</v>
      </c>
      <c r="B3096" t="s">
        <v>115</v>
      </c>
      <c r="C3096" t="b">
        <v>0</v>
      </c>
      <c r="D3096" s="1">
        <v>40179</v>
      </c>
      <c r="E3096">
        <v>5</v>
      </c>
      <c r="F3096"/>
      <c r="G3096"/>
      <c r="H3096"/>
      <c r="I3096"/>
      <c r="J3096"/>
      <c r="K3096"/>
      <c r="L3096"/>
      <c r="M3096"/>
      <c r="N3096"/>
      <c r="O3096"/>
    </row>
    <row r="3097" spans="1:15" hidden="1" x14ac:dyDescent="0.25">
      <c r="A3097" t="s">
        <v>71</v>
      </c>
      <c r="B3097" t="s">
        <v>115</v>
      </c>
      <c r="C3097" t="b">
        <v>0</v>
      </c>
      <c r="D3097" s="1">
        <v>40179</v>
      </c>
      <c r="E3097">
        <v>5</v>
      </c>
      <c r="F3097"/>
      <c r="G3097"/>
      <c r="H3097"/>
      <c r="I3097"/>
      <c r="J3097"/>
      <c r="K3097"/>
      <c r="L3097"/>
      <c r="M3097"/>
      <c r="N3097"/>
      <c r="O3097"/>
    </row>
    <row r="3098" spans="1:15" hidden="1" x14ac:dyDescent="0.25">
      <c r="A3098" t="s">
        <v>74</v>
      </c>
      <c r="B3098" t="s">
        <v>115</v>
      </c>
      <c r="C3098" t="b">
        <v>0</v>
      </c>
      <c r="D3098" s="1">
        <v>40179</v>
      </c>
      <c r="E3098">
        <v>5</v>
      </c>
      <c r="F3098"/>
      <c r="G3098"/>
      <c r="H3098"/>
      <c r="I3098"/>
      <c r="J3098"/>
      <c r="K3098"/>
      <c r="L3098"/>
      <c r="M3098"/>
      <c r="N3098"/>
      <c r="O3098"/>
    </row>
    <row r="3099" spans="1:15" hidden="1" x14ac:dyDescent="0.25">
      <c r="A3099" t="s">
        <v>76</v>
      </c>
      <c r="B3099" t="s">
        <v>115</v>
      </c>
      <c r="C3099" t="b">
        <v>0</v>
      </c>
      <c r="D3099" s="1">
        <v>40179</v>
      </c>
      <c r="E3099">
        <v>1E-3</v>
      </c>
      <c r="F3099"/>
      <c r="G3099"/>
      <c r="H3099"/>
      <c r="I3099"/>
      <c r="J3099"/>
      <c r="K3099"/>
      <c r="L3099"/>
      <c r="M3099"/>
      <c r="N3099"/>
      <c r="O3099"/>
    </row>
    <row r="3100" spans="1:15" hidden="1" x14ac:dyDescent="0.25">
      <c r="A3100" t="s">
        <v>77</v>
      </c>
      <c r="B3100" t="s">
        <v>115</v>
      </c>
      <c r="C3100" t="b">
        <v>0</v>
      </c>
      <c r="D3100" s="1">
        <v>40179</v>
      </c>
      <c r="E3100">
        <v>5</v>
      </c>
      <c r="F3100"/>
      <c r="G3100"/>
      <c r="H3100"/>
      <c r="I3100"/>
      <c r="J3100"/>
      <c r="K3100"/>
      <c r="L3100"/>
      <c r="M3100"/>
      <c r="N3100"/>
      <c r="O3100"/>
    </row>
    <row r="3101" spans="1:15" hidden="1" x14ac:dyDescent="0.25">
      <c r="A3101" t="s">
        <v>86</v>
      </c>
      <c r="B3101" t="s">
        <v>115</v>
      </c>
      <c r="C3101" t="b">
        <v>0</v>
      </c>
      <c r="D3101" s="1">
        <v>40179</v>
      </c>
      <c r="E3101">
        <v>5</v>
      </c>
      <c r="F3101"/>
      <c r="G3101"/>
      <c r="H3101"/>
      <c r="I3101"/>
      <c r="J3101"/>
      <c r="K3101"/>
      <c r="L3101"/>
      <c r="M3101"/>
      <c r="N3101"/>
      <c r="O3101"/>
    </row>
    <row r="3102" spans="1:15" hidden="1" x14ac:dyDescent="0.25">
      <c r="A3102" t="s">
        <v>88</v>
      </c>
      <c r="B3102" t="s">
        <v>115</v>
      </c>
      <c r="C3102" t="b">
        <v>0</v>
      </c>
      <c r="D3102" s="1">
        <v>40179</v>
      </c>
      <c r="E3102">
        <v>5</v>
      </c>
      <c r="F3102"/>
      <c r="G3102"/>
      <c r="H3102"/>
      <c r="I3102"/>
      <c r="J3102"/>
      <c r="K3102"/>
      <c r="L3102"/>
      <c r="M3102"/>
      <c r="N3102"/>
      <c r="O3102"/>
    </row>
    <row r="3103" spans="1:15" hidden="1" x14ac:dyDescent="0.25">
      <c r="A3103" t="s">
        <v>90</v>
      </c>
      <c r="B3103" t="s">
        <v>115</v>
      </c>
      <c r="C3103" t="b">
        <v>0</v>
      </c>
      <c r="D3103" s="1">
        <v>40179</v>
      </c>
      <c r="E3103">
        <v>5</v>
      </c>
      <c r="F3103"/>
      <c r="G3103"/>
      <c r="H3103"/>
      <c r="I3103"/>
      <c r="J3103"/>
      <c r="K3103"/>
      <c r="L3103"/>
      <c r="M3103"/>
      <c r="N3103"/>
      <c r="O3103"/>
    </row>
    <row r="3104" spans="1:15" hidden="1" x14ac:dyDescent="0.25">
      <c r="A3104" t="s">
        <v>95</v>
      </c>
      <c r="B3104" t="s">
        <v>115</v>
      </c>
      <c r="C3104" t="b">
        <v>0</v>
      </c>
      <c r="D3104" s="1">
        <v>40179</v>
      </c>
      <c r="E3104">
        <v>5</v>
      </c>
      <c r="F3104"/>
      <c r="G3104"/>
      <c r="H3104"/>
      <c r="I3104"/>
      <c r="J3104"/>
      <c r="K3104"/>
      <c r="L3104"/>
      <c r="M3104"/>
      <c r="N3104"/>
      <c r="O3104"/>
    </row>
    <row r="3105" spans="1:15" hidden="1" x14ac:dyDescent="0.25">
      <c r="A3105" t="s">
        <v>99</v>
      </c>
      <c r="B3105" t="s">
        <v>114</v>
      </c>
      <c r="C3105" t="b">
        <v>0</v>
      </c>
      <c r="D3105" s="1">
        <v>40179</v>
      </c>
      <c r="E3105">
        <v>9.6</v>
      </c>
      <c r="F3105"/>
      <c r="G3105"/>
      <c r="H3105"/>
      <c r="I3105"/>
      <c r="J3105"/>
      <c r="K3105"/>
      <c r="L3105"/>
      <c r="M3105"/>
      <c r="N3105"/>
      <c r="O3105"/>
    </row>
    <row r="3106" spans="1:15" hidden="1" x14ac:dyDescent="0.25">
      <c r="A3106" t="s">
        <v>100</v>
      </c>
      <c r="B3106" t="s">
        <v>117</v>
      </c>
      <c r="C3106" t="b">
        <v>0</v>
      </c>
      <c r="D3106" s="1">
        <v>40210</v>
      </c>
      <c r="E3106" s="2">
        <v>-135.1</v>
      </c>
      <c r="F3106"/>
      <c r="G3106"/>
      <c r="H3106"/>
      <c r="I3106"/>
      <c r="J3106"/>
      <c r="K3106"/>
      <c r="L3106"/>
      <c r="M3106"/>
      <c r="N3106"/>
      <c r="O3106"/>
    </row>
    <row r="3107" spans="1:15" hidden="1" x14ac:dyDescent="0.25">
      <c r="A3107" t="s">
        <v>103</v>
      </c>
      <c r="B3107" t="s">
        <v>117</v>
      </c>
      <c r="C3107" t="b">
        <v>0</v>
      </c>
      <c r="D3107" s="1">
        <v>40210</v>
      </c>
      <c r="E3107" s="2">
        <v>-8.73</v>
      </c>
      <c r="F3107"/>
      <c r="G3107"/>
      <c r="H3107"/>
      <c r="I3107"/>
      <c r="J3107"/>
      <c r="K3107"/>
      <c r="L3107"/>
      <c r="M3107"/>
      <c r="N3107"/>
      <c r="O3107"/>
    </row>
    <row r="3108" spans="1:15" hidden="1" x14ac:dyDescent="0.25">
      <c r="A3108" t="s">
        <v>101</v>
      </c>
      <c r="B3108" t="s">
        <v>117</v>
      </c>
      <c r="C3108" t="b">
        <v>0</v>
      </c>
      <c r="D3108" s="1">
        <v>40210</v>
      </c>
      <c r="E3108" s="2">
        <v>-14.680000000000001</v>
      </c>
      <c r="F3108"/>
      <c r="G3108"/>
      <c r="H3108"/>
      <c r="I3108"/>
      <c r="J3108"/>
      <c r="K3108"/>
      <c r="L3108"/>
      <c r="M3108"/>
      <c r="N3108"/>
      <c r="O3108"/>
    </row>
    <row r="3109" spans="1:15" hidden="1" x14ac:dyDescent="0.25">
      <c r="A3109" t="s">
        <v>26</v>
      </c>
      <c r="B3109" t="s">
        <v>115</v>
      </c>
      <c r="C3109" t="b">
        <v>0</v>
      </c>
      <c r="D3109" s="1">
        <v>40210</v>
      </c>
      <c r="E3109">
        <v>5</v>
      </c>
      <c r="F3109"/>
      <c r="G3109"/>
      <c r="H3109"/>
      <c r="I3109"/>
      <c r="J3109"/>
      <c r="K3109"/>
      <c r="L3109"/>
      <c r="M3109"/>
      <c r="N3109"/>
      <c r="O3109"/>
    </row>
    <row r="3110" spans="1:15" hidden="1" x14ac:dyDescent="0.25">
      <c r="A3110" t="s">
        <v>27</v>
      </c>
      <c r="B3110" t="s">
        <v>115</v>
      </c>
      <c r="C3110" t="b">
        <v>0</v>
      </c>
      <c r="D3110" s="1">
        <v>40210</v>
      </c>
      <c r="E3110">
        <v>5</v>
      </c>
      <c r="F3110"/>
      <c r="G3110"/>
      <c r="H3110"/>
      <c r="I3110"/>
      <c r="J3110"/>
      <c r="K3110"/>
      <c r="L3110"/>
      <c r="M3110"/>
      <c r="N3110"/>
      <c r="O3110"/>
    </row>
    <row r="3111" spans="1:15" hidden="1" x14ac:dyDescent="0.25">
      <c r="A3111" t="s">
        <v>30</v>
      </c>
      <c r="B3111" t="s">
        <v>115</v>
      </c>
      <c r="C3111" t="b">
        <v>0</v>
      </c>
      <c r="D3111" s="1">
        <v>40210</v>
      </c>
      <c r="E3111">
        <v>5</v>
      </c>
      <c r="F3111"/>
      <c r="G3111"/>
      <c r="H3111"/>
      <c r="I3111"/>
      <c r="J3111"/>
      <c r="K3111"/>
      <c r="L3111"/>
      <c r="M3111"/>
      <c r="N3111"/>
      <c r="O3111"/>
    </row>
    <row r="3112" spans="1:15" hidden="1" x14ac:dyDescent="0.25">
      <c r="A3112" t="s">
        <v>107</v>
      </c>
      <c r="B3112" t="s">
        <v>115</v>
      </c>
      <c r="C3112" t="b">
        <v>0</v>
      </c>
      <c r="D3112" s="1">
        <v>40210</v>
      </c>
      <c r="E3112">
        <v>5</v>
      </c>
      <c r="F3112"/>
      <c r="G3112"/>
      <c r="H3112"/>
      <c r="I3112"/>
      <c r="J3112"/>
      <c r="K3112"/>
      <c r="L3112"/>
      <c r="M3112"/>
      <c r="N3112"/>
      <c r="O3112"/>
    </row>
    <row r="3113" spans="1:15" hidden="1" x14ac:dyDescent="0.25">
      <c r="A3113" t="s">
        <v>31</v>
      </c>
      <c r="B3113" t="s">
        <v>115</v>
      </c>
      <c r="C3113" t="b">
        <v>0</v>
      </c>
      <c r="D3113" s="1">
        <v>40210</v>
      </c>
      <c r="E3113">
        <v>5</v>
      </c>
      <c r="F3113"/>
      <c r="G3113"/>
      <c r="H3113"/>
      <c r="I3113"/>
      <c r="J3113"/>
      <c r="K3113"/>
      <c r="L3113"/>
      <c r="M3113"/>
      <c r="N3113"/>
      <c r="O3113"/>
    </row>
    <row r="3114" spans="1:15" hidden="1" x14ac:dyDescent="0.25">
      <c r="A3114" t="s">
        <v>34</v>
      </c>
      <c r="B3114" t="s">
        <v>115</v>
      </c>
      <c r="C3114" t="b">
        <v>0</v>
      </c>
      <c r="D3114" s="1">
        <v>40210</v>
      </c>
      <c r="E3114">
        <v>5</v>
      </c>
      <c r="F3114"/>
      <c r="G3114"/>
      <c r="H3114"/>
      <c r="I3114"/>
      <c r="J3114"/>
      <c r="K3114"/>
      <c r="L3114"/>
      <c r="M3114"/>
      <c r="N3114"/>
      <c r="O3114"/>
    </row>
    <row r="3115" spans="1:15" hidden="1" x14ac:dyDescent="0.25">
      <c r="A3115" t="s">
        <v>37</v>
      </c>
      <c r="B3115" t="s">
        <v>115</v>
      </c>
      <c r="C3115" t="b">
        <v>0</v>
      </c>
      <c r="D3115" s="1">
        <v>40210</v>
      </c>
      <c r="E3115">
        <v>5</v>
      </c>
      <c r="F3115"/>
      <c r="G3115"/>
      <c r="H3115"/>
      <c r="I3115"/>
      <c r="J3115"/>
      <c r="K3115"/>
      <c r="L3115"/>
      <c r="M3115"/>
      <c r="N3115"/>
      <c r="O3115"/>
    </row>
    <row r="3116" spans="1:15" hidden="1" x14ac:dyDescent="0.25">
      <c r="A3116" t="s">
        <v>39</v>
      </c>
      <c r="B3116" t="s">
        <v>115</v>
      </c>
      <c r="C3116" t="b">
        <v>0</v>
      </c>
      <c r="D3116" s="1">
        <v>40210</v>
      </c>
      <c r="E3116">
        <v>5</v>
      </c>
      <c r="F3116"/>
      <c r="G3116"/>
      <c r="H3116"/>
      <c r="I3116"/>
      <c r="J3116"/>
      <c r="K3116"/>
      <c r="L3116"/>
      <c r="M3116"/>
      <c r="N3116"/>
      <c r="O3116"/>
    </row>
    <row r="3117" spans="1:15" hidden="1" x14ac:dyDescent="0.25">
      <c r="A3117" t="s">
        <v>58</v>
      </c>
      <c r="B3117" t="s">
        <v>115</v>
      </c>
      <c r="C3117" t="b">
        <v>0</v>
      </c>
      <c r="D3117" s="1">
        <v>40210</v>
      </c>
      <c r="E3117">
        <v>5</v>
      </c>
      <c r="F3117"/>
      <c r="G3117"/>
      <c r="H3117"/>
      <c r="I3117"/>
      <c r="J3117"/>
      <c r="K3117"/>
      <c r="L3117"/>
      <c r="M3117"/>
      <c r="N3117"/>
      <c r="O3117"/>
    </row>
    <row r="3118" spans="1:15" hidden="1" x14ac:dyDescent="0.25">
      <c r="A3118" t="s">
        <v>57</v>
      </c>
      <c r="B3118" t="s">
        <v>115</v>
      </c>
      <c r="C3118" t="b">
        <v>0</v>
      </c>
      <c r="D3118" s="1">
        <v>40210</v>
      </c>
      <c r="E3118">
        <v>5</v>
      </c>
      <c r="F3118"/>
      <c r="G3118"/>
      <c r="H3118"/>
      <c r="I3118"/>
      <c r="J3118"/>
      <c r="K3118"/>
      <c r="L3118"/>
      <c r="M3118"/>
      <c r="N3118"/>
      <c r="O3118"/>
    </row>
    <row r="3119" spans="1:15" hidden="1" x14ac:dyDescent="0.25">
      <c r="A3119" t="s">
        <v>62</v>
      </c>
      <c r="B3119" t="s">
        <v>115</v>
      </c>
      <c r="C3119" t="b">
        <v>0</v>
      </c>
      <c r="D3119" s="1">
        <v>40210</v>
      </c>
      <c r="E3119">
        <v>5</v>
      </c>
      <c r="F3119"/>
      <c r="G3119"/>
      <c r="H3119"/>
      <c r="I3119"/>
      <c r="J3119"/>
      <c r="K3119"/>
      <c r="L3119"/>
      <c r="M3119"/>
      <c r="N3119"/>
      <c r="O3119"/>
    </row>
    <row r="3120" spans="1:15" hidden="1" x14ac:dyDescent="0.25">
      <c r="A3120" t="s">
        <v>69</v>
      </c>
      <c r="B3120" t="s">
        <v>115</v>
      </c>
      <c r="C3120" t="b">
        <v>0</v>
      </c>
      <c r="D3120" s="1">
        <v>40210</v>
      </c>
      <c r="E3120">
        <v>5</v>
      </c>
      <c r="F3120"/>
      <c r="G3120"/>
      <c r="H3120"/>
      <c r="I3120"/>
      <c r="J3120"/>
      <c r="K3120"/>
      <c r="L3120"/>
      <c r="M3120"/>
      <c r="N3120"/>
      <c r="O3120"/>
    </row>
    <row r="3121" spans="1:15" hidden="1" x14ac:dyDescent="0.25">
      <c r="A3121" t="s">
        <v>70</v>
      </c>
      <c r="B3121" t="s">
        <v>115</v>
      </c>
      <c r="C3121" t="b">
        <v>0</v>
      </c>
      <c r="D3121" s="1">
        <v>40210</v>
      </c>
      <c r="E3121">
        <v>5</v>
      </c>
      <c r="F3121"/>
      <c r="G3121"/>
      <c r="H3121"/>
      <c r="I3121"/>
      <c r="J3121"/>
      <c r="K3121"/>
      <c r="L3121"/>
      <c r="M3121"/>
      <c r="N3121"/>
      <c r="O3121"/>
    </row>
    <row r="3122" spans="1:15" hidden="1" x14ac:dyDescent="0.25">
      <c r="A3122" t="s">
        <v>71</v>
      </c>
      <c r="B3122" t="s">
        <v>115</v>
      </c>
      <c r="C3122" t="b">
        <v>0</v>
      </c>
      <c r="D3122" s="1">
        <v>40210</v>
      </c>
      <c r="E3122">
        <v>5</v>
      </c>
      <c r="F3122"/>
      <c r="G3122"/>
      <c r="H3122"/>
      <c r="I3122"/>
      <c r="J3122"/>
      <c r="K3122"/>
      <c r="L3122"/>
      <c r="M3122"/>
      <c r="N3122"/>
      <c r="O3122"/>
    </row>
    <row r="3123" spans="1:15" hidden="1" x14ac:dyDescent="0.25">
      <c r="A3123" t="s">
        <v>74</v>
      </c>
      <c r="B3123" t="s">
        <v>115</v>
      </c>
      <c r="C3123" t="b">
        <v>0</v>
      </c>
      <c r="D3123" s="1">
        <v>40210</v>
      </c>
      <c r="E3123">
        <v>5</v>
      </c>
      <c r="F3123"/>
      <c r="G3123"/>
      <c r="H3123"/>
      <c r="I3123"/>
      <c r="J3123"/>
      <c r="K3123"/>
      <c r="L3123"/>
      <c r="M3123"/>
      <c r="N3123"/>
      <c r="O3123"/>
    </row>
    <row r="3124" spans="1:15" hidden="1" x14ac:dyDescent="0.25">
      <c r="A3124" t="s">
        <v>76</v>
      </c>
      <c r="B3124" t="s">
        <v>115</v>
      </c>
      <c r="C3124" t="b">
        <v>0</v>
      </c>
      <c r="D3124" s="1">
        <v>40210</v>
      </c>
      <c r="E3124">
        <v>1E-3</v>
      </c>
      <c r="F3124"/>
      <c r="G3124"/>
      <c r="H3124"/>
      <c r="I3124"/>
      <c r="J3124"/>
      <c r="K3124"/>
      <c r="L3124"/>
      <c r="M3124"/>
      <c r="N3124"/>
      <c r="O3124"/>
    </row>
    <row r="3125" spans="1:15" hidden="1" x14ac:dyDescent="0.25">
      <c r="A3125" t="s">
        <v>77</v>
      </c>
      <c r="B3125" t="s">
        <v>115</v>
      </c>
      <c r="C3125" t="b">
        <v>0</v>
      </c>
      <c r="D3125" s="1">
        <v>40210</v>
      </c>
      <c r="E3125">
        <v>5</v>
      </c>
      <c r="F3125"/>
      <c r="G3125"/>
      <c r="H3125"/>
      <c r="I3125"/>
      <c r="J3125"/>
      <c r="K3125"/>
      <c r="L3125"/>
      <c r="M3125"/>
      <c r="N3125"/>
      <c r="O3125"/>
    </row>
    <row r="3126" spans="1:15" hidden="1" x14ac:dyDescent="0.25">
      <c r="A3126" t="s">
        <v>86</v>
      </c>
      <c r="B3126" t="s">
        <v>115</v>
      </c>
      <c r="C3126" t="b">
        <v>0</v>
      </c>
      <c r="D3126" s="1">
        <v>40210</v>
      </c>
      <c r="E3126">
        <v>5</v>
      </c>
      <c r="F3126"/>
      <c r="G3126"/>
      <c r="H3126"/>
      <c r="I3126"/>
      <c r="J3126"/>
      <c r="K3126"/>
      <c r="L3126"/>
      <c r="M3126"/>
      <c r="N3126"/>
      <c r="O3126"/>
    </row>
    <row r="3127" spans="1:15" hidden="1" x14ac:dyDescent="0.25">
      <c r="A3127" t="s">
        <v>88</v>
      </c>
      <c r="B3127" t="s">
        <v>115</v>
      </c>
      <c r="C3127" t="b">
        <v>0</v>
      </c>
      <c r="D3127" s="1">
        <v>40210</v>
      </c>
      <c r="E3127">
        <v>5</v>
      </c>
      <c r="F3127"/>
      <c r="G3127"/>
      <c r="H3127"/>
      <c r="I3127"/>
      <c r="J3127"/>
      <c r="K3127"/>
      <c r="L3127"/>
      <c r="M3127"/>
      <c r="N3127"/>
      <c r="O3127"/>
    </row>
    <row r="3128" spans="1:15" hidden="1" x14ac:dyDescent="0.25">
      <c r="A3128" t="s">
        <v>90</v>
      </c>
      <c r="B3128" t="s">
        <v>115</v>
      </c>
      <c r="C3128" t="b">
        <v>0</v>
      </c>
      <c r="D3128" s="1">
        <v>40210</v>
      </c>
      <c r="E3128">
        <v>5</v>
      </c>
      <c r="F3128"/>
      <c r="G3128"/>
      <c r="H3128"/>
      <c r="I3128"/>
      <c r="J3128"/>
      <c r="K3128"/>
      <c r="L3128"/>
      <c r="M3128"/>
      <c r="N3128"/>
      <c r="O3128"/>
    </row>
    <row r="3129" spans="1:15" hidden="1" x14ac:dyDescent="0.25">
      <c r="A3129" t="s">
        <v>95</v>
      </c>
      <c r="B3129" t="s">
        <v>115</v>
      </c>
      <c r="C3129" t="b">
        <v>0</v>
      </c>
      <c r="D3129" s="1">
        <v>40210</v>
      </c>
      <c r="E3129">
        <v>5</v>
      </c>
      <c r="F3129"/>
      <c r="G3129"/>
      <c r="H3129"/>
      <c r="I3129"/>
      <c r="J3129"/>
      <c r="K3129"/>
      <c r="L3129"/>
      <c r="M3129"/>
      <c r="N3129"/>
      <c r="O3129"/>
    </row>
    <row r="3130" spans="1:15" hidden="1" x14ac:dyDescent="0.25">
      <c r="A3130" t="s">
        <v>99</v>
      </c>
      <c r="B3130" t="s">
        <v>114</v>
      </c>
      <c r="C3130" t="b">
        <v>0</v>
      </c>
      <c r="D3130" s="1">
        <v>40210</v>
      </c>
      <c r="E3130">
        <v>26.8</v>
      </c>
      <c r="F3130"/>
      <c r="G3130"/>
      <c r="H3130"/>
      <c r="I3130"/>
      <c r="J3130"/>
      <c r="K3130"/>
      <c r="L3130"/>
      <c r="M3130"/>
      <c r="N3130"/>
      <c r="O3130"/>
    </row>
    <row r="3131" spans="1:15" hidden="1" x14ac:dyDescent="0.25">
      <c r="A3131" t="s">
        <v>26</v>
      </c>
      <c r="B3131" t="s">
        <v>115</v>
      </c>
      <c r="C3131" t="b">
        <v>0</v>
      </c>
      <c r="D3131" s="1">
        <v>40238</v>
      </c>
      <c r="E3131">
        <v>5</v>
      </c>
      <c r="F3131"/>
      <c r="G3131"/>
      <c r="H3131"/>
      <c r="I3131"/>
      <c r="J3131"/>
      <c r="K3131"/>
      <c r="L3131"/>
      <c r="M3131"/>
      <c r="N3131"/>
      <c r="O3131"/>
    </row>
    <row r="3132" spans="1:15" hidden="1" x14ac:dyDescent="0.25">
      <c r="A3132" t="s">
        <v>30</v>
      </c>
      <c r="B3132" t="s">
        <v>115</v>
      </c>
      <c r="C3132" t="b">
        <v>0</v>
      </c>
      <c r="D3132" s="1">
        <v>40238</v>
      </c>
      <c r="E3132">
        <v>5</v>
      </c>
      <c r="F3132"/>
      <c r="G3132"/>
      <c r="H3132"/>
      <c r="I3132"/>
      <c r="J3132"/>
      <c r="K3132"/>
      <c r="L3132"/>
      <c r="M3132"/>
      <c r="N3132"/>
      <c r="O3132"/>
    </row>
    <row r="3133" spans="1:15" hidden="1" x14ac:dyDescent="0.25">
      <c r="A3133" t="s">
        <v>107</v>
      </c>
      <c r="B3133" t="s">
        <v>115</v>
      </c>
      <c r="C3133" t="b">
        <v>0</v>
      </c>
      <c r="D3133" s="1">
        <v>40238</v>
      </c>
      <c r="E3133">
        <v>5</v>
      </c>
      <c r="F3133"/>
      <c r="G3133"/>
      <c r="H3133"/>
      <c r="I3133"/>
      <c r="J3133"/>
      <c r="K3133"/>
      <c r="L3133"/>
      <c r="M3133"/>
      <c r="N3133"/>
      <c r="O3133"/>
    </row>
    <row r="3134" spans="1:15" hidden="1" x14ac:dyDescent="0.25">
      <c r="A3134" t="s">
        <v>31</v>
      </c>
      <c r="B3134" t="s">
        <v>115</v>
      </c>
      <c r="C3134" t="b">
        <v>0</v>
      </c>
      <c r="D3134" s="1">
        <v>40238</v>
      </c>
      <c r="E3134">
        <v>5</v>
      </c>
      <c r="F3134"/>
      <c r="G3134"/>
      <c r="H3134"/>
      <c r="I3134"/>
      <c r="J3134"/>
      <c r="K3134"/>
      <c r="L3134"/>
      <c r="M3134"/>
      <c r="N3134"/>
      <c r="O3134"/>
    </row>
    <row r="3135" spans="1:15" hidden="1" x14ac:dyDescent="0.25">
      <c r="A3135" t="s">
        <v>34</v>
      </c>
      <c r="B3135" t="s">
        <v>115</v>
      </c>
      <c r="C3135" t="b">
        <v>0</v>
      </c>
      <c r="D3135" s="1">
        <v>40238</v>
      </c>
      <c r="E3135">
        <v>5</v>
      </c>
      <c r="F3135"/>
      <c r="G3135"/>
      <c r="H3135"/>
      <c r="I3135"/>
      <c r="J3135"/>
      <c r="K3135"/>
      <c r="L3135"/>
      <c r="M3135"/>
      <c r="N3135"/>
      <c r="O3135"/>
    </row>
    <row r="3136" spans="1:15" hidden="1" x14ac:dyDescent="0.25">
      <c r="A3136" t="s">
        <v>37</v>
      </c>
      <c r="B3136" t="s">
        <v>115</v>
      </c>
      <c r="C3136" t="b">
        <v>0</v>
      </c>
      <c r="D3136" s="1">
        <v>40238</v>
      </c>
      <c r="E3136">
        <v>5</v>
      </c>
      <c r="F3136"/>
      <c r="G3136"/>
      <c r="H3136"/>
      <c r="I3136"/>
      <c r="J3136"/>
      <c r="K3136"/>
      <c r="L3136"/>
      <c r="M3136"/>
      <c r="N3136"/>
      <c r="O3136"/>
    </row>
    <row r="3137" spans="1:15" hidden="1" x14ac:dyDescent="0.25">
      <c r="A3137" t="s">
        <v>39</v>
      </c>
      <c r="B3137" t="s">
        <v>115</v>
      </c>
      <c r="C3137" t="b">
        <v>0</v>
      </c>
      <c r="D3137" s="1">
        <v>40238</v>
      </c>
      <c r="E3137">
        <v>5</v>
      </c>
      <c r="F3137"/>
      <c r="G3137"/>
      <c r="H3137"/>
      <c r="I3137"/>
      <c r="J3137"/>
      <c r="K3137"/>
      <c r="L3137"/>
      <c r="M3137"/>
      <c r="N3137"/>
      <c r="O3137"/>
    </row>
    <row r="3138" spans="1:15" hidden="1" x14ac:dyDescent="0.25">
      <c r="A3138" t="s">
        <v>58</v>
      </c>
      <c r="B3138" t="s">
        <v>115</v>
      </c>
      <c r="C3138" t="b">
        <v>0</v>
      </c>
      <c r="D3138" s="1">
        <v>40238</v>
      </c>
      <c r="E3138">
        <v>5</v>
      </c>
      <c r="F3138"/>
      <c r="G3138"/>
      <c r="H3138"/>
      <c r="I3138"/>
      <c r="J3138"/>
      <c r="K3138"/>
      <c r="L3138"/>
      <c r="M3138"/>
      <c r="N3138"/>
      <c r="O3138"/>
    </row>
    <row r="3139" spans="1:15" hidden="1" x14ac:dyDescent="0.25">
      <c r="A3139" t="s">
        <v>57</v>
      </c>
      <c r="B3139" t="s">
        <v>115</v>
      </c>
      <c r="C3139" t="b">
        <v>0</v>
      </c>
      <c r="D3139" s="1">
        <v>40238</v>
      </c>
      <c r="E3139">
        <v>5</v>
      </c>
      <c r="F3139"/>
      <c r="G3139"/>
      <c r="H3139"/>
      <c r="I3139"/>
      <c r="J3139"/>
      <c r="K3139"/>
      <c r="L3139"/>
      <c r="M3139"/>
      <c r="N3139"/>
      <c r="O3139"/>
    </row>
    <row r="3140" spans="1:15" hidden="1" x14ac:dyDescent="0.25">
      <c r="A3140" t="s">
        <v>62</v>
      </c>
      <c r="B3140" t="s">
        <v>115</v>
      </c>
      <c r="C3140" t="b">
        <v>0</v>
      </c>
      <c r="D3140" s="1">
        <v>40238</v>
      </c>
      <c r="E3140">
        <v>5</v>
      </c>
      <c r="F3140"/>
      <c r="G3140"/>
      <c r="H3140"/>
      <c r="I3140"/>
      <c r="J3140"/>
      <c r="K3140"/>
      <c r="L3140"/>
      <c r="M3140"/>
      <c r="N3140"/>
      <c r="O3140"/>
    </row>
    <row r="3141" spans="1:15" hidden="1" x14ac:dyDescent="0.25">
      <c r="A3141" t="s">
        <v>69</v>
      </c>
      <c r="B3141" t="s">
        <v>115</v>
      </c>
      <c r="C3141" t="b">
        <v>0</v>
      </c>
      <c r="D3141" s="1">
        <v>40238</v>
      </c>
      <c r="E3141">
        <v>5</v>
      </c>
      <c r="F3141"/>
      <c r="G3141"/>
      <c r="H3141"/>
      <c r="I3141"/>
      <c r="J3141"/>
      <c r="K3141"/>
      <c r="L3141"/>
      <c r="M3141"/>
      <c r="N3141"/>
      <c r="O3141"/>
    </row>
    <row r="3142" spans="1:15" hidden="1" x14ac:dyDescent="0.25">
      <c r="A3142" t="s">
        <v>70</v>
      </c>
      <c r="B3142" t="s">
        <v>115</v>
      </c>
      <c r="C3142" t="b">
        <v>0</v>
      </c>
      <c r="D3142" s="1">
        <v>40238</v>
      </c>
      <c r="E3142">
        <v>5</v>
      </c>
      <c r="F3142"/>
      <c r="G3142"/>
      <c r="H3142"/>
      <c r="I3142"/>
      <c r="J3142"/>
      <c r="K3142"/>
      <c r="L3142"/>
      <c r="M3142"/>
      <c r="N3142"/>
      <c r="O3142"/>
    </row>
    <row r="3143" spans="1:15" hidden="1" x14ac:dyDescent="0.25">
      <c r="A3143" t="s">
        <v>71</v>
      </c>
      <c r="B3143" t="s">
        <v>115</v>
      </c>
      <c r="C3143" t="b">
        <v>0</v>
      </c>
      <c r="D3143" s="1">
        <v>40238</v>
      </c>
      <c r="E3143">
        <v>5</v>
      </c>
      <c r="F3143"/>
      <c r="G3143"/>
      <c r="H3143"/>
      <c r="I3143"/>
      <c r="J3143"/>
      <c r="K3143"/>
      <c r="L3143"/>
      <c r="M3143"/>
      <c r="N3143"/>
      <c r="O3143"/>
    </row>
    <row r="3144" spans="1:15" hidden="1" x14ac:dyDescent="0.25">
      <c r="A3144" t="s">
        <v>74</v>
      </c>
      <c r="B3144" t="s">
        <v>115</v>
      </c>
      <c r="C3144" t="b">
        <v>0</v>
      </c>
      <c r="D3144" s="1">
        <v>40238</v>
      </c>
      <c r="E3144">
        <v>5</v>
      </c>
      <c r="F3144"/>
      <c r="G3144"/>
      <c r="H3144"/>
      <c r="I3144"/>
      <c r="J3144"/>
      <c r="K3144"/>
      <c r="L3144"/>
      <c r="M3144"/>
      <c r="N3144"/>
      <c r="O3144"/>
    </row>
    <row r="3145" spans="1:15" hidden="1" x14ac:dyDescent="0.25">
      <c r="A3145" t="s">
        <v>76</v>
      </c>
      <c r="B3145" t="s">
        <v>115</v>
      </c>
      <c r="C3145" t="b">
        <v>0</v>
      </c>
      <c r="D3145" s="1">
        <v>40238</v>
      </c>
      <c r="E3145">
        <v>1E-3</v>
      </c>
      <c r="F3145"/>
      <c r="G3145"/>
      <c r="H3145"/>
      <c r="I3145"/>
      <c r="J3145"/>
      <c r="K3145"/>
      <c r="L3145"/>
      <c r="M3145"/>
      <c r="N3145"/>
      <c r="O3145"/>
    </row>
    <row r="3146" spans="1:15" hidden="1" x14ac:dyDescent="0.25">
      <c r="A3146" t="s">
        <v>77</v>
      </c>
      <c r="B3146" t="s">
        <v>115</v>
      </c>
      <c r="C3146" t="b">
        <v>0</v>
      </c>
      <c r="D3146" s="1">
        <v>40238</v>
      </c>
      <c r="E3146">
        <v>5</v>
      </c>
      <c r="F3146"/>
      <c r="G3146"/>
      <c r="H3146"/>
      <c r="I3146"/>
      <c r="J3146"/>
      <c r="K3146"/>
      <c r="L3146"/>
      <c r="M3146"/>
      <c r="N3146"/>
      <c r="O3146"/>
    </row>
    <row r="3147" spans="1:15" hidden="1" x14ac:dyDescent="0.25">
      <c r="A3147" t="s">
        <v>86</v>
      </c>
      <c r="B3147" t="s">
        <v>115</v>
      </c>
      <c r="C3147" t="b">
        <v>0</v>
      </c>
      <c r="D3147" s="1">
        <v>40238</v>
      </c>
      <c r="E3147">
        <v>5</v>
      </c>
      <c r="F3147"/>
      <c r="G3147"/>
      <c r="H3147"/>
      <c r="I3147"/>
      <c r="J3147"/>
      <c r="K3147"/>
      <c r="L3147"/>
      <c r="M3147"/>
      <c r="N3147"/>
      <c r="O3147"/>
    </row>
    <row r="3148" spans="1:15" hidden="1" x14ac:dyDescent="0.25">
      <c r="A3148" t="s">
        <v>88</v>
      </c>
      <c r="B3148" t="s">
        <v>115</v>
      </c>
      <c r="C3148" t="b">
        <v>0</v>
      </c>
      <c r="D3148" s="1">
        <v>40238</v>
      </c>
      <c r="E3148">
        <v>5</v>
      </c>
      <c r="F3148"/>
      <c r="G3148"/>
      <c r="H3148"/>
      <c r="I3148"/>
      <c r="J3148"/>
      <c r="K3148"/>
      <c r="L3148"/>
      <c r="M3148"/>
      <c r="N3148"/>
      <c r="O3148"/>
    </row>
    <row r="3149" spans="1:15" hidden="1" x14ac:dyDescent="0.25">
      <c r="A3149" t="s">
        <v>90</v>
      </c>
      <c r="B3149" t="s">
        <v>115</v>
      </c>
      <c r="C3149" t="b">
        <v>0</v>
      </c>
      <c r="D3149" s="1">
        <v>40238</v>
      </c>
      <c r="E3149">
        <v>5</v>
      </c>
      <c r="F3149"/>
      <c r="G3149"/>
      <c r="H3149"/>
      <c r="I3149"/>
      <c r="J3149"/>
      <c r="K3149"/>
      <c r="L3149"/>
      <c r="M3149"/>
      <c r="N3149"/>
      <c r="O3149"/>
    </row>
    <row r="3150" spans="1:15" hidden="1" x14ac:dyDescent="0.25">
      <c r="A3150" t="s">
        <v>95</v>
      </c>
      <c r="B3150" t="s">
        <v>115</v>
      </c>
      <c r="C3150" t="b">
        <v>0</v>
      </c>
      <c r="D3150" s="1">
        <v>40238</v>
      </c>
      <c r="E3150">
        <v>5</v>
      </c>
      <c r="F3150"/>
      <c r="G3150"/>
      <c r="H3150"/>
      <c r="I3150"/>
      <c r="J3150"/>
      <c r="K3150"/>
      <c r="L3150"/>
      <c r="M3150"/>
      <c r="N3150"/>
      <c r="O3150"/>
    </row>
    <row r="3151" spans="1:15" hidden="1" x14ac:dyDescent="0.25">
      <c r="A3151" t="s">
        <v>99</v>
      </c>
      <c r="B3151" t="s">
        <v>114</v>
      </c>
      <c r="C3151" t="b">
        <v>0</v>
      </c>
      <c r="D3151" s="1">
        <v>40238</v>
      </c>
      <c r="E3151">
        <v>12.4</v>
      </c>
      <c r="F3151"/>
      <c r="G3151"/>
      <c r="H3151"/>
      <c r="I3151"/>
      <c r="J3151"/>
      <c r="K3151"/>
      <c r="L3151"/>
      <c r="M3151"/>
      <c r="N3151"/>
      <c r="O3151"/>
    </row>
    <row r="3152" spans="1:15" hidden="1" x14ac:dyDescent="0.25">
      <c r="A3152" t="s">
        <v>100</v>
      </c>
      <c r="B3152" t="s">
        <v>117</v>
      </c>
      <c r="C3152" t="b">
        <v>0</v>
      </c>
      <c r="D3152" s="1">
        <v>40269</v>
      </c>
      <c r="E3152" s="2">
        <v>-130.38</v>
      </c>
      <c r="F3152"/>
      <c r="G3152"/>
      <c r="H3152"/>
      <c r="I3152"/>
      <c r="J3152"/>
      <c r="K3152"/>
      <c r="L3152"/>
      <c r="M3152"/>
      <c r="N3152"/>
      <c r="O3152"/>
    </row>
    <row r="3153" spans="1:15" hidden="1" x14ac:dyDescent="0.25">
      <c r="A3153" t="s">
        <v>102</v>
      </c>
      <c r="B3153" t="s">
        <v>117</v>
      </c>
      <c r="C3153" t="b">
        <v>0</v>
      </c>
      <c r="D3153" s="1">
        <v>40269</v>
      </c>
      <c r="E3153" s="2">
        <v>-0.1</v>
      </c>
      <c r="F3153"/>
      <c r="G3153"/>
      <c r="H3153"/>
      <c r="I3153"/>
      <c r="J3153"/>
      <c r="K3153"/>
      <c r="L3153"/>
      <c r="M3153"/>
      <c r="N3153"/>
      <c r="O3153"/>
    </row>
    <row r="3154" spans="1:15" hidden="1" x14ac:dyDescent="0.25">
      <c r="A3154" t="s">
        <v>101</v>
      </c>
      <c r="B3154" t="s">
        <v>117</v>
      </c>
      <c r="C3154" t="b">
        <v>0</v>
      </c>
      <c r="D3154" s="1">
        <v>40269</v>
      </c>
      <c r="E3154" s="2">
        <v>-6.4</v>
      </c>
      <c r="F3154"/>
      <c r="G3154"/>
      <c r="H3154"/>
      <c r="I3154"/>
      <c r="J3154"/>
      <c r="K3154"/>
      <c r="L3154"/>
      <c r="M3154"/>
      <c r="N3154"/>
      <c r="O3154"/>
    </row>
    <row r="3155" spans="1:15" hidden="1" x14ac:dyDescent="0.25">
      <c r="A3155" t="s">
        <v>26</v>
      </c>
      <c r="B3155" t="s">
        <v>115</v>
      </c>
      <c r="C3155" t="b">
        <v>0</v>
      </c>
      <c r="D3155" s="1">
        <v>40269</v>
      </c>
      <c r="E3155">
        <v>5</v>
      </c>
      <c r="F3155"/>
      <c r="G3155"/>
      <c r="H3155"/>
      <c r="I3155"/>
      <c r="J3155"/>
      <c r="K3155"/>
      <c r="L3155"/>
      <c r="M3155"/>
      <c r="N3155"/>
      <c r="O3155"/>
    </row>
    <row r="3156" spans="1:15" hidden="1" x14ac:dyDescent="0.25">
      <c r="A3156" t="s">
        <v>30</v>
      </c>
      <c r="B3156" t="s">
        <v>115</v>
      </c>
      <c r="C3156" t="b">
        <v>0</v>
      </c>
      <c r="D3156" s="1">
        <v>40269</v>
      </c>
      <c r="E3156">
        <v>5</v>
      </c>
      <c r="F3156"/>
      <c r="G3156"/>
      <c r="H3156"/>
      <c r="I3156"/>
      <c r="J3156"/>
      <c r="K3156"/>
      <c r="L3156"/>
      <c r="M3156"/>
      <c r="N3156"/>
      <c r="O3156"/>
    </row>
    <row r="3157" spans="1:15" hidden="1" x14ac:dyDescent="0.25">
      <c r="A3157" t="s">
        <v>107</v>
      </c>
      <c r="B3157" t="s">
        <v>115</v>
      </c>
      <c r="C3157" t="b">
        <v>0</v>
      </c>
      <c r="D3157" s="1">
        <v>40269</v>
      </c>
      <c r="E3157">
        <v>5</v>
      </c>
      <c r="F3157"/>
      <c r="G3157"/>
      <c r="H3157"/>
      <c r="I3157"/>
      <c r="J3157"/>
      <c r="K3157"/>
      <c r="L3157"/>
      <c r="M3157"/>
      <c r="N3157"/>
      <c r="O3157"/>
    </row>
    <row r="3158" spans="1:15" hidden="1" x14ac:dyDescent="0.25">
      <c r="A3158" t="s">
        <v>34</v>
      </c>
      <c r="B3158" t="s">
        <v>115</v>
      </c>
      <c r="C3158" t="b">
        <v>0</v>
      </c>
      <c r="D3158" s="1">
        <v>40269</v>
      </c>
      <c r="E3158">
        <v>5</v>
      </c>
      <c r="F3158"/>
      <c r="G3158"/>
      <c r="H3158"/>
      <c r="I3158"/>
      <c r="J3158"/>
      <c r="K3158"/>
      <c r="L3158"/>
      <c r="M3158"/>
      <c r="N3158"/>
      <c r="O3158"/>
    </row>
    <row r="3159" spans="1:15" hidden="1" x14ac:dyDescent="0.25">
      <c r="A3159" t="s">
        <v>35</v>
      </c>
      <c r="B3159" t="s">
        <v>115</v>
      </c>
      <c r="C3159" t="b">
        <v>0</v>
      </c>
      <c r="D3159" s="1">
        <v>40269</v>
      </c>
      <c r="E3159">
        <v>5</v>
      </c>
      <c r="F3159"/>
      <c r="G3159"/>
      <c r="H3159"/>
      <c r="I3159"/>
      <c r="J3159"/>
      <c r="K3159"/>
      <c r="L3159"/>
      <c r="M3159"/>
      <c r="N3159"/>
      <c r="O3159"/>
    </row>
    <row r="3160" spans="1:15" hidden="1" x14ac:dyDescent="0.25">
      <c r="A3160" t="s">
        <v>37</v>
      </c>
      <c r="B3160" t="s">
        <v>115</v>
      </c>
      <c r="C3160" t="b">
        <v>0</v>
      </c>
      <c r="D3160" s="1">
        <v>40269</v>
      </c>
      <c r="E3160">
        <v>5</v>
      </c>
      <c r="F3160"/>
      <c r="G3160"/>
      <c r="H3160"/>
      <c r="I3160"/>
      <c r="J3160"/>
      <c r="K3160"/>
      <c r="L3160"/>
      <c r="M3160"/>
      <c r="N3160"/>
      <c r="O3160"/>
    </row>
    <row r="3161" spans="1:15" hidden="1" x14ac:dyDescent="0.25">
      <c r="A3161" t="s">
        <v>39</v>
      </c>
      <c r="B3161" t="s">
        <v>115</v>
      </c>
      <c r="C3161" t="b">
        <v>0</v>
      </c>
      <c r="D3161" s="1">
        <v>40269</v>
      </c>
      <c r="E3161">
        <v>5</v>
      </c>
      <c r="F3161"/>
      <c r="G3161"/>
      <c r="H3161"/>
      <c r="I3161"/>
      <c r="J3161"/>
      <c r="K3161"/>
      <c r="L3161"/>
      <c r="M3161"/>
      <c r="N3161"/>
      <c r="O3161"/>
    </row>
    <row r="3162" spans="1:15" hidden="1" x14ac:dyDescent="0.25">
      <c r="A3162" t="s">
        <v>58</v>
      </c>
      <c r="B3162" t="s">
        <v>115</v>
      </c>
      <c r="C3162" t="b">
        <v>0</v>
      </c>
      <c r="D3162" s="1">
        <v>40269</v>
      </c>
      <c r="E3162">
        <v>5</v>
      </c>
      <c r="F3162"/>
      <c r="G3162"/>
      <c r="H3162"/>
      <c r="I3162"/>
      <c r="J3162"/>
      <c r="K3162"/>
      <c r="L3162"/>
      <c r="M3162"/>
      <c r="N3162"/>
      <c r="O3162"/>
    </row>
    <row r="3163" spans="1:15" hidden="1" x14ac:dyDescent="0.25">
      <c r="A3163" t="s">
        <v>57</v>
      </c>
      <c r="B3163" t="s">
        <v>115</v>
      </c>
      <c r="C3163" t="b">
        <v>0</v>
      </c>
      <c r="D3163" s="1">
        <v>40269</v>
      </c>
      <c r="E3163">
        <v>5</v>
      </c>
      <c r="F3163"/>
      <c r="G3163"/>
      <c r="H3163"/>
      <c r="I3163"/>
      <c r="J3163"/>
      <c r="K3163"/>
      <c r="L3163"/>
      <c r="M3163"/>
      <c r="N3163"/>
      <c r="O3163"/>
    </row>
    <row r="3164" spans="1:15" hidden="1" x14ac:dyDescent="0.25">
      <c r="A3164" t="s">
        <v>61</v>
      </c>
      <c r="B3164" t="s">
        <v>115</v>
      </c>
      <c r="C3164" t="b">
        <v>0</v>
      </c>
      <c r="D3164" s="1">
        <v>40269</v>
      </c>
      <c r="E3164">
        <v>2</v>
      </c>
      <c r="F3164"/>
      <c r="G3164"/>
      <c r="H3164"/>
      <c r="I3164"/>
      <c r="J3164"/>
      <c r="K3164"/>
      <c r="L3164"/>
      <c r="M3164"/>
      <c r="N3164"/>
      <c r="O3164"/>
    </row>
    <row r="3165" spans="1:15" hidden="1" x14ac:dyDescent="0.25">
      <c r="A3165" t="s">
        <v>70</v>
      </c>
      <c r="B3165" t="s">
        <v>115</v>
      </c>
      <c r="C3165" t="b">
        <v>0</v>
      </c>
      <c r="D3165" s="1">
        <v>40269</v>
      </c>
      <c r="E3165">
        <v>5</v>
      </c>
      <c r="F3165"/>
      <c r="G3165"/>
      <c r="H3165"/>
      <c r="I3165"/>
      <c r="J3165"/>
      <c r="K3165"/>
      <c r="L3165"/>
      <c r="M3165"/>
      <c r="N3165"/>
      <c r="O3165"/>
    </row>
    <row r="3166" spans="1:15" hidden="1" x14ac:dyDescent="0.25">
      <c r="A3166" t="s">
        <v>71</v>
      </c>
      <c r="B3166" t="s">
        <v>115</v>
      </c>
      <c r="C3166" t="b">
        <v>0</v>
      </c>
      <c r="D3166" s="1">
        <v>40269</v>
      </c>
      <c r="E3166">
        <v>5</v>
      </c>
      <c r="F3166"/>
      <c r="G3166"/>
      <c r="H3166"/>
      <c r="I3166"/>
      <c r="J3166"/>
      <c r="K3166"/>
      <c r="L3166"/>
      <c r="M3166"/>
      <c r="N3166"/>
      <c r="O3166"/>
    </row>
    <row r="3167" spans="1:15" hidden="1" x14ac:dyDescent="0.25">
      <c r="A3167" t="s">
        <v>74</v>
      </c>
      <c r="B3167" t="s">
        <v>115</v>
      </c>
      <c r="C3167" t="b">
        <v>0</v>
      </c>
      <c r="D3167" s="1">
        <v>40269</v>
      </c>
      <c r="E3167">
        <v>5</v>
      </c>
      <c r="F3167"/>
      <c r="G3167"/>
      <c r="H3167"/>
      <c r="I3167"/>
      <c r="J3167"/>
      <c r="K3167"/>
      <c r="L3167"/>
      <c r="M3167"/>
      <c r="N3167"/>
      <c r="O3167"/>
    </row>
    <row r="3168" spans="1:15" hidden="1" x14ac:dyDescent="0.25">
      <c r="A3168" t="s">
        <v>76</v>
      </c>
      <c r="B3168" t="s">
        <v>115</v>
      </c>
      <c r="C3168" t="b">
        <v>0</v>
      </c>
      <c r="D3168" s="1">
        <v>40269</v>
      </c>
      <c r="E3168">
        <v>1E-3</v>
      </c>
      <c r="F3168"/>
      <c r="G3168"/>
      <c r="H3168"/>
      <c r="I3168"/>
      <c r="J3168"/>
      <c r="K3168"/>
      <c r="L3168"/>
      <c r="M3168"/>
      <c r="N3168"/>
      <c r="O3168"/>
    </row>
    <row r="3169" spans="1:15" hidden="1" x14ac:dyDescent="0.25">
      <c r="A3169" t="s">
        <v>77</v>
      </c>
      <c r="B3169" t="s">
        <v>115</v>
      </c>
      <c r="C3169" t="b">
        <v>0</v>
      </c>
      <c r="D3169" s="1">
        <v>40269</v>
      </c>
      <c r="E3169">
        <v>5</v>
      </c>
      <c r="F3169"/>
      <c r="G3169"/>
      <c r="H3169"/>
      <c r="I3169"/>
      <c r="J3169"/>
      <c r="K3169"/>
      <c r="L3169"/>
      <c r="M3169"/>
      <c r="N3169"/>
      <c r="O3169"/>
    </row>
    <row r="3170" spans="1:15" hidden="1" x14ac:dyDescent="0.25">
      <c r="A3170" t="s">
        <v>86</v>
      </c>
      <c r="B3170" t="s">
        <v>115</v>
      </c>
      <c r="C3170" t="b">
        <v>0</v>
      </c>
      <c r="D3170" s="1">
        <v>40269</v>
      </c>
      <c r="E3170">
        <v>5</v>
      </c>
      <c r="F3170"/>
      <c r="G3170"/>
      <c r="H3170"/>
      <c r="I3170"/>
      <c r="J3170"/>
      <c r="K3170"/>
      <c r="L3170"/>
      <c r="M3170"/>
      <c r="N3170"/>
      <c r="O3170"/>
    </row>
    <row r="3171" spans="1:15" hidden="1" x14ac:dyDescent="0.25">
      <c r="A3171" t="s">
        <v>90</v>
      </c>
      <c r="B3171" t="s">
        <v>115</v>
      </c>
      <c r="C3171" t="b">
        <v>0</v>
      </c>
      <c r="D3171" s="1">
        <v>40269</v>
      </c>
      <c r="E3171">
        <v>5</v>
      </c>
      <c r="F3171"/>
      <c r="G3171"/>
      <c r="H3171"/>
      <c r="I3171"/>
      <c r="J3171"/>
      <c r="K3171"/>
      <c r="L3171"/>
      <c r="M3171"/>
      <c r="N3171"/>
      <c r="O3171"/>
    </row>
    <row r="3172" spans="1:15" hidden="1" x14ac:dyDescent="0.25">
      <c r="A3172" t="s">
        <v>95</v>
      </c>
      <c r="B3172" t="s">
        <v>115</v>
      </c>
      <c r="C3172" t="b">
        <v>0</v>
      </c>
      <c r="D3172" s="1">
        <v>40269</v>
      </c>
      <c r="E3172">
        <v>5</v>
      </c>
      <c r="F3172"/>
      <c r="G3172"/>
      <c r="H3172"/>
      <c r="I3172"/>
      <c r="J3172"/>
      <c r="K3172"/>
      <c r="L3172"/>
      <c r="M3172"/>
      <c r="N3172"/>
      <c r="O3172"/>
    </row>
    <row r="3173" spans="1:15" hidden="1" x14ac:dyDescent="0.25">
      <c r="A3173" t="s">
        <v>99</v>
      </c>
      <c r="B3173" t="s">
        <v>114</v>
      </c>
      <c r="C3173" t="b">
        <v>0</v>
      </c>
      <c r="D3173" s="1">
        <v>40269</v>
      </c>
      <c r="E3173">
        <v>18.600000000000001</v>
      </c>
      <c r="F3173"/>
      <c r="G3173"/>
      <c r="H3173"/>
      <c r="I3173"/>
      <c r="J3173"/>
      <c r="K3173"/>
      <c r="L3173"/>
      <c r="M3173"/>
      <c r="N3173"/>
      <c r="O3173"/>
    </row>
    <row r="3174" spans="1:15" hidden="1" x14ac:dyDescent="0.25">
      <c r="A3174" t="s">
        <v>100</v>
      </c>
      <c r="B3174" t="s">
        <v>117</v>
      </c>
      <c r="C3174" t="b">
        <v>0</v>
      </c>
      <c r="D3174" s="1">
        <v>40299</v>
      </c>
      <c r="E3174" s="2">
        <v>-126.33</v>
      </c>
      <c r="F3174"/>
      <c r="G3174"/>
      <c r="H3174"/>
      <c r="I3174"/>
      <c r="J3174"/>
      <c r="K3174"/>
      <c r="L3174"/>
      <c r="M3174"/>
      <c r="N3174"/>
      <c r="O3174"/>
    </row>
    <row r="3175" spans="1:15" hidden="1" x14ac:dyDescent="0.25">
      <c r="A3175" t="s">
        <v>101</v>
      </c>
      <c r="B3175" t="s">
        <v>117</v>
      </c>
      <c r="C3175" t="b">
        <v>0</v>
      </c>
      <c r="D3175" s="1">
        <v>40299</v>
      </c>
      <c r="E3175" s="2">
        <v>-0.67</v>
      </c>
      <c r="F3175"/>
      <c r="G3175"/>
      <c r="H3175"/>
      <c r="I3175"/>
      <c r="J3175"/>
      <c r="K3175"/>
      <c r="L3175"/>
      <c r="M3175"/>
      <c r="N3175"/>
      <c r="O3175"/>
    </row>
    <row r="3176" spans="1:15" hidden="1" x14ac:dyDescent="0.25">
      <c r="A3176" t="s">
        <v>26</v>
      </c>
      <c r="B3176" t="s">
        <v>115</v>
      </c>
      <c r="C3176" t="b">
        <v>0</v>
      </c>
      <c r="D3176" s="1">
        <v>40299</v>
      </c>
      <c r="E3176">
        <v>5</v>
      </c>
      <c r="F3176"/>
      <c r="G3176"/>
      <c r="H3176"/>
      <c r="I3176"/>
      <c r="J3176"/>
      <c r="K3176"/>
      <c r="L3176"/>
      <c r="M3176"/>
      <c r="N3176"/>
      <c r="O3176"/>
    </row>
    <row r="3177" spans="1:15" hidden="1" x14ac:dyDescent="0.25">
      <c r="A3177" t="s">
        <v>27</v>
      </c>
      <c r="B3177" t="s">
        <v>115</v>
      </c>
      <c r="C3177" t="b">
        <v>0</v>
      </c>
      <c r="D3177" s="1">
        <v>40299</v>
      </c>
      <c r="E3177">
        <v>5</v>
      </c>
      <c r="F3177"/>
      <c r="G3177"/>
      <c r="H3177"/>
      <c r="I3177"/>
      <c r="J3177"/>
      <c r="K3177"/>
      <c r="L3177"/>
      <c r="M3177"/>
      <c r="N3177"/>
      <c r="O3177"/>
    </row>
    <row r="3178" spans="1:15" hidden="1" x14ac:dyDescent="0.25">
      <c r="A3178" t="s">
        <v>30</v>
      </c>
      <c r="B3178" t="s">
        <v>115</v>
      </c>
      <c r="C3178" t="b">
        <v>0</v>
      </c>
      <c r="D3178" s="1">
        <v>40299</v>
      </c>
      <c r="E3178">
        <v>5</v>
      </c>
      <c r="F3178"/>
      <c r="G3178"/>
      <c r="H3178"/>
      <c r="I3178"/>
      <c r="J3178"/>
      <c r="K3178"/>
      <c r="L3178"/>
      <c r="M3178"/>
      <c r="N3178"/>
      <c r="O3178"/>
    </row>
    <row r="3179" spans="1:15" hidden="1" x14ac:dyDescent="0.25">
      <c r="A3179" t="s">
        <v>34</v>
      </c>
      <c r="B3179" t="s">
        <v>115</v>
      </c>
      <c r="C3179" t="b">
        <v>0</v>
      </c>
      <c r="D3179" s="1">
        <v>40299</v>
      </c>
      <c r="E3179">
        <v>5</v>
      </c>
      <c r="F3179"/>
      <c r="G3179"/>
      <c r="H3179"/>
      <c r="I3179"/>
      <c r="J3179"/>
      <c r="K3179"/>
      <c r="L3179"/>
      <c r="M3179"/>
      <c r="N3179"/>
      <c r="O3179"/>
    </row>
    <row r="3180" spans="1:15" hidden="1" x14ac:dyDescent="0.25">
      <c r="A3180" t="s">
        <v>37</v>
      </c>
      <c r="B3180" t="s">
        <v>115</v>
      </c>
      <c r="C3180" t="b">
        <v>0</v>
      </c>
      <c r="D3180" s="1">
        <v>40299</v>
      </c>
      <c r="E3180">
        <v>5</v>
      </c>
      <c r="F3180"/>
      <c r="G3180"/>
      <c r="H3180"/>
      <c r="I3180"/>
      <c r="J3180"/>
      <c r="K3180"/>
      <c r="L3180"/>
      <c r="M3180"/>
      <c r="N3180"/>
      <c r="O3180"/>
    </row>
    <row r="3181" spans="1:15" hidden="1" x14ac:dyDescent="0.25">
      <c r="A3181" t="s">
        <v>39</v>
      </c>
      <c r="B3181" t="s">
        <v>115</v>
      </c>
      <c r="C3181" t="b">
        <v>0</v>
      </c>
      <c r="D3181" s="1">
        <v>40299</v>
      </c>
      <c r="E3181">
        <v>5</v>
      </c>
      <c r="F3181"/>
      <c r="G3181"/>
      <c r="H3181"/>
      <c r="I3181"/>
      <c r="J3181"/>
      <c r="K3181"/>
      <c r="L3181"/>
      <c r="M3181"/>
      <c r="N3181"/>
      <c r="O3181"/>
    </row>
    <row r="3182" spans="1:15" hidden="1" x14ac:dyDescent="0.25">
      <c r="A3182" t="s">
        <v>58</v>
      </c>
      <c r="B3182" t="s">
        <v>115</v>
      </c>
      <c r="C3182" t="b">
        <v>0</v>
      </c>
      <c r="D3182" s="1">
        <v>40299</v>
      </c>
      <c r="E3182">
        <v>5</v>
      </c>
      <c r="F3182"/>
      <c r="G3182"/>
      <c r="H3182"/>
      <c r="I3182"/>
      <c r="J3182"/>
      <c r="K3182"/>
      <c r="L3182"/>
      <c r="M3182"/>
      <c r="N3182"/>
      <c r="O3182"/>
    </row>
    <row r="3183" spans="1:15" hidden="1" x14ac:dyDescent="0.25">
      <c r="A3183" t="s">
        <v>61</v>
      </c>
      <c r="B3183" t="s">
        <v>115</v>
      </c>
      <c r="C3183" t="b">
        <v>0</v>
      </c>
      <c r="D3183" s="1">
        <v>40299</v>
      </c>
      <c r="E3183">
        <v>5</v>
      </c>
      <c r="F3183"/>
      <c r="G3183"/>
      <c r="H3183"/>
      <c r="I3183"/>
      <c r="J3183"/>
      <c r="K3183"/>
      <c r="L3183"/>
      <c r="M3183"/>
      <c r="N3183"/>
      <c r="O3183"/>
    </row>
    <row r="3184" spans="1:15" hidden="1" x14ac:dyDescent="0.25">
      <c r="A3184" t="s">
        <v>62</v>
      </c>
      <c r="B3184" t="s">
        <v>115</v>
      </c>
      <c r="C3184" t="b">
        <v>0</v>
      </c>
      <c r="D3184" s="1">
        <v>40299</v>
      </c>
      <c r="E3184">
        <v>5</v>
      </c>
      <c r="F3184"/>
      <c r="G3184"/>
      <c r="H3184"/>
      <c r="I3184"/>
      <c r="J3184"/>
      <c r="K3184"/>
      <c r="L3184"/>
      <c r="M3184"/>
      <c r="N3184"/>
      <c r="O3184"/>
    </row>
    <row r="3185" spans="1:15" hidden="1" x14ac:dyDescent="0.25">
      <c r="A3185" t="s">
        <v>69</v>
      </c>
      <c r="B3185" t="s">
        <v>115</v>
      </c>
      <c r="C3185" t="b">
        <v>0</v>
      </c>
      <c r="D3185" s="1">
        <v>40299</v>
      </c>
      <c r="E3185">
        <v>5</v>
      </c>
      <c r="F3185"/>
      <c r="G3185"/>
      <c r="H3185"/>
      <c r="I3185"/>
      <c r="J3185"/>
      <c r="K3185"/>
      <c r="L3185"/>
      <c r="M3185"/>
      <c r="N3185"/>
      <c r="O3185"/>
    </row>
    <row r="3186" spans="1:15" hidden="1" x14ac:dyDescent="0.25">
      <c r="A3186" t="s">
        <v>70</v>
      </c>
      <c r="B3186" t="s">
        <v>115</v>
      </c>
      <c r="C3186" t="b">
        <v>0</v>
      </c>
      <c r="D3186" s="1">
        <v>40299</v>
      </c>
      <c r="E3186">
        <v>5</v>
      </c>
      <c r="F3186"/>
      <c r="G3186"/>
      <c r="H3186"/>
      <c r="I3186"/>
      <c r="J3186"/>
      <c r="K3186"/>
      <c r="L3186"/>
      <c r="M3186"/>
      <c r="N3186"/>
      <c r="O3186"/>
    </row>
    <row r="3187" spans="1:15" hidden="1" x14ac:dyDescent="0.25">
      <c r="A3187" t="s">
        <v>71</v>
      </c>
      <c r="B3187" t="s">
        <v>115</v>
      </c>
      <c r="C3187" t="b">
        <v>0</v>
      </c>
      <c r="D3187" s="1">
        <v>40299</v>
      </c>
      <c r="E3187">
        <v>5</v>
      </c>
      <c r="F3187"/>
      <c r="G3187"/>
      <c r="H3187"/>
      <c r="I3187"/>
      <c r="J3187"/>
      <c r="K3187"/>
      <c r="L3187"/>
      <c r="M3187"/>
      <c r="N3187"/>
      <c r="O3187"/>
    </row>
    <row r="3188" spans="1:15" hidden="1" x14ac:dyDescent="0.25">
      <c r="A3188" t="s">
        <v>74</v>
      </c>
      <c r="B3188" t="s">
        <v>115</v>
      </c>
      <c r="C3188" t="b">
        <v>0</v>
      </c>
      <c r="D3188" s="1">
        <v>40299</v>
      </c>
      <c r="E3188">
        <v>5</v>
      </c>
      <c r="F3188"/>
      <c r="G3188"/>
      <c r="H3188"/>
      <c r="I3188"/>
      <c r="J3188"/>
      <c r="K3188"/>
      <c r="L3188"/>
      <c r="M3188"/>
      <c r="N3188"/>
      <c r="O3188"/>
    </row>
    <row r="3189" spans="1:15" hidden="1" x14ac:dyDescent="0.25">
      <c r="A3189" t="s">
        <v>76</v>
      </c>
      <c r="B3189" t="s">
        <v>115</v>
      </c>
      <c r="C3189" t="b">
        <v>0</v>
      </c>
      <c r="D3189" s="1">
        <v>40299</v>
      </c>
      <c r="E3189">
        <v>1E-3</v>
      </c>
      <c r="F3189"/>
      <c r="G3189"/>
      <c r="H3189"/>
      <c r="I3189"/>
      <c r="J3189"/>
      <c r="K3189"/>
      <c r="L3189"/>
      <c r="M3189"/>
      <c r="N3189"/>
      <c r="O3189"/>
    </row>
    <row r="3190" spans="1:15" hidden="1" x14ac:dyDescent="0.25">
      <c r="A3190" t="s">
        <v>77</v>
      </c>
      <c r="B3190" t="s">
        <v>115</v>
      </c>
      <c r="C3190" t="b">
        <v>0</v>
      </c>
      <c r="D3190" s="1">
        <v>40299</v>
      </c>
      <c r="E3190">
        <v>5</v>
      </c>
      <c r="F3190"/>
      <c r="G3190"/>
      <c r="H3190"/>
      <c r="I3190"/>
      <c r="J3190"/>
      <c r="K3190"/>
      <c r="L3190"/>
      <c r="M3190"/>
      <c r="N3190"/>
      <c r="O3190"/>
    </row>
    <row r="3191" spans="1:15" hidden="1" x14ac:dyDescent="0.25">
      <c r="A3191" t="s">
        <v>86</v>
      </c>
      <c r="B3191" t="s">
        <v>115</v>
      </c>
      <c r="C3191" t="b">
        <v>0</v>
      </c>
      <c r="D3191" s="1">
        <v>40299</v>
      </c>
      <c r="E3191">
        <v>5</v>
      </c>
      <c r="F3191"/>
      <c r="G3191"/>
      <c r="H3191"/>
      <c r="I3191"/>
      <c r="J3191"/>
      <c r="K3191"/>
      <c r="L3191"/>
      <c r="M3191"/>
      <c r="N3191"/>
      <c r="O3191"/>
    </row>
    <row r="3192" spans="1:15" hidden="1" x14ac:dyDescent="0.25">
      <c r="A3192" t="s">
        <v>90</v>
      </c>
      <c r="B3192" t="s">
        <v>115</v>
      </c>
      <c r="C3192" t="b">
        <v>0</v>
      </c>
      <c r="D3192" s="1">
        <v>40299</v>
      </c>
      <c r="E3192">
        <v>5</v>
      </c>
      <c r="F3192"/>
      <c r="G3192"/>
      <c r="H3192"/>
      <c r="I3192"/>
      <c r="J3192"/>
      <c r="K3192"/>
      <c r="L3192"/>
      <c r="M3192"/>
      <c r="N3192"/>
      <c r="O3192"/>
    </row>
    <row r="3193" spans="1:15" hidden="1" x14ac:dyDescent="0.25">
      <c r="A3193" t="s">
        <v>95</v>
      </c>
      <c r="B3193" t="s">
        <v>115</v>
      </c>
      <c r="C3193" t="b">
        <v>0</v>
      </c>
      <c r="D3193" s="1">
        <v>40299</v>
      </c>
      <c r="E3193">
        <v>5</v>
      </c>
      <c r="F3193"/>
      <c r="G3193"/>
      <c r="H3193"/>
      <c r="I3193"/>
      <c r="J3193"/>
      <c r="K3193"/>
      <c r="L3193"/>
      <c r="M3193"/>
      <c r="N3193"/>
      <c r="O3193"/>
    </row>
    <row r="3194" spans="1:15" hidden="1" x14ac:dyDescent="0.25">
      <c r="A3194" t="s">
        <v>99</v>
      </c>
      <c r="B3194" t="s">
        <v>114</v>
      </c>
      <c r="C3194" t="b">
        <v>0</v>
      </c>
      <c r="D3194" s="1">
        <v>40299</v>
      </c>
      <c r="E3194">
        <v>2</v>
      </c>
      <c r="F3194"/>
      <c r="G3194"/>
      <c r="H3194"/>
      <c r="I3194"/>
      <c r="J3194"/>
      <c r="K3194"/>
      <c r="L3194"/>
      <c r="M3194"/>
      <c r="N3194"/>
      <c r="O3194"/>
    </row>
    <row r="3195" spans="1:15" hidden="1" x14ac:dyDescent="0.25">
      <c r="A3195" t="s">
        <v>100</v>
      </c>
      <c r="B3195" t="s">
        <v>117</v>
      </c>
      <c r="C3195" t="b">
        <v>0</v>
      </c>
      <c r="D3195" s="1">
        <v>40330</v>
      </c>
      <c r="E3195" s="2">
        <v>-125.46</v>
      </c>
      <c r="F3195"/>
      <c r="G3195"/>
      <c r="H3195"/>
      <c r="I3195"/>
      <c r="J3195"/>
      <c r="K3195"/>
      <c r="L3195"/>
      <c r="M3195"/>
      <c r="N3195"/>
      <c r="O3195"/>
    </row>
    <row r="3196" spans="1:15" hidden="1" x14ac:dyDescent="0.25">
      <c r="A3196" t="s">
        <v>101</v>
      </c>
      <c r="B3196" t="s">
        <v>117</v>
      </c>
      <c r="C3196" t="b">
        <v>0</v>
      </c>
      <c r="D3196" s="1">
        <v>40330</v>
      </c>
      <c r="E3196" s="2">
        <v>-8</v>
      </c>
      <c r="F3196"/>
      <c r="G3196"/>
      <c r="H3196"/>
      <c r="I3196"/>
      <c r="J3196"/>
      <c r="K3196"/>
      <c r="L3196"/>
      <c r="M3196"/>
      <c r="N3196"/>
      <c r="O3196"/>
    </row>
    <row r="3197" spans="1:15" hidden="1" x14ac:dyDescent="0.25">
      <c r="A3197" t="s">
        <v>26</v>
      </c>
      <c r="B3197" t="s">
        <v>115</v>
      </c>
      <c r="C3197" t="b">
        <v>0</v>
      </c>
      <c r="D3197" s="1">
        <v>40330</v>
      </c>
      <c r="E3197">
        <v>5</v>
      </c>
      <c r="F3197"/>
      <c r="G3197"/>
      <c r="H3197"/>
      <c r="I3197"/>
      <c r="J3197"/>
      <c r="K3197"/>
      <c r="L3197"/>
      <c r="M3197"/>
      <c r="N3197"/>
      <c r="O3197"/>
    </row>
    <row r="3198" spans="1:15" hidden="1" x14ac:dyDescent="0.25">
      <c r="A3198" t="s">
        <v>29</v>
      </c>
      <c r="B3198" t="s">
        <v>115</v>
      </c>
      <c r="C3198" t="b">
        <v>0</v>
      </c>
      <c r="D3198" s="1">
        <v>40330</v>
      </c>
      <c r="E3198">
        <v>5</v>
      </c>
      <c r="F3198"/>
      <c r="G3198"/>
      <c r="H3198"/>
      <c r="I3198"/>
      <c r="J3198"/>
      <c r="K3198"/>
      <c r="L3198"/>
      <c r="M3198"/>
      <c r="N3198"/>
      <c r="O3198"/>
    </row>
    <row r="3199" spans="1:15" hidden="1" x14ac:dyDescent="0.25">
      <c r="A3199" t="s">
        <v>30</v>
      </c>
      <c r="B3199" t="s">
        <v>115</v>
      </c>
      <c r="C3199" t="b">
        <v>0</v>
      </c>
      <c r="D3199" s="1">
        <v>40330</v>
      </c>
      <c r="E3199">
        <v>5</v>
      </c>
      <c r="F3199"/>
      <c r="G3199"/>
      <c r="H3199"/>
      <c r="I3199"/>
      <c r="J3199"/>
      <c r="K3199"/>
      <c r="L3199"/>
      <c r="M3199"/>
      <c r="N3199"/>
      <c r="O3199"/>
    </row>
    <row r="3200" spans="1:15" hidden="1" x14ac:dyDescent="0.25">
      <c r="A3200" t="s">
        <v>34</v>
      </c>
      <c r="B3200" t="s">
        <v>115</v>
      </c>
      <c r="C3200" t="b">
        <v>0</v>
      </c>
      <c r="D3200" s="1">
        <v>40330</v>
      </c>
      <c r="E3200">
        <v>5</v>
      </c>
      <c r="F3200"/>
      <c r="G3200"/>
      <c r="H3200"/>
      <c r="I3200"/>
      <c r="J3200"/>
      <c r="K3200"/>
      <c r="L3200"/>
      <c r="M3200"/>
      <c r="N3200"/>
      <c r="O3200"/>
    </row>
    <row r="3201" spans="1:15" hidden="1" x14ac:dyDescent="0.25">
      <c r="A3201" t="s">
        <v>37</v>
      </c>
      <c r="B3201" t="s">
        <v>115</v>
      </c>
      <c r="C3201" t="b">
        <v>0</v>
      </c>
      <c r="D3201" s="1">
        <v>40330</v>
      </c>
      <c r="E3201">
        <v>5</v>
      </c>
      <c r="F3201"/>
      <c r="G3201"/>
      <c r="H3201"/>
      <c r="I3201"/>
      <c r="J3201"/>
      <c r="K3201"/>
      <c r="L3201"/>
      <c r="M3201"/>
      <c r="N3201"/>
      <c r="O3201"/>
    </row>
    <row r="3202" spans="1:15" hidden="1" x14ac:dyDescent="0.25">
      <c r="A3202" t="s">
        <v>39</v>
      </c>
      <c r="B3202" t="s">
        <v>115</v>
      </c>
      <c r="C3202" t="b">
        <v>0</v>
      </c>
      <c r="D3202" s="1">
        <v>40330</v>
      </c>
      <c r="E3202">
        <v>5</v>
      </c>
      <c r="F3202"/>
      <c r="G3202"/>
      <c r="H3202"/>
      <c r="I3202"/>
      <c r="J3202"/>
      <c r="K3202"/>
      <c r="L3202"/>
      <c r="M3202"/>
      <c r="N3202"/>
      <c r="O3202"/>
    </row>
    <row r="3203" spans="1:15" hidden="1" x14ac:dyDescent="0.25">
      <c r="A3203" t="s">
        <v>58</v>
      </c>
      <c r="B3203" t="s">
        <v>115</v>
      </c>
      <c r="C3203" t="b">
        <v>0</v>
      </c>
      <c r="D3203" s="1">
        <v>40330</v>
      </c>
      <c r="E3203">
        <v>5</v>
      </c>
      <c r="F3203"/>
      <c r="G3203"/>
      <c r="H3203"/>
      <c r="I3203"/>
      <c r="J3203"/>
      <c r="K3203"/>
      <c r="L3203"/>
      <c r="M3203"/>
      <c r="N3203"/>
      <c r="O3203"/>
    </row>
    <row r="3204" spans="1:15" hidden="1" x14ac:dyDescent="0.25">
      <c r="A3204" t="s">
        <v>61</v>
      </c>
      <c r="B3204" t="s">
        <v>115</v>
      </c>
      <c r="C3204" t="b">
        <v>0</v>
      </c>
      <c r="D3204" s="1">
        <v>40330</v>
      </c>
      <c r="E3204">
        <v>5</v>
      </c>
      <c r="F3204"/>
      <c r="G3204"/>
      <c r="H3204"/>
      <c r="I3204"/>
      <c r="J3204"/>
      <c r="K3204"/>
      <c r="L3204"/>
      <c r="M3204"/>
      <c r="N3204"/>
      <c r="O3204"/>
    </row>
    <row r="3205" spans="1:15" hidden="1" x14ac:dyDescent="0.25">
      <c r="A3205" t="s">
        <v>69</v>
      </c>
      <c r="B3205" t="s">
        <v>115</v>
      </c>
      <c r="C3205" t="b">
        <v>0</v>
      </c>
      <c r="D3205" s="1">
        <v>40330</v>
      </c>
      <c r="E3205">
        <v>5</v>
      </c>
      <c r="F3205"/>
      <c r="G3205"/>
      <c r="H3205"/>
      <c r="I3205"/>
      <c r="J3205"/>
      <c r="K3205"/>
      <c r="L3205"/>
      <c r="M3205"/>
      <c r="N3205"/>
      <c r="O3205"/>
    </row>
    <row r="3206" spans="1:15" hidden="1" x14ac:dyDescent="0.25">
      <c r="A3206" t="s">
        <v>71</v>
      </c>
      <c r="B3206" t="s">
        <v>115</v>
      </c>
      <c r="C3206" t="b">
        <v>0</v>
      </c>
      <c r="D3206" s="1">
        <v>40330</v>
      </c>
      <c r="E3206">
        <v>5</v>
      </c>
      <c r="F3206"/>
      <c r="G3206"/>
      <c r="H3206"/>
      <c r="I3206"/>
      <c r="J3206"/>
      <c r="K3206"/>
      <c r="L3206"/>
      <c r="M3206"/>
      <c r="N3206"/>
      <c r="O3206"/>
    </row>
    <row r="3207" spans="1:15" hidden="1" x14ac:dyDescent="0.25">
      <c r="A3207" t="s">
        <v>74</v>
      </c>
      <c r="B3207" t="s">
        <v>115</v>
      </c>
      <c r="C3207" t="b">
        <v>0</v>
      </c>
      <c r="D3207" s="1">
        <v>40330</v>
      </c>
      <c r="E3207">
        <v>5</v>
      </c>
      <c r="F3207"/>
      <c r="G3207"/>
      <c r="H3207"/>
      <c r="I3207"/>
      <c r="J3207"/>
      <c r="K3207"/>
      <c r="L3207"/>
      <c r="M3207"/>
      <c r="N3207"/>
      <c r="O3207"/>
    </row>
    <row r="3208" spans="1:15" hidden="1" x14ac:dyDescent="0.25">
      <c r="A3208" t="s">
        <v>76</v>
      </c>
      <c r="B3208" t="s">
        <v>115</v>
      </c>
      <c r="C3208" t="b">
        <v>0</v>
      </c>
      <c r="D3208" s="1">
        <v>40330</v>
      </c>
      <c r="E3208">
        <v>1E-3</v>
      </c>
      <c r="F3208"/>
      <c r="G3208"/>
      <c r="H3208"/>
      <c r="I3208"/>
      <c r="J3208"/>
      <c r="K3208"/>
      <c r="L3208"/>
      <c r="M3208"/>
      <c r="N3208"/>
      <c r="O3208"/>
    </row>
    <row r="3209" spans="1:15" hidden="1" x14ac:dyDescent="0.25">
      <c r="A3209" t="s">
        <v>77</v>
      </c>
      <c r="B3209" t="s">
        <v>115</v>
      </c>
      <c r="C3209" t="b">
        <v>0</v>
      </c>
      <c r="D3209" s="1">
        <v>40330</v>
      </c>
      <c r="E3209">
        <v>5</v>
      </c>
      <c r="F3209"/>
      <c r="G3209"/>
      <c r="H3209"/>
      <c r="I3209"/>
      <c r="J3209"/>
      <c r="K3209"/>
      <c r="L3209"/>
      <c r="M3209"/>
      <c r="N3209"/>
      <c r="O3209"/>
    </row>
    <row r="3210" spans="1:15" hidden="1" x14ac:dyDescent="0.25">
      <c r="A3210" t="s">
        <v>86</v>
      </c>
      <c r="B3210" t="s">
        <v>115</v>
      </c>
      <c r="C3210" t="b">
        <v>0</v>
      </c>
      <c r="D3210" s="1">
        <v>40330</v>
      </c>
      <c r="E3210">
        <v>5</v>
      </c>
      <c r="F3210"/>
      <c r="G3210"/>
      <c r="H3210"/>
      <c r="I3210"/>
      <c r="J3210"/>
      <c r="K3210"/>
      <c r="L3210"/>
      <c r="M3210"/>
      <c r="N3210"/>
      <c r="O3210"/>
    </row>
    <row r="3211" spans="1:15" hidden="1" x14ac:dyDescent="0.25">
      <c r="A3211" t="s">
        <v>90</v>
      </c>
      <c r="B3211" t="s">
        <v>115</v>
      </c>
      <c r="C3211" t="b">
        <v>0</v>
      </c>
      <c r="D3211" s="1">
        <v>40330</v>
      </c>
      <c r="E3211">
        <v>5</v>
      </c>
      <c r="F3211"/>
      <c r="G3211"/>
      <c r="H3211"/>
      <c r="I3211"/>
      <c r="J3211"/>
      <c r="K3211"/>
      <c r="L3211"/>
      <c r="M3211"/>
      <c r="N3211"/>
      <c r="O3211"/>
    </row>
    <row r="3212" spans="1:15" hidden="1" x14ac:dyDescent="0.25">
      <c r="A3212" t="s">
        <v>95</v>
      </c>
      <c r="B3212" t="s">
        <v>115</v>
      </c>
      <c r="C3212" t="b">
        <v>0</v>
      </c>
      <c r="D3212" s="1">
        <v>40330</v>
      </c>
      <c r="E3212">
        <v>5</v>
      </c>
      <c r="F3212"/>
      <c r="G3212"/>
      <c r="H3212"/>
      <c r="I3212"/>
      <c r="J3212"/>
      <c r="K3212"/>
      <c r="L3212"/>
      <c r="M3212"/>
      <c r="N3212"/>
      <c r="O3212"/>
    </row>
    <row r="3213" spans="1:15" hidden="1" x14ac:dyDescent="0.25">
      <c r="A3213" t="s">
        <v>99</v>
      </c>
      <c r="B3213" t="s">
        <v>114</v>
      </c>
      <c r="C3213" t="b">
        <v>0</v>
      </c>
      <c r="D3213" s="1">
        <v>40330</v>
      </c>
      <c r="E3213">
        <v>16.46</v>
      </c>
      <c r="F3213"/>
      <c r="G3213"/>
      <c r="H3213"/>
      <c r="I3213"/>
      <c r="J3213"/>
      <c r="K3213"/>
      <c r="L3213"/>
      <c r="M3213"/>
      <c r="N3213"/>
      <c r="O3213"/>
    </row>
    <row r="3214" spans="1:15" hidden="1" x14ac:dyDescent="0.25">
      <c r="A3214" t="s">
        <v>25</v>
      </c>
      <c r="B3214" t="s">
        <v>115</v>
      </c>
      <c r="C3214" t="b">
        <v>0</v>
      </c>
      <c r="D3214" s="1">
        <v>40360</v>
      </c>
      <c r="E3214">
        <v>2.5</v>
      </c>
      <c r="F3214"/>
      <c r="G3214"/>
      <c r="H3214"/>
      <c r="I3214"/>
      <c r="J3214"/>
      <c r="K3214"/>
      <c r="L3214"/>
      <c r="M3214"/>
      <c r="N3214"/>
      <c r="O3214"/>
    </row>
    <row r="3215" spans="1:15" hidden="1" x14ac:dyDescent="0.25">
      <c r="A3215" t="s">
        <v>26</v>
      </c>
      <c r="B3215" t="s">
        <v>115</v>
      </c>
      <c r="C3215" t="b">
        <v>0</v>
      </c>
      <c r="D3215" s="1">
        <v>40360</v>
      </c>
      <c r="E3215">
        <v>5</v>
      </c>
      <c r="F3215"/>
      <c r="G3215"/>
      <c r="H3215"/>
      <c r="I3215"/>
      <c r="J3215"/>
      <c r="K3215"/>
      <c r="L3215"/>
      <c r="M3215"/>
      <c r="N3215"/>
      <c r="O3215"/>
    </row>
    <row r="3216" spans="1:15" hidden="1" x14ac:dyDescent="0.25">
      <c r="A3216" t="s">
        <v>28</v>
      </c>
      <c r="B3216" t="s">
        <v>115</v>
      </c>
      <c r="C3216" t="b">
        <v>0</v>
      </c>
      <c r="D3216" s="1">
        <v>40360</v>
      </c>
      <c r="E3216">
        <v>5</v>
      </c>
      <c r="F3216"/>
      <c r="G3216"/>
      <c r="H3216"/>
      <c r="I3216"/>
      <c r="J3216"/>
      <c r="K3216"/>
      <c r="L3216"/>
      <c r="M3216"/>
      <c r="N3216"/>
      <c r="O3216"/>
    </row>
    <row r="3217" spans="1:15" hidden="1" x14ac:dyDescent="0.25">
      <c r="A3217" t="s">
        <v>29</v>
      </c>
      <c r="B3217" t="s">
        <v>115</v>
      </c>
      <c r="C3217" t="b">
        <v>0</v>
      </c>
      <c r="D3217" s="1">
        <v>40360</v>
      </c>
      <c r="E3217">
        <v>5</v>
      </c>
      <c r="F3217"/>
      <c r="G3217"/>
      <c r="H3217"/>
      <c r="I3217"/>
      <c r="J3217"/>
      <c r="K3217"/>
      <c r="L3217"/>
      <c r="M3217"/>
      <c r="N3217"/>
      <c r="O3217"/>
    </row>
    <row r="3218" spans="1:15" hidden="1" x14ac:dyDescent="0.25">
      <c r="A3218" t="s">
        <v>30</v>
      </c>
      <c r="B3218" t="s">
        <v>115</v>
      </c>
      <c r="C3218" t="b">
        <v>0</v>
      </c>
      <c r="D3218" s="1">
        <v>40360</v>
      </c>
      <c r="E3218">
        <v>5</v>
      </c>
      <c r="F3218"/>
      <c r="G3218"/>
      <c r="H3218"/>
      <c r="I3218"/>
      <c r="J3218"/>
      <c r="K3218"/>
      <c r="L3218"/>
      <c r="M3218"/>
      <c r="N3218"/>
      <c r="O3218"/>
    </row>
    <row r="3219" spans="1:15" hidden="1" x14ac:dyDescent="0.25">
      <c r="A3219" t="s">
        <v>34</v>
      </c>
      <c r="B3219" t="s">
        <v>115</v>
      </c>
      <c r="C3219" t="b">
        <v>0</v>
      </c>
      <c r="D3219" s="1">
        <v>40360</v>
      </c>
      <c r="E3219">
        <v>5</v>
      </c>
      <c r="F3219"/>
      <c r="G3219"/>
      <c r="H3219"/>
      <c r="I3219"/>
      <c r="J3219"/>
      <c r="K3219"/>
      <c r="L3219"/>
      <c r="M3219"/>
      <c r="N3219"/>
      <c r="O3219"/>
    </row>
    <row r="3220" spans="1:15" hidden="1" x14ac:dyDescent="0.25">
      <c r="A3220" t="s">
        <v>37</v>
      </c>
      <c r="B3220" t="s">
        <v>115</v>
      </c>
      <c r="C3220" t="b">
        <v>0</v>
      </c>
      <c r="D3220" s="1">
        <v>40360</v>
      </c>
      <c r="E3220">
        <v>5</v>
      </c>
      <c r="F3220"/>
      <c r="G3220"/>
      <c r="H3220"/>
      <c r="I3220"/>
      <c r="J3220"/>
      <c r="K3220"/>
      <c r="L3220"/>
      <c r="M3220"/>
      <c r="N3220"/>
      <c r="O3220"/>
    </row>
    <row r="3221" spans="1:15" hidden="1" x14ac:dyDescent="0.25">
      <c r="A3221" t="s">
        <v>39</v>
      </c>
      <c r="B3221" t="s">
        <v>115</v>
      </c>
      <c r="C3221" t="b">
        <v>0</v>
      </c>
      <c r="D3221" s="1">
        <v>40360</v>
      </c>
      <c r="E3221">
        <v>5</v>
      </c>
      <c r="F3221"/>
      <c r="G3221"/>
      <c r="H3221"/>
      <c r="I3221"/>
      <c r="J3221"/>
      <c r="K3221"/>
      <c r="L3221"/>
      <c r="M3221"/>
      <c r="N3221"/>
      <c r="O3221"/>
    </row>
    <row r="3222" spans="1:15" hidden="1" x14ac:dyDescent="0.25">
      <c r="A3222" t="s">
        <v>58</v>
      </c>
      <c r="B3222" t="s">
        <v>115</v>
      </c>
      <c r="C3222" t="b">
        <v>0</v>
      </c>
      <c r="D3222" s="1">
        <v>40360</v>
      </c>
      <c r="E3222">
        <v>5</v>
      </c>
      <c r="F3222"/>
      <c r="G3222"/>
      <c r="H3222"/>
      <c r="I3222"/>
      <c r="J3222"/>
      <c r="K3222"/>
      <c r="L3222"/>
      <c r="M3222"/>
      <c r="N3222"/>
      <c r="O3222"/>
    </row>
    <row r="3223" spans="1:15" hidden="1" x14ac:dyDescent="0.25">
      <c r="A3223" t="s">
        <v>60</v>
      </c>
      <c r="B3223" t="s">
        <v>115</v>
      </c>
      <c r="C3223" t="b">
        <v>0</v>
      </c>
      <c r="D3223" s="1">
        <v>40360</v>
      </c>
      <c r="E3223">
        <v>5</v>
      </c>
      <c r="F3223"/>
      <c r="G3223"/>
      <c r="H3223"/>
      <c r="I3223"/>
      <c r="J3223"/>
      <c r="K3223"/>
      <c r="L3223"/>
      <c r="M3223"/>
      <c r="N3223"/>
      <c r="O3223"/>
    </row>
    <row r="3224" spans="1:15" hidden="1" x14ac:dyDescent="0.25">
      <c r="A3224" t="s">
        <v>61</v>
      </c>
      <c r="B3224" t="s">
        <v>115</v>
      </c>
      <c r="C3224" t="b">
        <v>0</v>
      </c>
      <c r="D3224" s="1">
        <v>40360</v>
      </c>
      <c r="E3224">
        <v>5</v>
      </c>
      <c r="F3224"/>
      <c r="G3224"/>
      <c r="H3224"/>
      <c r="I3224"/>
      <c r="J3224"/>
      <c r="K3224"/>
      <c r="L3224"/>
      <c r="M3224"/>
      <c r="N3224"/>
      <c r="O3224"/>
    </row>
    <row r="3225" spans="1:15" hidden="1" x14ac:dyDescent="0.25">
      <c r="A3225" t="s">
        <v>69</v>
      </c>
      <c r="B3225" t="s">
        <v>115</v>
      </c>
      <c r="C3225" t="b">
        <v>0</v>
      </c>
      <c r="D3225" s="1">
        <v>40360</v>
      </c>
      <c r="E3225">
        <v>5</v>
      </c>
      <c r="F3225"/>
      <c r="G3225"/>
      <c r="H3225"/>
      <c r="I3225"/>
      <c r="J3225"/>
      <c r="K3225"/>
      <c r="L3225"/>
      <c r="M3225"/>
      <c r="N3225"/>
      <c r="O3225"/>
    </row>
    <row r="3226" spans="1:15" hidden="1" x14ac:dyDescent="0.25">
      <c r="A3226" t="s">
        <v>71</v>
      </c>
      <c r="B3226" t="s">
        <v>115</v>
      </c>
      <c r="C3226" t="b">
        <v>0</v>
      </c>
      <c r="D3226" s="1">
        <v>40360</v>
      </c>
      <c r="E3226">
        <v>5</v>
      </c>
      <c r="F3226"/>
      <c r="G3226"/>
      <c r="H3226"/>
      <c r="I3226"/>
      <c r="J3226"/>
      <c r="K3226"/>
      <c r="L3226"/>
      <c r="M3226"/>
      <c r="N3226"/>
      <c r="O3226"/>
    </row>
    <row r="3227" spans="1:15" hidden="1" x14ac:dyDescent="0.25">
      <c r="A3227" t="s">
        <v>72</v>
      </c>
      <c r="B3227" t="s">
        <v>115</v>
      </c>
      <c r="C3227" t="b">
        <v>0</v>
      </c>
      <c r="D3227" s="1">
        <v>40360</v>
      </c>
      <c r="E3227">
        <v>2.5</v>
      </c>
      <c r="F3227"/>
      <c r="G3227"/>
      <c r="H3227"/>
      <c r="I3227"/>
      <c r="J3227"/>
      <c r="K3227"/>
      <c r="L3227"/>
      <c r="M3227"/>
      <c r="N3227"/>
      <c r="O3227"/>
    </row>
    <row r="3228" spans="1:15" hidden="1" x14ac:dyDescent="0.25">
      <c r="A3228" t="s">
        <v>74</v>
      </c>
      <c r="B3228" t="s">
        <v>115</v>
      </c>
      <c r="C3228" t="b">
        <v>0</v>
      </c>
      <c r="D3228" s="1">
        <v>40360</v>
      </c>
      <c r="E3228">
        <v>5</v>
      </c>
      <c r="F3228"/>
      <c r="G3228"/>
      <c r="H3228"/>
      <c r="I3228"/>
      <c r="J3228"/>
      <c r="K3228"/>
      <c r="L3228"/>
      <c r="M3228"/>
      <c r="N3228"/>
      <c r="O3228"/>
    </row>
    <row r="3229" spans="1:15" hidden="1" x14ac:dyDescent="0.25">
      <c r="A3229" t="s">
        <v>76</v>
      </c>
      <c r="B3229" t="s">
        <v>115</v>
      </c>
      <c r="C3229" t="b">
        <v>0</v>
      </c>
      <c r="D3229" s="1">
        <v>40360</v>
      </c>
      <c r="E3229">
        <v>1E-3</v>
      </c>
      <c r="F3229"/>
      <c r="G3229"/>
      <c r="H3229"/>
      <c r="I3229"/>
      <c r="J3229"/>
      <c r="K3229"/>
      <c r="L3229"/>
      <c r="M3229"/>
      <c r="N3229"/>
      <c r="O3229"/>
    </row>
    <row r="3230" spans="1:15" hidden="1" x14ac:dyDescent="0.25">
      <c r="A3230" t="s">
        <v>77</v>
      </c>
      <c r="B3230" t="s">
        <v>115</v>
      </c>
      <c r="C3230" t="b">
        <v>0</v>
      </c>
      <c r="D3230" s="1">
        <v>40360</v>
      </c>
      <c r="E3230">
        <v>5</v>
      </c>
      <c r="F3230"/>
      <c r="G3230"/>
      <c r="H3230"/>
      <c r="I3230"/>
      <c r="J3230"/>
      <c r="K3230"/>
      <c r="L3230"/>
      <c r="M3230"/>
      <c r="N3230"/>
      <c r="O3230"/>
    </row>
    <row r="3231" spans="1:15" hidden="1" x14ac:dyDescent="0.25">
      <c r="A3231" t="s">
        <v>86</v>
      </c>
      <c r="B3231" t="s">
        <v>115</v>
      </c>
      <c r="C3231" t="b">
        <v>0</v>
      </c>
      <c r="D3231" s="1">
        <v>40360</v>
      </c>
      <c r="E3231">
        <v>5</v>
      </c>
      <c r="F3231"/>
      <c r="G3231"/>
      <c r="H3231"/>
      <c r="I3231"/>
      <c r="J3231"/>
      <c r="K3231"/>
      <c r="L3231"/>
      <c r="M3231"/>
      <c r="N3231"/>
      <c r="O3231"/>
    </row>
    <row r="3232" spans="1:15" hidden="1" x14ac:dyDescent="0.25">
      <c r="A3232" t="s">
        <v>90</v>
      </c>
      <c r="B3232" t="s">
        <v>115</v>
      </c>
      <c r="C3232" t="b">
        <v>0</v>
      </c>
      <c r="D3232" s="1">
        <v>40360</v>
      </c>
      <c r="E3232">
        <v>5</v>
      </c>
      <c r="F3232"/>
      <c r="G3232"/>
      <c r="H3232"/>
      <c r="I3232"/>
      <c r="J3232"/>
      <c r="K3232"/>
      <c r="L3232"/>
      <c r="M3232"/>
      <c r="N3232"/>
      <c r="O3232"/>
    </row>
    <row r="3233" spans="1:15" hidden="1" x14ac:dyDescent="0.25">
      <c r="A3233" t="s">
        <v>95</v>
      </c>
      <c r="B3233" t="s">
        <v>115</v>
      </c>
      <c r="C3233" t="b">
        <v>0</v>
      </c>
      <c r="D3233" s="1">
        <v>40360</v>
      </c>
      <c r="E3233">
        <v>5</v>
      </c>
      <c r="F3233"/>
      <c r="G3233"/>
      <c r="H3233"/>
      <c r="I3233"/>
      <c r="J3233"/>
      <c r="K3233"/>
      <c r="L3233"/>
      <c r="M3233"/>
      <c r="N3233"/>
      <c r="O3233"/>
    </row>
    <row r="3234" spans="1:15" hidden="1" x14ac:dyDescent="0.25">
      <c r="A3234" t="s">
        <v>100</v>
      </c>
      <c r="B3234" t="s">
        <v>117</v>
      </c>
      <c r="C3234" t="b">
        <v>0</v>
      </c>
      <c r="D3234" s="1">
        <v>40391</v>
      </c>
      <c r="E3234" s="2">
        <v>-122</v>
      </c>
      <c r="F3234"/>
      <c r="G3234"/>
      <c r="H3234"/>
      <c r="I3234"/>
      <c r="J3234"/>
      <c r="K3234"/>
      <c r="L3234"/>
      <c r="M3234"/>
      <c r="N3234"/>
      <c r="O3234"/>
    </row>
    <row r="3235" spans="1:15" hidden="1" x14ac:dyDescent="0.25">
      <c r="A3235" t="s">
        <v>101</v>
      </c>
      <c r="B3235" t="s">
        <v>117</v>
      </c>
      <c r="C3235" t="b">
        <v>0</v>
      </c>
      <c r="D3235" s="1">
        <v>40391</v>
      </c>
      <c r="E3235" s="2">
        <v>-9</v>
      </c>
      <c r="F3235"/>
      <c r="G3235"/>
      <c r="H3235"/>
      <c r="I3235"/>
      <c r="J3235"/>
      <c r="K3235"/>
      <c r="L3235"/>
      <c r="M3235"/>
      <c r="N3235"/>
      <c r="O3235"/>
    </row>
    <row r="3236" spans="1:15" hidden="1" x14ac:dyDescent="0.25">
      <c r="A3236" t="s">
        <v>25</v>
      </c>
      <c r="B3236" t="s">
        <v>115</v>
      </c>
      <c r="C3236" t="b">
        <v>0</v>
      </c>
      <c r="D3236" s="1">
        <v>40391</v>
      </c>
      <c r="E3236">
        <v>5</v>
      </c>
      <c r="F3236"/>
      <c r="G3236"/>
      <c r="H3236"/>
      <c r="I3236"/>
      <c r="J3236"/>
      <c r="K3236"/>
      <c r="L3236"/>
      <c r="M3236"/>
      <c r="N3236"/>
      <c r="O3236"/>
    </row>
    <row r="3237" spans="1:15" hidden="1" x14ac:dyDescent="0.25">
      <c r="A3237" t="s">
        <v>26</v>
      </c>
      <c r="B3237" t="s">
        <v>115</v>
      </c>
      <c r="C3237" t="b">
        <v>0</v>
      </c>
      <c r="D3237" s="1">
        <v>40391</v>
      </c>
      <c r="E3237">
        <v>5</v>
      </c>
      <c r="F3237"/>
      <c r="G3237"/>
      <c r="H3237"/>
      <c r="I3237"/>
      <c r="J3237"/>
      <c r="K3237"/>
      <c r="L3237"/>
      <c r="M3237"/>
      <c r="N3237"/>
      <c r="O3237"/>
    </row>
    <row r="3238" spans="1:15" hidden="1" x14ac:dyDescent="0.25">
      <c r="A3238" t="s">
        <v>28</v>
      </c>
      <c r="B3238" t="s">
        <v>115</v>
      </c>
      <c r="C3238" t="b">
        <v>0</v>
      </c>
      <c r="D3238" s="1">
        <v>40391</v>
      </c>
      <c r="E3238">
        <v>5</v>
      </c>
      <c r="F3238"/>
      <c r="G3238"/>
      <c r="H3238"/>
      <c r="I3238"/>
      <c r="J3238"/>
      <c r="K3238"/>
      <c r="L3238"/>
      <c r="M3238"/>
      <c r="N3238"/>
      <c r="O3238"/>
    </row>
    <row r="3239" spans="1:15" hidden="1" x14ac:dyDescent="0.25">
      <c r="A3239" t="s">
        <v>29</v>
      </c>
      <c r="B3239" t="s">
        <v>115</v>
      </c>
      <c r="C3239" t="b">
        <v>0</v>
      </c>
      <c r="D3239" s="1">
        <v>40391</v>
      </c>
      <c r="E3239">
        <v>5</v>
      </c>
      <c r="F3239"/>
      <c r="G3239"/>
      <c r="H3239"/>
      <c r="I3239"/>
      <c r="J3239"/>
      <c r="K3239"/>
      <c r="L3239"/>
      <c r="M3239"/>
      <c r="N3239"/>
      <c r="O3239"/>
    </row>
    <row r="3240" spans="1:15" hidden="1" x14ac:dyDescent="0.25">
      <c r="A3240" t="s">
        <v>30</v>
      </c>
      <c r="B3240" t="s">
        <v>115</v>
      </c>
      <c r="C3240" t="b">
        <v>0</v>
      </c>
      <c r="D3240" s="1">
        <v>40391</v>
      </c>
      <c r="E3240">
        <v>5</v>
      </c>
      <c r="F3240"/>
      <c r="G3240"/>
      <c r="H3240"/>
      <c r="I3240"/>
      <c r="J3240"/>
      <c r="K3240"/>
      <c r="L3240"/>
      <c r="M3240"/>
      <c r="N3240"/>
      <c r="O3240"/>
    </row>
    <row r="3241" spans="1:15" hidden="1" x14ac:dyDescent="0.25">
      <c r="A3241" t="s">
        <v>34</v>
      </c>
      <c r="B3241" t="s">
        <v>115</v>
      </c>
      <c r="C3241" t="b">
        <v>0</v>
      </c>
      <c r="D3241" s="1">
        <v>40391</v>
      </c>
      <c r="E3241">
        <v>5</v>
      </c>
      <c r="F3241"/>
      <c r="G3241"/>
      <c r="H3241"/>
      <c r="I3241"/>
      <c r="J3241"/>
      <c r="K3241"/>
      <c r="L3241"/>
      <c r="M3241"/>
      <c r="N3241"/>
      <c r="O3241"/>
    </row>
    <row r="3242" spans="1:15" hidden="1" x14ac:dyDescent="0.25">
      <c r="A3242" t="s">
        <v>37</v>
      </c>
      <c r="B3242" t="s">
        <v>115</v>
      </c>
      <c r="C3242" t="b">
        <v>0</v>
      </c>
      <c r="D3242" s="1">
        <v>40391</v>
      </c>
      <c r="E3242">
        <v>5</v>
      </c>
      <c r="F3242"/>
      <c r="G3242"/>
      <c r="H3242"/>
      <c r="I3242"/>
      <c r="J3242"/>
      <c r="K3242"/>
      <c r="L3242"/>
      <c r="M3242"/>
      <c r="N3242"/>
      <c r="O3242"/>
    </row>
    <row r="3243" spans="1:15" hidden="1" x14ac:dyDescent="0.25">
      <c r="A3243" t="s">
        <v>39</v>
      </c>
      <c r="B3243" t="s">
        <v>115</v>
      </c>
      <c r="C3243" t="b">
        <v>0</v>
      </c>
      <c r="D3243" s="1">
        <v>40391</v>
      </c>
      <c r="E3243">
        <v>5</v>
      </c>
      <c r="F3243"/>
      <c r="G3243"/>
      <c r="H3243"/>
      <c r="I3243"/>
      <c r="J3243"/>
      <c r="K3243"/>
      <c r="L3243"/>
      <c r="M3243"/>
      <c r="N3243"/>
      <c r="O3243"/>
    </row>
    <row r="3244" spans="1:15" hidden="1" x14ac:dyDescent="0.25">
      <c r="A3244" t="s">
        <v>58</v>
      </c>
      <c r="B3244" t="s">
        <v>115</v>
      </c>
      <c r="C3244" t="b">
        <v>0</v>
      </c>
      <c r="D3244" s="1">
        <v>40391</v>
      </c>
      <c r="E3244">
        <v>5</v>
      </c>
      <c r="F3244"/>
      <c r="G3244"/>
      <c r="H3244"/>
      <c r="I3244"/>
      <c r="J3244"/>
      <c r="K3244"/>
      <c r="L3244"/>
      <c r="M3244"/>
      <c r="N3244"/>
      <c r="O3244"/>
    </row>
    <row r="3245" spans="1:15" hidden="1" x14ac:dyDescent="0.25">
      <c r="A3245" t="s">
        <v>41</v>
      </c>
      <c r="B3245" t="s">
        <v>115</v>
      </c>
      <c r="C3245" t="b">
        <v>0</v>
      </c>
      <c r="D3245" s="1">
        <v>40391</v>
      </c>
      <c r="E3245">
        <v>2</v>
      </c>
      <c r="F3245"/>
      <c r="G3245"/>
      <c r="H3245"/>
      <c r="I3245"/>
      <c r="J3245"/>
      <c r="K3245"/>
      <c r="L3245"/>
      <c r="M3245"/>
      <c r="N3245"/>
      <c r="O3245"/>
    </row>
    <row r="3246" spans="1:15" hidden="1" x14ac:dyDescent="0.25">
      <c r="A3246" t="s">
        <v>60</v>
      </c>
      <c r="B3246" t="s">
        <v>115</v>
      </c>
      <c r="C3246" t="b">
        <v>0</v>
      </c>
      <c r="D3246" s="1">
        <v>40391</v>
      </c>
      <c r="E3246">
        <v>5</v>
      </c>
      <c r="F3246"/>
      <c r="G3246"/>
      <c r="H3246"/>
      <c r="I3246"/>
      <c r="J3246"/>
      <c r="K3246"/>
      <c r="L3246"/>
      <c r="M3246"/>
      <c r="N3246"/>
      <c r="O3246"/>
    </row>
    <row r="3247" spans="1:15" hidden="1" x14ac:dyDescent="0.25">
      <c r="A3247" t="s">
        <v>61</v>
      </c>
      <c r="B3247" t="s">
        <v>115</v>
      </c>
      <c r="C3247" t="b">
        <v>0</v>
      </c>
      <c r="D3247" s="1">
        <v>40391</v>
      </c>
      <c r="E3247">
        <v>5</v>
      </c>
      <c r="F3247"/>
      <c r="G3247"/>
      <c r="H3247"/>
      <c r="I3247"/>
      <c r="J3247"/>
      <c r="K3247"/>
      <c r="L3247"/>
      <c r="M3247"/>
      <c r="N3247"/>
      <c r="O3247"/>
    </row>
    <row r="3248" spans="1:15" hidden="1" x14ac:dyDescent="0.25">
      <c r="A3248" t="s">
        <v>69</v>
      </c>
      <c r="B3248" t="s">
        <v>115</v>
      </c>
      <c r="C3248" t="b">
        <v>0</v>
      </c>
      <c r="D3248" s="1">
        <v>40391</v>
      </c>
      <c r="E3248">
        <v>5</v>
      </c>
      <c r="F3248"/>
      <c r="G3248"/>
      <c r="H3248"/>
      <c r="I3248"/>
      <c r="J3248"/>
      <c r="K3248"/>
      <c r="L3248"/>
      <c r="M3248"/>
      <c r="N3248"/>
      <c r="O3248"/>
    </row>
    <row r="3249" spans="1:15" hidden="1" x14ac:dyDescent="0.25">
      <c r="A3249" t="s">
        <v>71</v>
      </c>
      <c r="B3249" t="s">
        <v>115</v>
      </c>
      <c r="C3249" t="b">
        <v>0</v>
      </c>
      <c r="D3249" s="1">
        <v>40391</v>
      </c>
      <c r="E3249">
        <v>5</v>
      </c>
      <c r="F3249"/>
      <c r="G3249"/>
      <c r="H3249"/>
      <c r="I3249"/>
      <c r="J3249"/>
      <c r="K3249"/>
      <c r="L3249"/>
      <c r="M3249"/>
      <c r="N3249"/>
      <c r="O3249"/>
    </row>
    <row r="3250" spans="1:15" hidden="1" x14ac:dyDescent="0.25">
      <c r="A3250" t="s">
        <v>72</v>
      </c>
      <c r="B3250" t="s">
        <v>115</v>
      </c>
      <c r="C3250" t="b">
        <v>0</v>
      </c>
      <c r="D3250" s="1">
        <v>40391</v>
      </c>
      <c r="E3250">
        <v>5</v>
      </c>
      <c r="F3250"/>
      <c r="G3250"/>
      <c r="H3250"/>
      <c r="I3250"/>
      <c r="J3250"/>
      <c r="K3250"/>
      <c r="L3250"/>
      <c r="M3250"/>
      <c r="N3250"/>
      <c r="O3250"/>
    </row>
    <row r="3251" spans="1:15" hidden="1" x14ac:dyDescent="0.25">
      <c r="A3251" t="s">
        <v>74</v>
      </c>
      <c r="B3251" t="s">
        <v>115</v>
      </c>
      <c r="C3251" t="b">
        <v>0</v>
      </c>
      <c r="D3251" s="1">
        <v>40391</v>
      </c>
      <c r="E3251">
        <v>5</v>
      </c>
      <c r="F3251"/>
      <c r="G3251"/>
      <c r="H3251"/>
      <c r="I3251"/>
      <c r="J3251"/>
      <c r="K3251"/>
      <c r="L3251"/>
      <c r="M3251"/>
      <c r="N3251"/>
      <c r="O3251"/>
    </row>
    <row r="3252" spans="1:15" hidden="1" x14ac:dyDescent="0.25">
      <c r="A3252" t="s">
        <v>76</v>
      </c>
      <c r="B3252" t="s">
        <v>115</v>
      </c>
      <c r="C3252" t="b">
        <v>0</v>
      </c>
      <c r="D3252" s="1">
        <v>40391</v>
      </c>
      <c r="E3252">
        <v>1E-3</v>
      </c>
      <c r="F3252"/>
      <c r="G3252"/>
      <c r="H3252"/>
      <c r="I3252"/>
      <c r="J3252"/>
      <c r="K3252"/>
      <c r="L3252"/>
      <c r="M3252"/>
      <c r="N3252"/>
      <c r="O3252"/>
    </row>
    <row r="3253" spans="1:15" hidden="1" x14ac:dyDescent="0.25">
      <c r="A3253" t="s">
        <v>77</v>
      </c>
      <c r="B3253" t="s">
        <v>115</v>
      </c>
      <c r="C3253" t="b">
        <v>0</v>
      </c>
      <c r="D3253" s="1">
        <v>40391</v>
      </c>
      <c r="E3253">
        <v>5</v>
      </c>
      <c r="F3253"/>
      <c r="G3253"/>
      <c r="H3253"/>
      <c r="I3253"/>
      <c r="J3253"/>
      <c r="K3253"/>
      <c r="L3253"/>
      <c r="M3253"/>
      <c r="N3253"/>
      <c r="O3253"/>
    </row>
    <row r="3254" spans="1:15" hidden="1" x14ac:dyDescent="0.25">
      <c r="A3254" t="s">
        <v>86</v>
      </c>
      <c r="B3254" t="s">
        <v>115</v>
      </c>
      <c r="C3254" t="b">
        <v>0</v>
      </c>
      <c r="D3254" s="1">
        <v>40391</v>
      </c>
      <c r="E3254">
        <v>5</v>
      </c>
      <c r="F3254"/>
      <c r="G3254"/>
      <c r="H3254"/>
      <c r="I3254"/>
      <c r="J3254"/>
      <c r="K3254"/>
      <c r="L3254"/>
      <c r="M3254"/>
      <c r="N3254"/>
      <c r="O3254"/>
    </row>
    <row r="3255" spans="1:15" hidden="1" x14ac:dyDescent="0.25">
      <c r="A3255" t="s">
        <v>90</v>
      </c>
      <c r="B3255" t="s">
        <v>115</v>
      </c>
      <c r="C3255" t="b">
        <v>0</v>
      </c>
      <c r="D3255" s="1">
        <v>40391</v>
      </c>
      <c r="E3255">
        <v>5</v>
      </c>
      <c r="F3255"/>
      <c r="G3255"/>
      <c r="H3255"/>
      <c r="I3255"/>
      <c r="J3255"/>
      <c r="K3255"/>
      <c r="L3255"/>
      <c r="M3255"/>
      <c r="N3255"/>
      <c r="O3255"/>
    </row>
    <row r="3256" spans="1:15" hidden="1" x14ac:dyDescent="0.25">
      <c r="A3256" t="s">
        <v>95</v>
      </c>
      <c r="B3256" t="s">
        <v>115</v>
      </c>
      <c r="C3256" t="b">
        <v>0</v>
      </c>
      <c r="D3256" s="1">
        <v>40391</v>
      </c>
      <c r="E3256">
        <v>5</v>
      </c>
      <c r="F3256"/>
      <c r="G3256"/>
      <c r="H3256"/>
      <c r="I3256"/>
      <c r="J3256"/>
      <c r="K3256"/>
      <c r="L3256"/>
      <c r="M3256"/>
      <c r="N3256"/>
      <c r="O3256"/>
    </row>
    <row r="3257" spans="1:15" hidden="1" x14ac:dyDescent="0.25">
      <c r="A3257" t="s">
        <v>99</v>
      </c>
      <c r="B3257" t="s">
        <v>114</v>
      </c>
      <c r="C3257" t="b">
        <v>0</v>
      </c>
      <c r="D3257" s="1">
        <v>40391</v>
      </c>
      <c r="E3257">
        <v>6</v>
      </c>
      <c r="F3257"/>
      <c r="G3257"/>
      <c r="H3257"/>
      <c r="I3257"/>
      <c r="J3257"/>
      <c r="K3257"/>
      <c r="L3257"/>
      <c r="M3257"/>
      <c r="N3257"/>
      <c r="O3257"/>
    </row>
    <row r="3258" spans="1:15" hidden="1" x14ac:dyDescent="0.25">
      <c r="A3258" t="s">
        <v>100</v>
      </c>
      <c r="B3258" t="s">
        <v>117</v>
      </c>
      <c r="C3258" t="b">
        <v>0</v>
      </c>
      <c r="D3258" s="1">
        <v>40422</v>
      </c>
      <c r="E3258" s="2">
        <v>-151</v>
      </c>
      <c r="F3258"/>
      <c r="G3258"/>
      <c r="H3258"/>
      <c r="I3258"/>
      <c r="J3258"/>
      <c r="K3258"/>
      <c r="L3258"/>
      <c r="M3258"/>
      <c r="N3258"/>
      <c r="O3258"/>
    </row>
    <row r="3259" spans="1:15" hidden="1" x14ac:dyDescent="0.25">
      <c r="A3259" t="s">
        <v>25</v>
      </c>
      <c r="B3259" t="s">
        <v>115</v>
      </c>
      <c r="C3259" t="b">
        <v>0</v>
      </c>
      <c r="D3259" s="1">
        <v>40422</v>
      </c>
      <c r="E3259">
        <v>5</v>
      </c>
      <c r="F3259"/>
      <c r="G3259"/>
      <c r="H3259"/>
      <c r="I3259"/>
      <c r="J3259"/>
      <c r="K3259"/>
      <c r="L3259"/>
      <c r="M3259"/>
      <c r="N3259"/>
      <c r="O3259"/>
    </row>
    <row r="3260" spans="1:15" hidden="1" x14ac:dyDescent="0.25">
      <c r="A3260" t="s">
        <v>26</v>
      </c>
      <c r="B3260" t="s">
        <v>115</v>
      </c>
      <c r="C3260" t="b">
        <v>0</v>
      </c>
      <c r="D3260" s="1">
        <v>40422</v>
      </c>
      <c r="E3260">
        <v>5</v>
      </c>
      <c r="F3260"/>
      <c r="G3260"/>
      <c r="H3260"/>
      <c r="I3260"/>
      <c r="J3260"/>
      <c r="K3260"/>
      <c r="L3260"/>
      <c r="M3260"/>
      <c r="N3260"/>
      <c r="O3260"/>
    </row>
    <row r="3261" spans="1:15" hidden="1" x14ac:dyDescent="0.25">
      <c r="A3261" t="s">
        <v>29</v>
      </c>
      <c r="B3261" t="s">
        <v>115</v>
      </c>
      <c r="C3261" t="b">
        <v>0</v>
      </c>
      <c r="D3261" s="1">
        <v>40422</v>
      </c>
      <c r="E3261">
        <v>5</v>
      </c>
      <c r="F3261"/>
      <c r="G3261"/>
      <c r="H3261"/>
      <c r="I3261"/>
      <c r="J3261"/>
      <c r="K3261"/>
      <c r="L3261"/>
      <c r="M3261"/>
      <c r="N3261"/>
      <c r="O3261"/>
    </row>
    <row r="3262" spans="1:15" hidden="1" x14ac:dyDescent="0.25">
      <c r="A3262" t="s">
        <v>30</v>
      </c>
      <c r="B3262" t="s">
        <v>115</v>
      </c>
      <c r="C3262" t="b">
        <v>0</v>
      </c>
      <c r="D3262" s="1">
        <v>40422</v>
      </c>
      <c r="E3262">
        <v>5</v>
      </c>
      <c r="F3262"/>
      <c r="G3262"/>
      <c r="H3262"/>
      <c r="I3262"/>
      <c r="J3262"/>
      <c r="K3262"/>
      <c r="L3262"/>
      <c r="M3262"/>
      <c r="N3262"/>
      <c r="O3262"/>
    </row>
    <row r="3263" spans="1:15" hidden="1" x14ac:dyDescent="0.25">
      <c r="A3263" t="s">
        <v>34</v>
      </c>
      <c r="B3263" t="s">
        <v>115</v>
      </c>
      <c r="C3263" t="b">
        <v>0</v>
      </c>
      <c r="D3263" s="1">
        <v>40422</v>
      </c>
      <c r="E3263">
        <v>5</v>
      </c>
      <c r="F3263"/>
      <c r="G3263"/>
      <c r="H3263"/>
      <c r="I3263"/>
      <c r="J3263"/>
      <c r="K3263"/>
      <c r="L3263"/>
      <c r="M3263"/>
      <c r="N3263"/>
      <c r="O3263"/>
    </row>
    <row r="3264" spans="1:15" hidden="1" x14ac:dyDescent="0.25">
      <c r="A3264" t="s">
        <v>37</v>
      </c>
      <c r="B3264" t="s">
        <v>115</v>
      </c>
      <c r="C3264" t="b">
        <v>0</v>
      </c>
      <c r="D3264" s="1">
        <v>40422</v>
      </c>
      <c r="E3264">
        <v>5</v>
      </c>
      <c r="F3264"/>
      <c r="G3264"/>
      <c r="H3264"/>
      <c r="I3264"/>
      <c r="J3264"/>
      <c r="K3264"/>
      <c r="L3264"/>
      <c r="M3264"/>
      <c r="N3264"/>
      <c r="O3264"/>
    </row>
    <row r="3265" spans="1:15" hidden="1" x14ac:dyDescent="0.25">
      <c r="A3265" t="s">
        <v>39</v>
      </c>
      <c r="B3265" t="s">
        <v>115</v>
      </c>
      <c r="C3265" t="b">
        <v>0</v>
      </c>
      <c r="D3265" s="1">
        <v>40422</v>
      </c>
      <c r="E3265">
        <v>5</v>
      </c>
      <c r="F3265"/>
      <c r="G3265"/>
      <c r="H3265"/>
      <c r="I3265"/>
      <c r="J3265"/>
      <c r="K3265"/>
      <c r="L3265"/>
      <c r="M3265"/>
      <c r="N3265"/>
      <c r="O3265"/>
    </row>
    <row r="3266" spans="1:15" hidden="1" x14ac:dyDescent="0.25">
      <c r="A3266" t="s">
        <v>41</v>
      </c>
      <c r="B3266" t="s">
        <v>115</v>
      </c>
      <c r="C3266" t="b">
        <v>0</v>
      </c>
      <c r="D3266" s="1">
        <v>40422</v>
      </c>
      <c r="E3266">
        <v>5</v>
      </c>
      <c r="F3266"/>
      <c r="G3266"/>
      <c r="H3266"/>
      <c r="I3266"/>
      <c r="J3266"/>
      <c r="K3266"/>
      <c r="L3266"/>
      <c r="M3266"/>
      <c r="N3266"/>
      <c r="O3266"/>
    </row>
    <row r="3267" spans="1:15" hidden="1" x14ac:dyDescent="0.25">
      <c r="A3267" t="s">
        <v>59</v>
      </c>
      <c r="B3267" t="s">
        <v>115</v>
      </c>
      <c r="C3267" t="b">
        <v>0</v>
      </c>
      <c r="D3267" s="1">
        <v>40422</v>
      </c>
      <c r="E3267">
        <v>5</v>
      </c>
      <c r="F3267"/>
      <c r="G3267"/>
      <c r="H3267"/>
      <c r="I3267"/>
      <c r="J3267"/>
      <c r="K3267"/>
      <c r="L3267"/>
      <c r="M3267"/>
      <c r="N3267"/>
      <c r="O3267"/>
    </row>
    <row r="3268" spans="1:15" hidden="1" x14ac:dyDescent="0.25">
      <c r="A3268" t="s">
        <v>60</v>
      </c>
      <c r="B3268" t="s">
        <v>115</v>
      </c>
      <c r="C3268" t="b">
        <v>0</v>
      </c>
      <c r="D3268" s="1">
        <v>40422</v>
      </c>
      <c r="E3268">
        <v>5</v>
      </c>
      <c r="F3268"/>
      <c r="G3268"/>
      <c r="H3268"/>
      <c r="I3268"/>
      <c r="J3268"/>
      <c r="K3268"/>
      <c r="L3268"/>
      <c r="M3268"/>
      <c r="N3268"/>
      <c r="O3268"/>
    </row>
    <row r="3269" spans="1:15" hidden="1" x14ac:dyDescent="0.25">
      <c r="A3269" t="s">
        <v>61</v>
      </c>
      <c r="B3269" t="s">
        <v>115</v>
      </c>
      <c r="C3269" t="b">
        <v>0</v>
      </c>
      <c r="D3269" s="1">
        <v>40422</v>
      </c>
      <c r="E3269">
        <v>5</v>
      </c>
      <c r="F3269"/>
      <c r="G3269"/>
      <c r="H3269"/>
      <c r="I3269"/>
      <c r="J3269"/>
      <c r="K3269"/>
      <c r="L3269"/>
      <c r="M3269"/>
      <c r="N3269"/>
      <c r="O3269"/>
    </row>
    <row r="3270" spans="1:15" hidden="1" x14ac:dyDescent="0.25">
      <c r="A3270" t="s">
        <v>71</v>
      </c>
      <c r="B3270" t="s">
        <v>115</v>
      </c>
      <c r="C3270" t="b">
        <v>0</v>
      </c>
      <c r="D3270" s="1">
        <v>40422</v>
      </c>
      <c r="E3270">
        <v>5</v>
      </c>
      <c r="F3270"/>
      <c r="G3270"/>
      <c r="H3270"/>
      <c r="I3270"/>
      <c r="J3270"/>
      <c r="K3270"/>
      <c r="L3270"/>
      <c r="M3270"/>
      <c r="N3270"/>
      <c r="O3270"/>
    </row>
    <row r="3271" spans="1:15" hidden="1" x14ac:dyDescent="0.25">
      <c r="A3271" t="s">
        <v>74</v>
      </c>
      <c r="B3271" t="s">
        <v>115</v>
      </c>
      <c r="C3271" t="b">
        <v>0</v>
      </c>
      <c r="D3271" s="1">
        <v>40422</v>
      </c>
      <c r="E3271">
        <v>5</v>
      </c>
      <c r="F3271"/>
      <c r="G3271"/>
      <c r="H3271"/>
      <c r="I3271"/>
      <c r="J3271"/>
      <c r="K3271"/>
      <c r="L3271"/>
      <c r="M3271"/>
      <c r="N3271"/>
      <c r="O3271"/>
    </row>
    <row r="3272" spans="1:15" hidden="1" x14ac:dyDescent="0.25">
      <c r="A3272" t="s">
        <v>77</v>
      </c>
      <c r="B3272" t="s">
        <v>115</v>
      </c>
      <c r="C3272" t="b">
        <v>0</v>
      </c>
      <c r="D3272" s="1">
        <v>40422</v>
      </c>
      <c r="E3272">
        <v>5</v>
      </c>
      <c r="F3272"/>
      <c r="G3272"/>
      <c r="H3272"/>
      <c r="I3272"/>
      <c r="J3272"/>
      <c r="K3272"/>
      <c r="L3272"/>
      <c r="M3272"/>
      <c r="N3272"/>
      <c r="O3272"/>
    </row>
    <row r="3273" spans="1:15" hidden="1" x14ac:dyDescent="0.25">
      <c r="A3273" t="s">
        <v>86</v>
      </c>
      <c r="B3273" t="s">
        <v>115</v>
      </c>
      <c r="C3273" t="b">
        <v>0</v>
      </c>
      <c r="D3273" s="1">
        <v>40422</v>
      </c>
      <c r="E3273">
        <v>5</v>
      </c>
      <c r="F3273"/>
      <c r="G3273"/>
      <c r="H3273"/>
      <c r="I3273"/>
      <c r="J3273"/>
      <c r="K3273"/>
      <c r="L3273"/>
      <c r="M3273"/>
      <c r="N3273"/>
      <c r="O3273"/>
    </row>
    <row r="3274" spans="1:15" hidden="1" x14ac:dyDescent="0.25">
      <c r="A3274" t="s">
        <v>90</v>
      </c>
      <c r="B3274" t="s">
        <v>115</v>
      </c>
      <c r="C3274" t="b">
        <v>0</v>
      </c>
      <c r="D3274" s="1">
        <v>40422</v>
      </c>
      <c r="E3274">
        <v>5</v>
      </c>
      <c r="F3274"/>
      <c r="G3274"/>
      <c r="H3274"/>
      <c r="I3274"/>
      <c r="J3274"/>
      <c r="K3274"/>
      <c r="L3274"/>
      <c r="M3274"/>
      <c r="N3274"/>
      <c r="O3274"/>
    </row>
    <row r="3275" spans="1:15" hidden="1" x14ac:dyDescent="0.25">
      <c r="A3275" t="s">
        <v>95</v>
      </c>
      <c r="B3275" t="s">
        <v>115</v>
      </c>
      <c r="C3275" t="b">
        <v>0</v>
      </c>
      <c r="D3275" s="1">
        <v>40422</v>
      </c>
      <c r="E3275">
        <v>5</v>
      </c>
      <c r="F3275"/>
      <c r="G3275"/>
      <c r="H3275"/>
      <c r="I3275"/>
      <c r="J3275"/>
      <c r="K3275"/>
      <c r="L3275"/>
      <c r="M3275"/>
      <c r="N3275"/>
      <c r="O3275"/>
    </row>
    <row r="3276" spans="1:15" hidden="1" x14ac:dyDescent="0.25">
      <c r="A3276" t="s">
        <v>99</v>
      </c>
      <c r="B3276" t="s">
        <v>114</v>
      </c>
      <c r="C3276" t="b">
        <v>0</v>
      </c>
      <c r="D3276" s="1">
        <v>40422</v>
      </c>
      <c r="E3276">
        <v>9</v>
      </c>
      <c r="F3276"/>
      <c r="G3276"/>
      <c r="H3276"/>
      <c r="I3276"/>
      <c r="J3276"/>
      <c r="K3276"/>
      <c r="L3276"/>
      <c r="M3276"/>
      <c r="N3276"/>
      <c r="O3276"/>
    </row>
    <row r="3277" spans="1:15" hidden="1" x14ac:dyDescent="0.25">
      <c r="A3277" t="s">
        <v>100</v>
      </c>
      <c r="B3277" t="s">
        <v>117</v>
      </c>
      <c r="C3277" t="b">
        <v>0</v>
      </c>
      <c r="D3277" s="1">
        <v>40452</v>
      </c>
      <c r="E3277" s="2">
        <v>-106</v>
      </c>
      <c r="F3277"/>
      <c r="G3277"/>
      <c r="H3277"/>
      <c r="I3277"/>
      <c r="J3277"/>
      <c r="K3277"/>
      <c r="L3277"/>
      <c r="M3277"/>
      <c r="N3277"/>
      <c r="O3277"/>
    </row>
    <row r="3278" spans="1:15" hidden="1" x14ac:dyDescent="0.25">
      <c r="A3278" t="s">
        <v>102</v>
      </c>
      <c r="B3278" t="s">
        <v>117</v>
      </c>
      <c r="C3278" t="b">
        <v>0</v>
      </c>
      <c r="D3278" s="1">
        <v>40452</v>
      </c>
      <c r="E3278" s="2">
        <v>-17</v>
      </c>
      <c r="F3278"/>
      <c r="G3278"/>
      <c r="H3278"/>
      <c r="I3278"/>
      <c r="J3278"/>
      <c r="K3278"/>
      <c r="L3278"/>
      <c r="M3278"/>
      <c r="N3278"/>
      <c r="O3278"/>
    </row>
    <row r="3279" spans="1:15" hidden="1" x14ac:dyDescent="0.25">
      <c r="A3279" t="s">
        <v>101</v>
      </c>
      <c r="B3279" t="s">
        <v>117</v>
      </c>
      <c r="C3279" t="b">
        <v>0</v>
      </c>
      <c r="D3279" s="1">
        <v>40452</v>
      </c>
      <c r="E3279" s="2">
        <v>-4</v>
      </c>
      <c r="F3279"/>
      <c r="G3279"/>
      <c r="H3279"/>
      <c r="I3279"/>
      <c r="J3279"/>
      <c r="K3279"/>
      <c r="L3279"/>
      <c r="M3279"/>
      <c r="N3279"/>
      <c r="O3279"/>
    </row>
    <row r="3280" spans="1:15" hidden="1" x14ac:dyDescent="0.25">
      <c r="A3280" t="s">
        <v>25</v>
      </c>
      <c r="B3280" t="s">
        <v>115</v>
      </c>
      <c r="C3280" t="b">
        <v>0</v>
      </c>
      <c r="D3280" s="1">
        <v>40452</v>
      </c>
      <c r="E3280">
        <v>5</v>
      </c>
      <c r="F3280"/>
      <c r="G3280"/>
      <c r="H3280"/>
      <c r="I3280"/>
      <c r="J3280"/>
      <c r="K3280"/>
      <c r="L3280"/>
      <c r="M3280"/>
      <c r="N3280"/>
      <c r="O3280"/>
    </row>
    <row r="3281" spans="1:15" hidden="1" x14ac:dyDescent="0.25">
      <c r="A3281" t="s">
        <v>26</v>
      </c>
      <c r="B3281" t="s">
        <v>115</v>
      </c>
      <c r="C3281" t="b">
        <v>0</v>
      </c>
      <c r="D3281" s="1">
        <v>40452</v>
      </c>
      <c r="E3281">
        <v>5</v>
      </c>
      <c r="F3281"/>
      <c r="G3281"/>
      <c r="H3281"/>
      <c r="I3281"/>
      <c r="J3281"/>
      <c r="K3281"/>
      <c r="L3281"/>
      <c r="M3281"/>
      <c r="N3281"/>
      <c r="O3281"/>
    </row>
    <row r="3282" spans="1:15" hidden="1" x14ac:dyDescent="0.25">
      <c r="A3282" t="s">
        <v>29</v>
      </c>
      <c r="B3282" t="s">
        <v>115</v>
      </c>
      <c r="C3282" t="b">
        <v>0</v>
      </c>
      <c r="D3282" s="1">
        <v>40452</v>
      </c>
      <c r="E3282">
        <v>5</v>
      </c>
      <c r="F3282"/>
      <c r="G3282"/>
      <c r="H3282"/>
      <c r="I3282"/>
      <c r="J3282"/>
      <c r="K3282"/>
      <c r="L3282"/>
      <c r="M3282"/>
      <c r="N3282"/>
      <c r="O3282"/>
    </row>
    <row r="3283" spans="1:15" hidden="1" x14ac:dyDescent="0.25">
      <c r="A3283" t="s">
        <v>30</v>
      </c>
      <c r="B3283" t="s">
        <v>115</v>
      </c>
      <c r="C3283" t="b">
        <v>0</v>
      </c>
      <c r="D3283" s="1">
        <v>40452</v>
      </c>
      <c r="E3283">
        <v>5</v>
      </c>
      <c r="F3283"/>
      <c r="G3283"/>
      <c r="H3283"/>
      <c r="I3283"/>
      <c r="J3283"/>
      <c r="K3283"/>
      <c r="L3283"/>
      <c r="M3283"/>
      <c r="N3283"/>
      <c r="O3283"/>
    </row>
    <row r="3284" spans="1:15" hidden="1" x14ac:dyDescent="0.25">
      <c r="A3284" t="s">
        <v>34</v>
      </c>
      <c r="B3284" t="s">
        <v>115</v>
      </c>
      <c r="C3284" t="b">
        <v>0</v>
      </c>
      <c r="D3284" s="1">
        <v>40452</v>
      </c>
      <c r="E3284">
        <v>5</v>
      </c>
      <c r="F3284"/>
      <c r="G3284"/>
      <c r="H3284"/>
      <c r="I3284"/>
      <c r="J3284"/>
      <c r="K3284"/>
      <c r="L3284"/>
      <c r="M3284"/>
      <c r="N3284"/>
      <c r="O3284"/>
    </row>
    <row r="3285" spans="1:15" hidden="1" x14ac:dyDescent="0.25">
      <c r="A3285" t="s">
        <v>37</v>
      </c>
      <c r="B3285" t="s">
        <v>115</v>
      </c>
      <c r="C3285" t="b">
        <v>0</v>
      </c>
      <c r="D3285" s="1">
        <v>40452</v>
      </c>
      <c r="E3285">
        <v>5</v>
      </c>
      <c r="F3285"/>
      <c r="G3285"/>
      <c r="H3285"/>
      <c r="I3285"/>
      <c r="J3285"/>
      <c r="K3285"/>
      <c r="L3285"/>
      <c r="M3285"/>
      <c r="N3285"/>
      <c r="O3285"/>
    </row>
    <row r="3286" spans="1:15" hidden="1" x14ac:dyDescent="0.25">
      <c r="A3286" t="s">
        <v>39</v>
      </c>
      <c r="B3286" t="s">
        <v>115</v>
      </c>
      <c r="C3286" t="b">
        <v>0</v>
      </c>
      <c r="D3286" s="1">
        <v>40452</v>
      </c>
      <c r="E3286">
        <v>5</v>
      </c>
      <c r="F3286"/>
      <c r="G3286"/>
      <c r="H3286"/>
      <c r="I3286"/>
      <c r="J3286"/>
      <c r="K3286"/>
      <c r="L3286"/>
      <c r="M3286"/>
      <c r="N3286"/>
      <c r="O3286"/>
    </row>
    <row r="3287" spans="1:15" hidden="1" x14ac:dyDescent="0.25">
      <c r="A3287" t="s">
        <v>41</v>
      </c>
      <c r="B3287" t="s">
        <v>115</v>
      </c>
      <c r="C3287" t="b">
        <v>0</v>
      </c>
      <c r="D3287" s="1">
        <v>40452</v>
      </c>
      <c r="E3287">
        <v>5</v>
      </c>
      <c r="F3287"/>
      <c r="G3287"/>
      <c r="H3287"/>
      <c r="I3287"/>
      <c r="J3287"/>
      <c r="K3287"/>
      <c r="L3287"/>
      <c r="M3287"/>
      <c r="N3287"/>
      <c r="O3287"/>
    </row>
    <row r="3288" spans="1:15" hidden="1" x14ac:dyDescent="0.25">
      <c r="A3288" t="s">
        <v>59</v>
      </c>
      <c r="B3288" t="s">
        <v>115</v>
      </c>
      <c r="C3288" t="b">
        <v>0</v>
      </c>
      <c r="D3288" s="1">
        <v>40452</v>
      </c>
      <c r="E3288">
        <v>5</v>
      </c>
      <c r="F3288"/>
      <c r="G3288"/>
      <c r="H3288"/>
      <c r="I3288"/>
      <c r="J3288"/>
      <c r="K3288"/>
      <c r="L3288"/>
      <c r="M3288"/>
      <c r="N3288"/>
      <c r="O3288"/>
    </row>
    <row r="3289" spans="1:15" hidden="1" x14ac:dyDescent="0.25">
      <c r="A3289" t="s">
        <v>60</v>
      </c>
      <c r="B3289" t="s">
        <v>115</v>
      </c>
      <c r="C3289" t="b">
        <v>0</v>
      </c>
      <c r="D3289" s="1">
        <v>40452</v>
      </c>
      <c r="E3289">
        <v>5</v>
      </c>
      <c r="F3289"/>
      <c r="G3289"/>
      <c r="H3289"/>
      <c r="I3289"/>
      <c r="J3289"/>
      <c r="K3289"/>
      <c r="L3289"/>
      <c r="M3289"/>
      <c r="N3289"/>
      <c r="O3289"/>
    </row>
    <row r="3290" spans="1:15" hidden="1" x14ac:dyDescent="0.25">
      <c r="A3290" t="s">
        <v>61</v>
      </c>
      <c r="B3290" t="s">
        <v>115</v>
      </c>
      <c r="C3290" t="b">
        <v>0</v>
      </c>
      <c r="D3290" s="1">
        <v>40452</v>
      </c>
      <c r="E3290">
        <v>5</v>
      </c>
      <c r="F3290"/>
      <c r="G3290"/>
      <c r="H3290"/>
      <c r="I3290"/>
      <c r="J3290"/>
      <c r="K3290"/>
      <c r="L3290"/>
      <c r="M3290"/>
      <c r="N3290"/>
      <c r="O3290"/>
    </row>
    <row r="3291" spans="1:15" hidden="1" x14ac:dyDescent="0.25">
      <c r="A3291" t="s">
        <v>71</v>
      </c>
      <c r="B3291" t="s">
        <v>115</v>
      </c>
      <c r="C3291" t="b">
        <v>0</v>
      </c>
      <c r="D3291" s="1">
        <v>40452</v>
      </c>
      <c r="E3291">
        <v>5</v>
      </c>
      <c r="F3291"/>
      <c r="G3291"/>
      <c r="H3291"/>
      <c r="I3291"/>
      <c r="J3291"/>
      <c r="K3291"/>
      <c r="L3291"/>
      <c r="M3291"/>
      <c r="N3291"/>
      <c r="O3291"/>
    </row>
    <row r="3292" spans="1:15" hidden="1" x14ac:dyDescent="0.25">
      <c r="A3292" t="s">
        <v>76</v>
      </c>
      <c r="B3292" t="s">
        <v>115</v>
      </c>
      <c r="C3292" t="b">
        <v>0</v>
      </c>
      <c r="D3292" s="1">
        <v>40452</v>
      </c>
      <c r="E3292">
        <v>1E-3</v>
      </c>
      <c r="F3292"/>
      <c r="G3292"/>
      <c r="H3292"/>
      <c r="I3292"/>
      <c r="J3292"/>
      <c r="K3292"/>
      <c r="L3292"/>
      <c r="M3292"/>
      <c r="N3292"/>
      <c r="O3292"/>
    </row>
    <row r="3293" spans="1:15" hidden="1" x14ac:dyDescent="0.25">
      <c r="A3293" t="s">
        <v>77</v>
      </c>
      <c r="B3293" t="s">
        <v>115</v>
      </c>
      <c r="C3293" t="b">
        <v>0</v>
      </c>
      <c r="D3293" s="1">
        <v>40452</v>
      </c>
      <c r="E3293">
        <v>5</v>
      </c>
      <c r="F3293"/>
      <c r="G3293"/>
      <c r="H3293"/>
      <c r="I3293"/>
      <c r="J3293"/>
      <c r="K3293"/>
      <c r="L3293"/>
      <c r="M3293"/>
      <c r="N3293"/>
      <c r="O3293"/>
    </row>
    <row r="3294" spans="1:15" hidden="1" x14ac:dyDescent="0.25">
      <c r="A3294" t="s">
        <v>86</v>
      </c>
      <c r="B3294" t="s">
        <v>115</v>
      </c>
      <c r="C3294" t="b">
        <v>0</v>
      </c>
      <c r="D3294" s="1">
        <v>40452</v>
      </c>
      <c r="E3294">
        <v>5</v>
      </c>
      <c r="F3294"/>
      <c r="G3294"/>
      <c r="H3294"/>
      <c r="I3294"/>
      <c r="J3294"/>
      <c r="K3294"/>
      <c r="L3294"/>
      <c r="M3294"/>
      <c r="N3294"/>
      <c r="O3294"/>
    </row>
    <row r="3295" spans="1:15" hidden="1" x14ac:dyDescent="0.25">
      <c r="A3295" t="s">
        <v>90</v>
      </c>
      <c r="B3295" t="s">
        <v>115</v>
      </c>
      <c r="C3295" t="b">
        <v>0</v>
      </c>
      <c r="D3295" s="1">
        <v>40452</v>
      </c>
      <c r="E3295">
        <v>5</v>
      </c>
      <c r="F3295"/>
      <c r="G3295"/>
      <c r="H3295"/>
      <c r="I3295"/>
      <c r="J3295"/>
      <c r="K3295"/>
      <c r="L3295"/>
      <c r="M3295"/>
      <c r="N3295"/>
      <c r="O3295"/>
    </row>
    <row r="3296" spans="1:15" hidden="1" x14ac:dyDescent="0.25">
      <c r="A3296" t="s">
        <v>95</v>
      </c>
      <c r="B3296" t="s">
        <v>115</v>
      </c>
      <c r="C3296" t="b">
        <v>0</v>
      </c>
      <c r="D3296" s="1">
        <v>40452</v>
      </c>
      <c r="E3296">
        <v>5</v>
      </c>
      <c r="F3296"/>
      <c r="G3296"/>
      <c r="H3296"/>
      <c r="I3296"/>
      <c r="J3296"/>
      <c r="K3296"/>
      <c r="L3296"/>
      <c r="M3296"/>
      <c r="N3296"/>
      <c r="O3296"/>
    </row>
    <row r="3297" spans="1:15" hidden="1" x14ac:dyDescent="0.25">
      <c r="A3297" t="s">
        <v>99</v>
      </c>
      <c r="B3297" t="s">
        <v>114</v>
      </c>
      <c r="C3297" t="b">
        <v>0</v>
      </c>
      <c r="D3297" s="1">
        <v>40452</v>
      </c>
      <c r="E3297">
        <v>15</v>
      </c>
      <c r="F3297"/>
      <c r="G3297"/>
      <c r="H3297"/>
      <c r="I3297"/>
      <c r="J3297"/>
      <c r="K3297"/>
      <c r="L3297"/>
      <c r="M3297"/>
      <c r="N3297"/>
      <c r="O3297"/>
    </row>
    <row r="3298" spans="1:15" hidden="1" x14ac:dyDescent="0.25">
      <c r="A3298" t="s">
        <v>100</v>
      </c>
      <c r="B3298" t="s">
        <v>117</v>
      </c>
      <c r="C3298" t="b">
        <v>0</v>
      </c>
      <c r="D3298" s="1">
        <v>40483</v>
      </c>
      <c r="E3298" s="2">
        <v>-102.3</v>
      </c>
      <c r="F3298"/>
      <c r="G3298"/>
      <c r="H3298"/>
      <c r="I3298"/>
      <c r="J3298"/>
      <c r="K3298"/>
      <c r="L3298"/>
      <c r="M3298"/>
      <c r="N3298"/>
      <c r="O3298"/>
    </row>
    <row r="3299" spans="1:15" hidden="1" x14ac:dyDescent="0.25">
      <c r="A3299" t="s">
        <v>101</v>
      </c>
      <c r="B3299" t="s">
        <v>117</v>
      </c>
      <c r="C3299" t="b">
        <v>0</v>
      </c>
      <c r="D3299" s="1">
        <v>40483</v>
      </c>
      <c r="E3299" s="2">
        <v>-7</v>
      </c>
      <c r="F3299"/>
      <c r="G3299"/>
      <c r="H3299"/>
      <c r="I3299"/>
      <c r="J3299"/>
      <c r="K3299"/>
      <c r="L3299"/>
      <c r="M3299"/>
      <c r="N3299"/>
      <c r="O3299"/>
    </row>
    <row r="3300" spans="1:15" hidden="1" x14ac:dyDescent="0.25">
      <c r="A3300" t="s">
        <v>25</v>
      </c>
      <c r="B3300" t="s">
        <v>115</v>
      </c>
      <c r="C3300" t="b">
        <v>0</v>
      </c>
      <c r="D3300" s="1">
        <v>40483</v>
      </c>
      <c r="E3300">
        <v>5</v>
      </c>
      <c r="F3300"/>
      <c r="G3300"/>
      <c r="H3300"/>
      <c r="I3300"/>
      <c r="J3300"/>
      <c r="K3300"/>
      <c r="L3300"/>
      <c r="M3300"/>
      <c r="N3300"/>
      <c r="O3300"/>
    </row>
    <row r="3301" spans="1:15" hidden="1" x14ac:dyDescent="0.25">
      <c r="A3301" t="s">
        <v>26</v>
      </c>
      <c r="B3301" t="s">
        <v>115</v>
      </c>
      <c r="C3301" t="b">
        <v>0</v>
      </c>
      <c r="D3301" s="1">
        <v>40483</v>
      </c>
      <c r="E3301">
        <v>5</v>
      </c>
      <c r="F3301"/>
      <c r="G3301"/>
      <c r="H3301"/>
      <c r="I3301"/>
      <c r="J3301"/>
      <c r="K3301"/>
      <c r="L3301"/>
      <c r="M3301"/>
      <c r="N3301"/>
      <c r="O3301"/>
    </row>
    <row r="3302" spans="1:15" hidden="1" x14ac:dyDescent="0.25">
      <c r="A3302" t="s">
        <v>29</v>
      </c>
      <c r="B3302" t="s">
        <v>115</v>
      </c>
      <c r="C3302" t="b">
        <v>0</v>
      </c>
      <c r="D3302" s="1">
        <v>40483</v>
      </c>
      <c r="E3302">
        <v>5</v>
      </c>
      <c r="F3302"/>
      <c r="G3302"/>
      <c r="H3302"/>
      <c r="I3302"/>
      <c r="J3302"/>
      <c r="K3302"/>
      <c r="L3302"/>
      <c r="M3302"/>
      <c r="N3302"/>
      <c r="O3302"/>
    </row>
    <row r="3303" spans="1:15" hidden="1" x14ac:dyDescent="0.25">
      <c r="A3303" t="s">
        <v>34</v>
      </c>
      <c r="B3303" t="s">
        <v>115</v>
      </c>
      <c r="C3303" t="b">
        <v>0</v>
      </c>
      <c r="D3303" s="1">
        <v>40483</v>
      </c>
      <c r="E3303">
        <v>5</v>
      </c>
      <c r="F3303"/>
      <c r="G3303"/>
      <c r="H3303"/>
      <c r="I3303"/>
      <c r="J3303"/>
      <c r="K3303"/>
      <c r="L3303"/>
      <c r="M3303"/>
      <c r="N3303"/>
      <c r="O3303"/>
    </row>
    <row r="3304" spans="1:15" hidden="1" x14ac:dyDescent="0.25">
      <c r="A3304" t="s">
        <v>37</v>
      </c>
      <c r="B3304" t="s">
        <v>115</v>
      </c>
      <c r="C3304" t="b">
        <v>0</v>
      </c>
      <c r="D3304" s="1">
        <v>40483</v>
      </c>
      <c r="E3304">
        <v>5</v>
      </c>
      <c r="F3304"/>
      <c r="G3304"/>
      <c r="H3304"/>
      <c r="I3304"/>
      <c r="J3304"/>
      <c r="K3304"/>
      <c r="L3304"/>
      <c r="M3304"/>
      <c r="N3304"/>
      <c r="O3304"/>
    </row>
    <row r="3305" spans="1:15" hidden="1" x14ac:dyDescent="0.25">
      <c r="A3305" t="s">
        <v>39</v>
      </c>
      <c r="B3305" t="s">
        <v>115</v>
      </c>
      <c r="C3305" t="b">
        <v>0</v>
      </c>
      <c r="D3305" s="1">
        <v>40483</v>
      </c>
      <c r="E3305">
        <v>5</v>
      </c>
      <c r="F3305"/>
      <c r="G3305"/>
      <c r="H3305"/>
      <c r="I3305"/>
      <c r="J3305"/>
      <c r="K3305"/>
      <c r="L3305"/>
      <c r="M3305"/>
      <c r="N3305"/>
      <c r="O3305"/>
    </row>
    <row r="3306" spans="1:15" hidden="1" x14ac:dyDescent="0.25">
      <c r="A3306" t="s">
        <v>41</v>
      </c>
      <c r="B3306" t="s">
        <v>115</v>
      </c>
      <c r="C3306" t="b">
        <v>0</v>
      </c>
      <c r="D3306" s="1">
        <v>40483</v>
      </c>
      <c r="E3306">
        <v>5</v>
      </c>
      <c r="F3306"/>
      <c r="G3306"/>
      <c r="H3306"/>
      <c r="I3306"/>
      <c r="J3306"/>
      <c r="K3306"/>
      <c r="L3306"/>
      <c r="M3306"/>
      <c r="N3306"/>
      <c r="O3306"/>
    </row>
    <row r="3307" spans="1:15" hidden="1" x14ac:dyDescent="0.25">
      <c r="A3307" t="s">
        <v>59</v>
      </c>
      <c r="B3307" t="s">
        <v>115</v>
      </c>
      <c r="C3307" t="b">
        <v>0</v>
      </c>
      <c r="D3307" s="1">
        <v>40483</v>
      </c>
      <c r="E3307">
        <v>5</v>
      </c>
      <c r="F3307"/>
      <c r="G3307"/>
      <c r="H3307"/>
      <c r="I3307"/>
      <c r="J3307"/>
      <c r="K3307"/>
      <c r="L3307"/>
      <c r="M3307"/>
      <c r="N3307"/>
      <c r="O3307"/>
    </row>
    <row r="3308" spans="1:15" hidden="1" x14ac:dyDescent="0.25">
      <c r="A3308" t="s">
        <v>60</v>
      </c>
      <c r="B3308" t="s">
        <v>115</v>
      </c>
      <c r="C3308" t="b">
        <v>0</v>
      </c>
      <c r="D3308" s="1">
        <v>40483</v>
      </c>
      <c r="E3308">
        <v>0</v>
      </c>
      <c r="F3308"/>
      <c r="G3308"/>
      <c r="H3308"/>
      <c r="I3308"/>
      <c r="J3308"/>
      <c r="K3308"/>
      <c r="L3308"/>
      <c r="M3308"/>
      <c r="N3308"/>
      <c r="O3308"/>
    </row>
    <row r="3309" spans="1:15" hidden="1" x14ac:dyDescent="0.25">
      <c r="A3309" t="s">
        <v>61</v>
      </c>
      <c r="B3309" t="s">
        <v>115</v>
      </c>
      <c r="C3309" t="b">
        <v>0</v>
      </c>
      <c r="D3309" s="1">
        <v>40483</v>
      </c>
      <c r="E3309">
        <v>5</v>
      </c>
      <c r="F3309"/>
      <c r="G3309"/>
      <c r="H3309"/>
      <c r="I3309"/>
      <c r="J3309"/>
      <c r="K3309"/>
      <c r="L3309"/>
      <c r="M3309"/>
      <c r="N3309"/>
      <c r="O3309"/>
    </row>
    <row r="3310" spans="1:15" hidden="1" x14ac:dyDescent="0.25">
      <c r="A3310" t="s">
        <v>64</v>
      </c>
      <c r="B3310" t="s">
        <v>115</v>
      </c>
      <c r="C3310" t="b">
        <v>0</v>
      </c>
      <c r="D3310" s="1">
        <v>40483</v>
      </c>
      <c r="E3310">
        <v>5</v>
      </c>
      <c r="F3310"/>
      <c r="G3310"/>
      <c r="H3310"/>
      <c r="I3310"/>
      <c r="J3310"/>
      <c r="K3310"/>
      <c r="L3310"/>
      <c r="M3310"/>
      <c r="N3310"/>
      <c r="O3310"/>
    </row>
    <row r="3311" spans="1:15" hidden="1" x14ac:dyDescent="0.25">
      <c r="A3311" t="s">
        <v>69</v>
      </c>
      <c r="B3311" t="s">
        <v>115</v>
      </c>
      <c r="C3311" t="b">
        <v>0</v>
      </c>
      <c r="D3311" s="1">
        <v>40483</v>
      </c>
      <c r="E3311">
        <v>5</v>
      </c>
      <c r="F3311"/>
      <c r="G3311"/>
      <c r="H3311"/>
      <c r="I3311"/>
      <c r="J3311"/>
      <c r="K3311"/>
      <c r="L3311"/>
      <c r="M3311"/>
      <c r="N3311"/>
      <c r="O3311"/>
    </row>
    <row r="3312" spans="1:15" hidden="1" x14ac:dyDescent="0.25">
      <c r="A3312" t="s">
        <v>71</v>
      </c>
      <c r="B3312" t="s">
        <v>115</v>
      </c>
      <c r="C3312" t="b">
        <v>0</v>
      </c>
      <c r="D3312" s="1">
        <v>40483</v>
      </c>
      <c r="E3312">
        <v>5</v>
      </c>
      <c r="F3312"/>
      <c r="G3312"/>
      <c r="H3312"/>
      <c r="I3312"/>
      <c r="J3312"/>
      <c r="K3312"/>
      <c r="L3312"/>
      <c r="M3312"/>
      <c r="N3312"/>
      <c r="O3312"/>
    </row>
    <row r="3313" spans="1:15" hidden="1" x14ac:dyDescent="0.25">
      <c r="A3313" t="s">
        <v>74</v>
      </c>
      <c r="B3313" t="s">
        <v>115</v>
      </c>
      <c r="C3313" t="b">
        <v>0</v>
      </c>
      <c r="D3313" s="1">
        <v>40483</v>
      </c>
      <c r="E3313">
        <v>5</v>
      </c>
      <c r="F3313"/>
      <c r="G3313"/>
      <c r="H3313"/>
      <c r="I3313"/>
      <c r="J3313"/>
      <c r="K3313"/>
      <c r="L3313"/>
      <c r="M3313"/>
      <c r="N3313"/>
      <c r="O3313"/>
    </row>
    <row r="3314" spans="1:15" hidden="1" x14ac:dyDescent="0.25">
      <c r="A3314" t="s">
        <v>76</v>
      </c>
      <c r="B3314" t="s">
        <v>115</v>
      </c>
      <c r="C3314" t="b">
        <v>0</v>
      </c>
      <c r="D3314" s="1">
        <v>40483</v>
      </c>
      <c r="E3314">
        <v>1E-3</v>
      </c>
      <c r="F3314"/>
      <c r="G3314"/>
      <c r="H3314"/>
      <c r="I3314"/>
      <c r="J3314"/>
      <c r="K3314"/>
      <c r="L3314"/>
      <c r="M3314"/>
      <c r="N3314"/>
      <c r="O3314"/>
    </row>
    <row r="3315" spans="1:15" hidden="1" x14ac:dyDescent="0.25">
      <c r="A3315" t="s">
        <v>77</v>
      </c>
      <c r="B3315" t="s">
        <v>115</v>
      </c>
      <c r="C3315" t="b">
        <v>0</v>
      </c>
      <c r="D3315" s="1">
        <v>40483</v>
      </c>
      <c r="E3315">
        <v>5</v>
      </c>
      <c r="F3315"/>
      <c r="G3315"/>
      <c r="H3315"/>
      <c r="I3315"/>
      <c r="J3315"/>
      <c r="K3315"/>
      <c r="L3315"/>
      <c r="M3315"/>
      <c r="N3315"/>
      <c r="O3315"/>
    </row>
    <row r="3316" spans="1:15" hidden="1" x14ac:dyDescent="0.25">
      <c r="A3316" t="s">
        <v>86</v>
      </c>
      <c r="B3316" t="s">
        <v>115</v>
      </c>
      <c r="C3316" t="b">
        <v>0</v>
      </c>
      <c r="D3316" s="1">
        <v>40483</v>
      </c>
      <c r="E3316">
        <v>5</v>
      </c>
      <c r="F3316"/>
      <c r="G3316"/>
      <c r="H3316"/>
      <c r="I3316"/>
      <c r="J3316"/>
      <c r="K3316"/>
      <c r="L3316"/>
      <c r="M3316"/>
      <c r="N3316"/>
      <c r="O3316"/>
    </row>
    <row r="3317" spans="1:15" hidden="1" x14ac:dyDescent="0.25">
      <c r="A3317" t="s">
        <v>88</v>
      </c>
      <c r="B3317" t="s">
        <v>115</v>
      </c>
      <c r="C3317" t="b">
        <v>0</v>
      </c>
      <c r="D3317" s="1">
        <v>40483</v>
      </c>
      <c r="E3317">
        <v>0</v>
      </c>
      <c r="F3317"/>
      <c r="G3317"/>
      <c r="H3317"/>
      <c r="I3317"/>
      <c r="J3317"/>
      <c r="K3317"/>
      <c r="L3317"/>
      <c r="M3317"/>
      <c r="N3317"/>
      <c r="O3317"/>
    </row>
    <row r="3318" spans="1:15" hidden="1" x14ac:dyDescent="0.25">
      <c r="A3318" t="s">
        <v>90</v>
      </c>
      <c r="B3318" t="s">
        <v>115</v>
      </c>
      <c r="C3318" t="b">
        <v>0</v>
      </c>
      <c r="D3318" s="1">
        <v>40483</v>
      </c>
      <c r="E3318">
        <v>5</v>
      </c>
      <c r="F3318"/>
      <c r="G3318"/>
      <c r="H3318"/>
      <c r="I3318"/>
      <c r="J3318"/>
      <c r="K3318"/>
      <c r="L3318"/>
      <c r="M3318"/>
      <c r="N3318"/>
      <c r="O3318"/>
    </row>
    <row r="3319" spans="1:15" hidden="1" x14ac:dyDescent="0.25">
      <c r="A3319" t="s">
        <v>95</v>
      </c>
      <c r="B3319" t="s">
        <v>115</v>
      </c>
      <c r="C3319" t="b">
        <v>0</v>
      </c>
      <c r="D3319" s="1">
        <v>40483</v>
      </c>
      <c r="E3319">
        <v>5</v>
      </c>
      <c r="F3319"/>
      <c r="G3319"/>
      <c r="H3319"/>
      <c r="I3319"/>
      <c r="J3319"/>
      <c r="K3319"/>
      <c r="L3319"/>
      <c r="M3319"/>
      <c r="N3319"/>
      <c r="O3319"/>
    </row>
    <row r="3320" spans="1:15" hidden="1" x14ac:dyDescent="0.25">
      <c r="A3320" t="s">
        <v>99</v>
      </c>
      <c r="B3320" t="s">
        <v>114</v>
      </c>
      <c r="C3320" t="b">
        <v>0</v>
      </c>
      <c r="D3320" s="1">
        <v>40483</v>
      </c>
      <c r="E3320">
        <v>0</v>
      </c>
      <c r="F3320"/>
      <c r="G3320"/>
      <c r="H3320"/>
      <c r="I3320"/>
      <c r="J3320"/>
      <c r="K3320"/>
      <c r="L3320"/>
      <c r="M3320"/>
      <c r="N3320"/>
      <c r="O3320"/>
    </row>
    <row r="3321" spans="1:15" hidden="1" x14ac:dyDescent="0.25">
      <c r="A3321" t="s">
        <v>100</v>
      </c>
      <c r="B3321" t="s">
        <v>117</v>
      </c>
      <c r="C3321" t="b">
        <v>0</v>
      </c>
      <c r="D3321" s="1">
        <v>40513</v>
      </c>
      <c r="E3321" s="2">
        <v>-78</v>
      </c>
      <c r="F3321"/>
      <c r="G3321"/>
      <c r="H3321"/>
      <c r="I3321"/>
      <c r="J3321"/>
      <c r="K3321"/>
      <c r="L3321"/>
      <c r="M3321"/>
      <c r="N3321"/>
      <c r="O3321"/>
    </row>
    <row r="3322" spans="1:15" hidden="1" x14ac:dyDescent="0.25">
      <c r="A3322" t="s">
        <v>25</v>
      </c>
      <c r="B3322" t="s">
        <v>115</v>
      </c>
      <c r="C3322" t="b">
        <v>0</v>
      </c>
      <c r="D3322" s="1">
        <v>40513</v>
      </c>
      <c r="E3322">
        <v>5</v>
      </c>
      <c r="F3322"/>
      <c r="G3322"/>
      <c r="H3322"/>
      <c r="I3322"/>
      <c r="J3322"/>
      <c r="K3322"/>
      <c r="L3322"/>
      <c r="M3322"/>
      <c r="N3322"/>
      <c r="O3322"/>
    </row>
    <row r="3323" spans="1:15" hidden="1" x14ac:dyDescent="0.25">
      <c r="A3323" t="s">
        <v>26</v>
      </c>
      <c r="B3323" t="s">
        <v>115</v>
      </c>
      <c r="C3323" t="b">
        <v>0</v>
      </c>
      <c r="D3323" s="1">
        <v>40513</v>
      </c>
      <c r="E3323">
        <v>5</v>
      </c>
      <c r="F3323"/>
      <c r="G3323"/>
      <c r="H3323"/>
      <c r="I3323"/>
      <c r="J3323"/>
      <c r="K3323"/>
      <c r="L3323"/>
      <c r="M3323"/>
      <c r="N3323"/>
      <c r="O3323"/>
    </row>
    <row r="3324" spans="1:15" hidden="1" x14ac:dyDescent="0.25">
      <c r="A3324" t="s">
        <v>29</v>
      </c>
      <c r="B3324" t="s">
        <v>115</v>
      </c>
      <c r="C3324" t="b">
        <v>0</v>
      </c>
      <c r="D3324" s="1">
        <v>40513</v>
      </c>
      <c r="E3324">
        <v>5</v>
      </c>
      <c r="F3324"/>
      <c r="G3324"/>
      <c r="H3324"/>
      <c r="I3324"/>
      <c r="J3324"/>
      <c r="K3324"/>
      <c r="L3324"/>
      <c r="M3324"/>
      <c r="N3324"/>
      <c r="O3324"/>
    </row>
    <row r="3325" spans="1:15" hidden="1" x14ac:dyDescent="0.25">
      <c r="A3325" t="s">
        <v>34</v>
      </c>
      <c r="B3325" t="s">
        <v>115</v>
      </c>
      <c r="C3325" t="b">
        <v>0</v>
      </c>
      <c r="D3325" s="1">
        <v>40513</v>
      </c>
      <c r="E3325">
        <v>5</v>
      </c>
      <c r="F3325"/>
      <c r="G3325"/>
      <c r="H3325"/>
      <c r="I3325"/>
      <c r="J3325"/>
      <c r="K3325"/>
      <c r="L3325"/>
      <c r="M3325"/>
      <c r="N3325"/>
      <c r="O3325"/>
    </row>
    <row r="3326" spans="1:15" hidden="1" x14ac:dyDescent="0.25">
      <c r="A3326" t="s">
        <v>37</v>
      </c>
      <c r="B3326" t="s">
        <v>115</v>
      </c>
      <c r="C3326" t="b">
        <v>0</v>
      </c>
      <c r="D3326" s="1">
        <v>40513</v>
      </c>
      <c r="E3326">
        <v>5</v>
      </c>
      <c r="F3326"/>
      <c r="G3326"/>
      <c r="H3326"/>
      <c r="I3326"/>
      <c r="J3326"/>
      <c r="K3326"/>
      <c r="L3326"/>
      <c r="M3326"/>
      <c r="N3326"/>
      <c r="O3326"/>
    </row>
    <row r="3327" spans="1:15" hidden="1" x14ac:dyDescent="0.25">
      <c r="A3327" t="s">
        <v>59</v>
      </c>
      <c r="B3327" t="s">
        <v>115</v>
      </c>
      <c r="C3327" t="b">
        <v>0</v>
      </c>
      <c r="D3327" s="1">
        <v>40513</v>
      </c>
      <c r="E3327">
        <v>5</v>
      </c>
      <c r="F3327"/>
      <c r="G3327"/>
      <c r="H3327"/>
      <c r="I3327"/>
      <c r="J3327"/>
      <c r="K3327"/>
      <c r="L3327"/>
      <c r="M3327"/>
      <c r="N3327"/>
      <c r="O3327"/>
    </row>
    <row r="3328" spans="1:15" hidden="1" x14ac:dyDescent="0.25">
      <c r="A3328" t="s">
        <v>60</v>
      </c>
      <c r="B3328" t="s">
        <v>115</v>
      </c>
      <c r="C3328" t="b">
        <v>0</v>
      </c>
      <c r="D3328" s="1">
        <v>40513</v>
      </c>
      <c r="E3328">
        <v>5</v>
      </c>
      <c r="F3328"/>
      <c r="G3328"/>
      <c r="H3328"/>
      <c r="I3328"/>
      <c r="J3328"/>
      <c r="K3328"/>
      <c r="L3328"/>
      <c r="M3328"/>
      <c r="N3328"/>
      <c r="O3328"/>
    </row>
    <row r="3329" spans="1:15" hidden="1" x14ac:dyDescent="0.25">
      <c r="A3329" t="s">
        <v>64</v>
      </c>
      <c r="B3329" t="s">
        <v>115</v>
      </c>
      <c r="C3329" t="b">
        <v>0</v>
      </c>
      <c r="D3329" s="1">
        <v>40513</v>
      </c>
      <c r="E3329">
        <v>5</v>
      </c>
      <c r="F3329"/>
      <c r="G3329"/>
      <c r="H3329"/>
      <c r="I3329"/>
      <c r="J3329"/>
      <c r="K3329"/>
      <c r="L3329"/>
      <c r="M3329"/>
      <c r="N3329"/>
      <c r="O3329"/>
    </row>
    <row r="3330" spans="1:15" hidden="1" x14ac:dyDescent="0.25">
      <c r="A3330" t="s">
        <v>69</v>
      </c>
      <c r="B3330" t="s">
        <v>115</v>
      </c>
      <c r="C3330" t="b">
        <v>0</v>
      </c>
      <c r="D3330" s="1">
        <v>40513</v>
      </c>
      <c r="E3330">
        <v>5</v>
      </c>
      <c r="F3330"/>
      <c r="G3330"/>
      <c r="H3330"/>
      <c r="I3330"/>
      <c r="J3330"/>
      <c r="K3330"/>
      <c r="L3330"/>
      <c r="M3330"/>
      <c r="N3330"/>
      <c r="O3330"/>
    </row>
    <row r="3331" spans="1:15" hidden="1" x14ac:dyDescent="0.25">
      <c r="A3331" t="s">
        <v>71</v>
      </c>
      <c r="B3331" t="s">
        <v>115</v>
      </c>
      <c r="C3331" t="b">
        <v>0</v>
      </c>
      <c r="D3331" s="1">
        <v>40513</v>
      </c>
      <c r="E3331">
        <v>5</v>
      </c>
      <c r="F3331"/>
      <c r="G3331"/>
      <c r="H3331"/>
      <c r="I3331"/>
      <c r="J3331"/>
      <c r="K3331"/>
      <c r="L3331"/>
      <c r="M3331"/>
      <c r="N3331"/>
      <c r="O3331"/>
    </row>
    <row r="3332" spans="1:15" hidden="1" x14ac:dyDescent="0.25">
      <c r="A3332" t="s">
        <v>74</v>
      </c>
      <c r="B3332" t="s">
        <v>115</v>
      </c>
      <c r="C3332" t="b">
        <v>0</v>
      </c>
      <c r="D3332" s="1">
        <v>40513</v>
      </c>
      <c r="E3332">
        <v>5</v>
      </c>
      <c r="F3332"/>
      <c r="G3332"/>
      <c r="H3332"/>
      <c r="I3332"/>
      <c r="J3332"/>
      <c r="K3332"/>
      <c r="L3332"/>
      <c r="M3332"/>
      <c r="N3332"/>
      <c r="O3332"/>
    </row>
    <row r="3333" spans="1:15" hidden="1" x14ac:dyDescent="0.25">
      <c r="A3333" t="s">
        <v>76</v>
      </c>
      <c r="B3333" t="s">
        <v>115</v>
      </c>
      <c r="C3333" t="b">
        <v>0</v>
      </c>
      <c r="D3333" s="1">
        <v>40513</v>
      </c>
      <c r="E3333">
        <v>1E-3</v>
      </c>
      <c r="F3333"/>
      <c r="G3333"/>
      <c r="H3333"/>
      <c r="I3333"/>
      <c r="J3333"/>
      <c r="K3333"/>
      <c r="L3333"/>
      <c r="M3333"/>
      <c r="N3333"/>
      <c r="O3333"/>
    </row>
    <row r="3334" spans="1:15" hidden="1" x14ac:dyDescent="0.25">
      <c r="A3334" t="s">
        <v>77</v>
      </c>
      <c r="B3334" t="s">
        <v>115</v>
      </c>
      <c r="C3334" t="b">
        <v>0</v>
      </c>
      <c r="D3334" s="1">
        <v>40513</v>
      </c>
      <c r="E3334">
        <v>5</v>
      </c>
      <c r="F3334"/>
      <c r="G3334"/>
      <c r="H3334"/>
      <c r="I3334"/>
      <c r="J3334"/>
      <c r="K3334"/>
      <c r="L3334"/>
      <c r="M3334"/>
      <c r="N3334"/>
      <c r="O3334"/>
    </row>
    <row r="3335" spans="1:15" hidden="1" x14ac:dyDescent="0.25">
      <c r="A3335" t="s">
        <v>86</v>
      </c>
      <c r="B3335" t="s">
        <v>115</v>
      </c>
      <c r="C3335" t="b">
        <v>0</v>
      </c>
      <c r="D3335" s="1">
        <v>40513</v>
      </c>
      <c r="E3335">
        <v>5</v>
      </c>
      <c r="F3335"/>
      <c r="G3335"/>
      <c r="H3335"/>
      <c r="I3335"/>
      <c r="J3335"/>
      <c r="K3335"/>
      <c r="L3335"/>
      <c r="M3335"/>
      <c r="N3335"/>
      <c r="O3335"/>
    </row>
    <row r="3336" spans="1:15" hidden="1" x14ac:dyDescent="0.25">
      <c r="A3336" t="s">
        <v>88</v>
      </c>
      <c r="B3336" t="s">
        <v>115</v>
      </c>
      <c r="C3336" t="b">
        <v>0</v>
      </c>
      <c r="D3336" s="1">
        <v>40513</v>
      </c>
      <c r="E3336">
        <v>0</v>
      </c>
      <c r="F3336"/>
      <c r="G3336"/>
      <c r="H3336"/>
      <c r="I3336"/>
      <c r="J3336"/>
      <c r="K3336"/>
      <c r="L3336"/>
      <c r="M3336"/>
      <c r="N3336"/>
      <c r="O3336"/>
    </row>
    <row r="3337" spans="1:15" hidden="1" x14ac:dyDescent="0.25">
      <c r="A3337" t="s">
        <v>95</v>
      </c>
      <c r="B3337" t="s">
        <v>115</v>
      </c>
      <c r="C3337" t="b">
        <v>0</v>
      </c>
      <c r="D3337" s="1">
        <v>40513</v>
      </c>
      <c r="E3337">
        <v>5</v>
      </c>
      <c r="F3337"/>
      <c r="G3337"/>
      <c r="H3337"/>
      <c r="I3337"/>
      <c r="J3337"/>
      <c r="K3337"/>
      <c r="L3337"/>
      <c r="M3337"/>
      <c r="N3337"/>
      <c r="O3337"/>
    </row>
    <row r="3338" spans="1:15" hidden="1" x14ac:dyDescent="0.25">
      <c r="A3338" t="s">
        <v>99</v>
      </c>
      <c r="B3338" t="s">
        <v>114</v>
      </c>
      <c r="C3338" t="b">
        <v>0</v>
      </c>
      <c r="D3338" s="1">
        <v>40513</v>
      </c>
      <c r="E3338">
        <v>15.879999999999999</v>
      </c>
      <c r="F3338"/>
      <c r="G3338"/>
      <c r="H3338"/>
      <c r="I3338"/>
      <c r="J3338"/>
      <c r="K3338"/>
      <c r="L3338"/>
      <c r="M3338"/>
      <c r="N3338"/>
      <c r="O3338"/>
    </row>
    <row r="3339" spans="1:15" hidden="1" x14ac:dyDescent="0.25">
      <c r="A3339" t="s">
        <v>100</v>
      </c>
      <c r="B3339" t="s">
        <v>117</v>
      </c>
      <c r="C3339" t="b">
        <v>0</v>
      </c>
      <c r="D3339" s="1">
        <v>40544</v>
      </c>
      <c r="E3339" s="2">
        <v>-94</v>
      </c>
      <c r="F3339"/>
      <c r="G3339"/>
      <c r="H3339"/>
      <c r="I3339"/>
      <c r="J3339"/>
      <c r="K3339"/>
      <c r="L3339"/>
      <c r="M3339"/>
      <c r="N3339"/>
      <c r="O3339"/>
    </row>
    <row r="3340" spans="1:15" hidden="1" x14ac:dyDescent="0.25">
      <c r="A3340" t="s">
        <v>101</v>
      </c>
      <c r="B3340" t="s">
        <v>117</v>
      </c>
      <c r="C3340" t="b">
        <v>0</v>
      </c>
      <c r="D3340" s="1">
        <v>40544</v>
      </c>
      <c r="E3340" s="2">
        <v>-21</v>
      </c>
      <c r="F3340"/>
      <c r="G3340"/>
      <c r="H3340"/>
      <c r="I3340"/>
      <c r="J3340"/>
      <c r="K3340"/>
      <c r="L3340"/>
      <c r="M3340"/>
      <c r="N3340"/>
      <c r="O3340"/>
    </row>
    <row r="3341" spans="1:15" hidden="1" x14ac:dyDescent="0.25">
      <c r="A3341" t="s">
        <v>25</v>
      </c>
      <c r="B3341" t="s">
        <v>115</v>
      </c>
      <c r="C3341" t="b">
        <v>0</v>
      </c>
      <c r="D3341" s="1">
        <v>40544</v>
      </c>
      <c r="E3341">
        <v>5</v>
      </c>
      <c r="F3341"/>
      <c r="G3341"/>
      <c r="H3341"/>
      <c r="I3341"/>
      <c r="J3341"/>
      <c r="K3341"/>
      <c r="L3341"/>
      <c r="M3341"/>
      <c r="N3341"/>
      <c r="O3341"/>
    </row>
    <row r="3342" spans="1:15" hidden="1" x14ac:dyDescent="0.25">
      <c r="A3342" t="s">
        <v>26</v>
      </c>
      <c r="B3342" t="s">
        <v>115</v>
      </c>
      <c r="C3342" t="b">
        <v>0</v>
      </c>
      <c r="D3342" s="1">
        <v>40544</v>
      </c>
      <c r="E3342">
        <v>5</v>
      </c>
      <c r="F3342"/>
      <c r="G3342"/>
      <c r="H3342"/>
      <c r="I3342"/>
      <c r="J3342"/>
      <c r="K3342"/>
      <c r="L3342"/>
      <c r="M3342"/>
      <c r="N3342"/>
      <c r="O3342"/>
    </row>
    <row r="3343" spans="1:15" hidden="1" x14ac:dyDescent="0.25">
      <c r="A3343" t="s">
        <v>29</v>
      </c>
      <c r="B3343" t="s">
        <v>115</v>
      </c>
      <c r="C3343" t="b">
        <v>0</v>
      </c>
      <c r="D3343" s="1">
        <v>40544</v>
      </c>
      <c r="E3343">
        <v>5</v>
      </c>
      <c r="F3343"/>
      <c r="G3343"/>
      <c r="H3343"/>
      <c r="I3343"/>
      <c r="J3343"/>
      <c r="K3343"/>
      <c r="L3343"/>
      <c r="M3343"/>
      <c r="N3343"/>
      <c r="O3343"/>
    </row>
    <row r="3344" spans="1:15" hidden="1" x14ac:dyDescent="0.25">
      <c r="A3344" t="s">
        <v>32</v>
      </c>
      <c r="B3344" t="s">
        <v>115</v>
      </c>
      <c r="C3344" t="b">
        <v>0</v>
      </c>
      <c r="D3344" s="1">
        <v>40544</v>
      </c>
      <c r="E3344">
        <v>5</v>
      </c>
      <c r="F3344"/>
      <c r="G3344"/>
      <c r="H3344"/>
      <c r="I3344"/>
      <c r="J3344"/>
      <c r="K3344"/>
      <c r="L3344"/>
      <c r="M3344"/>
      <c r="N3344"/>
      <c r="O3344"/>
    </row>
    <row r="3345" spans="1:15" hidden="1" x14ac:dyDescent="0.25">
      <c r="A3345" t="s">
        <v>34</v>
      </c>
      <c r="B3345" t="s">
        <v>115</v>
      </c>
      <c r="C3345" t="b">
        <v>0</v>
      </c>
      <c r="D3345" s="1">
        <v>40544</v>
      </c>
      <c r="E3345">
        <v>5</v>
      </c>
      <c r="F3345"/>
      <c r="G3345"/>
      <c r="H3345"/>
      <c r="I3345"/>
      <c r="J3345"/>
      <c r="K3345"/>
      <c r="L3345"/>
      <c r="M3345"/>
      <c r="N3345"/>
      <c r="O3345"/>
    </row>
    <row r="3346" spans="1:15" hidden="1" x14ac:dyDescent="0.25">
      <c r="A3346" t="s">
        <v>37</v>
      </c>
      <c r="B3346" t="s">
        <v>115</v>
      </c>
      <c r="C3346" t="b">
        <v>0</v>
      </c>
      <c r="D3346" s="1">
        <v>40544</v>
      </c>
      <c r="E3346">
        <v>5</v>
      </c>
      <c r="F3346"/>
      <c r="G3346"/>
      <c r="H3346"/>
      <c r="I3346"/>
      <c r="J3346"/>
      <c r="K3346"/>
      <c r="L3346"/>
      <c r="M3346"/>
      <c r="N3346"/>
      <c r="O3346"/>
    </row>
    <row r="3347" spans="1:15" hidden="1" x14ac:dyDescent="0.25">
      <c r="A3347" t="s">
        <v>39</v>
      </c>
      <c r="B3347" t="s">
        <v>115</v>
      </c>
      <c r="C3347" t="b">
        <v>0</v>
      </c>
      <c r="D3347" s="1">
        <v>40544</v>
      </c>
      <c r="E3347">
        <v>5</v>
      </c>
      <c r="F3347"/>
      <c r="G3347"/>
      <c r="H3347"/>
      <c r="I3347"/>
      <c r="J3347"/>
      <c r="K3347"/>
      <c r="L3347"/>
      <c r="M3347"/>
      <c r="N3347"/>
      <c r="O3347"/>
    </row>
    <row r="3348" spans="1:15" hidden="1" x14ac:dyDescent="0.25">
      <c r="A3348" t="s">
        <v>59</v>
      </c>
      <c r="B3348" t="s">
        <v>115</v>
      </c>
      <c r="C3348" t="b">
        <v>0</v>
      </c>
      <c r="D3348" s="1">
        <v>40544</v>
      </c>
      <c r="E3348">
        <v>5</v>
      </c>
      <c r="F3348"/>
      <c r="G3348"/>
      <c r="H3348"/>
      <c r="I3348"/>
      <c r="J3348"/>
      <c r="K3348"/>
      <c r="L3348"/>
      <c r="M3348"/>
      <c r="N3348"/>
      <c r="O3348"/>
    </row>
    <row r="3349" spans="1:15" hidden="1" x14ac:dyDescent="0.25">
      <c r="A3349" t="s">
        <v>60</v>
      </c>
      <c r="B3349" t="s">
        <v>115</v>
      </c>
      <c r="C3349" t="b">
        <v>0</v>
      </c>
      <c r="D3349" s="1">
        <v>40544</v>
      </c>
      <c r="E3349">
        <v>5</v>
      </c>
      <c r="F3349"/>
      <c r="G3349"/>
      <c r="H3349"/>
      <c r="I3349"/>
      <c r="J3349"/>
      <c r="K3349"/>
      <c r="L3349"/>
      <c r="M3349"/>
      <c r="N3349"/>
      <c r="O3349"/>
    </row>
    <row r="3350" spans="1:15" hidden="1" x14ac:dyDescent="0.25">
      <c r="A3350" t="s">
        <v>64</v>
      </c>
      <c r="B3350" t="s">
        <v>115</v>
      </c>
      <c r="C3350" t="b">
        <v>0</v>
      </c>
      <c r="D3350" s="1">
        <v>40544</v>
      </c>
      <c r="E3350">
        <v>5</v>
      </c>
      <c r="F3350"/>
      <c r="G3350"/>
      <c r="H3350"/>
      <c r="I3350"/>
      <c r="J3350"/>
      <c r="K3350"/>
      <c r="L3350"/>
      <c r="M3350"/>
      <c r="N3350"/>
      <c r="O3350"/>
    </row>
    <row r="3351" spans="1:15" hidden="1" x14ac:dyDescent="0.25">
      <c r="A3351" t="s">
        <v>69</v>
      </c>
      <c r="B3351" t="s">
        <v>115</v>
      </c>
      <c r="C3351" t="b">
        <v>0</v>
      </c>
      <c r="D3351" s="1">
        <v>40544</v>
      </c>
      <c r="E3351">
        <v>5</v>
      </c>
      <c r="F3351"/>
      <c r="G3351"/>
      <c r="H3351"/>
      <c r="I3351"/>
      <c r="J3351"/>
      <c r="K3351"/>
      <c r="L3351"/>
      <c r="M3351"/>
      <c r="N3351"/>
      <c r="O3351"/>
    </row>
    <row r="3352" spans="1:15" hidden="1" x14ac:dyDescent="0.25">
      <c r="A3352" t="s">
        <v>71</v>
      </c>
      <c r="B3352" t="s">
        <v>115</v>
      </c>
      <c r="C3352" t="b">
        <v>0</v>
      </c>
      <c r="D3352" s="1">
        <v>40544</v>
      </c>
      <c r="E3352">
        <v>5</v>
      </c>
      <c r="F3352"/>
      <c r="G3352"/>
      <c r="H3352"/>
      <c r="I3352"/>
      <c r="J3352"/>
      <c r="K3352"/>
      <c r="L3352"/>
      <c r="M3352"/>
      <c r="N3352"/>
      <c r="O3352"/>
    </row>
    <row r="3353" spans="1:15" hidden="1" x14ac:dyDescent="0.25">
      <c r="A3353" t="s">
        <v>74</v>
      </c>
      <c r="B3353" t="s">
        <v>115</v>
      </c>
      <c r="C3353" t="b">
        <v>0</v>
      </c>
      <c r="D3353" s="1">
        <v>40544</v>
      </c>
      <c r="E3353">
        <v>5</v>
      </c>
      <c r="F3353"/>
      <c r="G3353"/>
      <c r="H3353"/>
      <c r="I3353"/>
      <c r="J3353"/>
      <c r="K3353"/>
      <c r="L3353"/>
      <c r="M3353"/>
      <c r="N3353"/>
      <c r="O3353"/>
    </row>
    <row r="3354" spans="1:15" hidden="1" x14ac:dyDescent="0.25">
      <c r="A3354" t="s">
        <v>76</v>
      </c>
      <c r="B3354" t="s">
        <v>115</v>
      </c>
      <c r="C3354" t="b">
        <v>0</v>
      </c>
      <c r="D3354" s="1">
        <v>40544</v>
      </c>
      <c r="E3354">
        <v>1E-3</v>
      </c>
      <c r="F3354"/>
      <c r="G3354"/>
      <c r="H3354"/>
      <c r="I3354"/>
      <c r="J3354"/>
      <c r="K3354"/>
      <c r="L3354"/>
      <c r="M3354"/>
      <c r="N3354"/>
      <c r="O3354"/>
    </row>
    <row r="3355" spans="1:15" hidden="1" x14ac:dyDescent="0.25">
      <c r="A3355" t="s">
        <v>77</v>
      </c>
      <c r="B3355" t="s">
        <v>115</v>
      </c>
      <c r="C3355" t="b">
        <v>0</v>
      </c>
      <c r="D3355" s="1">
        <v>40544</v>
      </c>
      <c r="E3355">
        <v>5</v>
      </c>
      <c r="F3355"/>
      <c r="G3355"/>
      <c r="H3355"/>
      <c r="I3355"/>
      <c r="J3355"/>
      <c r="K3355"/>
      <c r="L3355"/>
      <c r="M3355"/>
      <c r="N3355"/>
      <c r="O3355"/>
    </row>
    <row r="3356" spans="1:15" hidden="1" x14ac:dyDescent="0.25">
      <c r="A3356" t="s">
        <v>86</v>
      </c>
      <c r="B3356" t="s">
        <v>115</v>
      </c>
      <c r="C3356" t="b">
        <v>0</v>
      </c>
      <c r="D3356" s="1">
        <v>40544</v>
      </c>
      <c r="E3356">
        <v>5</v>
      </c>
      <c r="F3356"/>
      <c r="G3356"/>
      <c r="H3356"/>
      <c r="I3356"/>
      <c r="J3356"/>
      <c r="K3356"/>
      <c r="L3356"/>
      <c r="M3356"/>
      <c r="N3356"/>
      <c r="O3356"/>
    </row>
    <row r="3357" spans="1:15" hidden="1" x14ac:dyDescent="0.25">
      <c r="A3357" t="s">
        <v>88</v>
      </c>
      <c r="B3357" t="s">
        <v>115</v>
      </c>
      <c r="C3357" t="b">
        <v>0</v>
      </c>
      <c r="D3357" s="1">
        <v>40544</v>
      </c>
      <c r="E3357">
        <v>5</v>
      </c>
      <c r="F3357"/>
      <c r="G3357"/>
      <c r="H3357"/>
      <c r="I3357"/>
      <c r="J3357"/>
      <c r="K3357"/>
      <c r="L3357"/>
      <c r="M3357"/>
      <c r="N3357"/>
      <c r="O3357"/>
    </row>
    <row r="3358" spans="1:15" hidden="1" x14ac:dyDescent="0.25">
      <c r="A3358" t="s">
        <v>90</v>
      </c>
      <c r="B3358" t="s">
        <v>115</v>
      </c>
      <c r="C3358" t="b">
        <v>0</v>
      </c>
      <c r="D3358" s="1">
        <v>40544</v>
      </c>
      <c r="E3358">
        <v>5</v>
      </c>
      <c r="F3358"/>
      <c r="G3358"/>
      <c r="H3358"/>
      <c r="I3358"/>
      <c r="J3358"/>
      <c r="K3358"/>
      <c r="L3358"/>
      <c r="M3358"/>
      <c r="N3358"/>
      <c r="O3358"/>
    </row>
    <row r="3359" spans="1:15" hidden="1" x14ac:dyDescent="0.25">
      <c r="A3359" t="s">
        <v>95</v>
      </c>
      <c r="B3359" t="s">
        <v>115</v>
      </c>
      <c r="C3359" t="b">
        <v>0</v>
      </c>
      <c r="D3359" s="1">
        <v>40544</v>
      </c>
      <c r="E3359">
        <v>5</v>
      </c>
      <c r="F3359"/>
      <c r="G3359"/>
      <c r="H3359"/>
      <c r="I3359"/>
      <c r="J3359"/>
      <c r="K3359"/>
      <c r="L3359"/>
      <c r="M3359"/>
      <c r="N3359"/>
      <c r="O3359"/>
    </row>
    <row r="3360" spans="1:15" hidden="1" x14ac:dyDescent="0.25">
      <c r="A3360" t="s">
        <v>99</v>
      </c>
      <c r="B3360" t="s">
        <v>114</v>
      </c>
      <c r="C3360" t="b">
        <v>0</v>
      </c>
      <c r="D3360" s="1">
        <v>40544</v>
      </c>
      <c r="E3360">
        <v>6</v>
      </c>
      <c r="F3360"/>
      <c r="G3360"/>
      <c r="H3360"/>
      <c r="I3360"/>
      <c r="J3360"/>
      <c r="K3360"/>
      <c r="L3360"/>
      <c r="M3360"/>
      <c r="N3360"/>
      <c r="O3360"/>
    </row>
    <row r="3361" spans="1:15" hidden="1" x14ac:dyDescent="0.25">
      <c r="A3361" t="s">
        <v>100</v>
      </c>
      <c r="B3361" t="s">
        <v>117</v>
      </c>
      <c r="C3361" t="b">
        <v>0</v>
      </c>
      <c r="D3361" s="1">
        <v>40575</v>
      </c>
      <c r="E3361" s="2">
        <v>-95</v>
      </c>
      <c r="F3361"/>
      <c r="G3361"/>
      <c r="H3361"/>
      <c r="I3361"/>
      <c r="J3361"/>
      <c r="K3361"/>
      <c r="L3361"/>
      <c r="M3361"/>
      <c r="N3361"/>
      <c r="O3361"/>
    </row>
    <row r="3362" spans="1:15" hidden="1" x14ac:dyDescent="0.25">
      <c r="A3362" t="s">
        <v>101</v>
      </c>
      <c r="B3362" t="s">
        <v>117</v>
      </c>
      <c r="C3362" t="b">
        <v>0</v>
      </c>
      <c r="D3362" s="1">
        <v>40575</v>
      </c>
      <c r="E3362" s="2">
        <v>-4</v>
      </c>
      <c r="F3362"/>
      <c r="G3362"/>
      <c r="H3362"/>
      <c r="I3362"/>
      <c r="J3362"/>
      <c r="K3362"/>
      <c r="L3362"/>
      <c r="M3362"/>
      <c r="N3362"/>
      <c r="O3362"/>
    </row>
    <row r="3363" spans="1:15" hidden="1" x14ac:dyDescent="0.25">
      <c r="A3363" t="s">
        <v>25</v>
      </c>
      <c r="B3363" t="s">
        <v>115</v>
      </c>
      <c r="C3363" t="b">
        <v>0</v>
      </c>
      <c r="D3363" s="1">
        <v>40575</v>
      </c>
      <c r="E3363">
        <v>5</v>
      </c>
      <c r="F3363"/>
      <c r="G3363"/>
      <c r="H3363"/>
      <c r="I3363"/>
      <c r="J3363"/>
      <c r="K3363"/>
      <c r="L3363"/>
      <c r="M3363"/>
      <c r="N3363"/>
      <c r="O3363"/>
    </row>
    <row r="3364" spans="1:15" hidden="1" x14ac:dyDescent="0.25">
      <c r="A3364" t="s">
        <v>26</v>
      </c>
      <c r="B3364" t="s">
        <v>115</v>
      </c>
      <c r="C3364" t="b">
        <v>0</v>
      </c>
      <c r="D3364" s="1">
        <v>40575</v>
      </c>
      <c r="E3364">
        <v>5</v>
      </c>
      <c r="F3364"/>
      <c r="G3364"/>
      <c r="H3364"/>
      <c r="I3364"/>
      <c r="J3364"/>
      <c r="K3364"/>
      <c r="L3364"/>
      <c r="M3364"/>
      <c r="N3364"/>
      <c r="O3364"/>
    </row>
    <row r="3365" spans="1:15" hidden="1" x14ac:dyDescent="0.25">
      <c r="A3365" t="s">
        <v>28</v>
      </c>
      <c r="B3365" t="s">
        <v>115</v>
      </c>
      <c r="C3365" t="b">
        <v>0</v>
      </c>
      <c r="D3365" s="1">
        <v>40575</v>
      </c>
      <c r="E3365">
        <v>5</v>
      </c>
      <c r="F3365"/>
      <c r="G3365"/>
      <c r="H3365"/>
      <c r="I3365"/>
      <c r="J3365"/>
      <c r="K3365"/>
      <c r="L3365"/>
      <c r="M3365"/>
      <c r="N3365"/>
      <c r="O3365"/>
    </row>
    <row r="3366" spans="1:15" hidden="1" x14ac:dyDescent="0.25">
      <c r="A3366" t="s">
        <v>29</v>
      </c>
      <c r="B3366" t="s">
        <v>115</v>
      </c>
      <c r="C3366" t="b">
        <v>0</v>
      </c>
      <c r="D3366" s="1">
        <v>40575</v>
      </c>
      <c r="E3366">
        <v>5</v>
      </c>
      <c r="F3366"/>
      <c r="G3366"/>
      <c r="H3366"/>
      <c r="I3366"/>
      <c r="J3366"/>
      <c r="K3366"/>
      <c r="L3366"/>
      <c r="M3366"/>
      <c r="N3366"/>
      <c r="O3366"/>
    </row>
    <row r="3367" spans="1:15" hidden="1" x14ac:dyDescent="0.25">
      <c r="A3367" t="s">
        <v>32</v>
      </c>
      <c r="B3367" t="s">
        <v>115</v>
      </c>
      <c r="C3367" t="b">
        <v>0</v>
      </c>
      <c r="D3367" s="1">
        <v>40575</v>
      </c>
      <c r="E3367">
        <v>5</v>
      </c>
      <c r="F3367"/>
      <c r="G3367"/>
      <c r="H3367"/>
      <c r="I3367"/>
      <c r="J3367"/>
      <c r="K3367"/>
      <c r="L3367"/>
      <c r="M3367"/>
      <c r="N3367"/>
      <c r="O3367"/>
    </row>
    <row r="3368" spans="1:15" hidden="1" x14ac:dyDescent="0.25">
      <c r="A3368" t="s">
        <v>33</v>
      </c>
      <c r="B3368" t="s">
        <v>115</v>
      </c>
      <c r="C3368" t="b">
        <v>0</v>
      </c>
      <c r="D3368" s="1">
        <v>40575</v>
      </c>
      <c r="E3368">
        <v>5</v>
      </c>
      <c r="F3368"/>
      <c r="G3368"/>
      <c r="H3368"/>
      <c r="I3368"/>
      <c r="J3368"/>
      <c r="K3368"/>
      <c r="L3368"/>
      <c r="M3368"/>
      <c r="N3368"/>
      <c r="O3368"/>
    </row>
    <row r="3369" spans="1:15" hidden="1" x14ac:dyDescent="0.25">
      <c r="A3369" t="s">
        <v>34</v>
      </c>
      <c r="B3369" t="s">
        <v>115</v>
      </c>
      <c r="C3369" t="b">
        <v>0</v>
      </c>
      <c r="D3369" s="1">
        <v>40575</v>
      </c>
      <c r="E3369">
        <v>5</v>
      </c>
      <c r="F3369"/>
      <c r="G3369"/>
      <c r="H3369"/>
      <c r="I3369"/>
      <c r="J3369"/>
      <c r="K3369"/>
      <c r="L3369"/>
      <c r="M3369"/>
      <c r="N3369"/>
      <c r="O3369"/>
    </row>
    <row r="3370" spans="1:15" hidden="1" x14ac:dyDescent="0.25">
      <c r="A3370" t="s">
        <v>37</v>
      </c>
      <c r="B3370" t="s">
        <v>115</v>
      </c>
      <c r="C3370" t="b">
        <v>0</v>
      </c>
      <c r="D3370" s="1">
        <v>40575</v>
      </c>
      <c r="E3370">
        <v>5</v>
      </c>
      <c r="F3370"/>
      <c r="G3370"/>
      <c r="H3370"/>
      <c r="I3370"/>
      <c r="J3370"/>
      <c r="K3370"/>
      <c r="L3370"/>
      <c r="M3370"/>
      <c r="N3370"/>
      <c r="O3370"/>
    </row>
    <row r="3371" spans="1:15" hidden="1" x14ac:dyDescent="0.25">
      <c r="A3371" t="s">
        <v>39</v>
      </c>
      <c r="B3371" t="s">
        <v>115</v>
      </c>
      <c r="C3371" t="b">
        <v>0</v>
      </c>
      <c r="D3371" s="1">
        <v>40575</v>
      </c>
      <c r="E3371">
        <v>5</v>
      </c>
      <c r="F3371"/>
      <c r="G3371"/>
      <c r="H3371"/>
      <c r="I3371"/>
      <c r="J3371"/>
      <c r="K3371"/>
      <c r="L3371"/>
      <c r="M3371"/>
      <c r="N3371"/>
      <c r="O3371"/>
    </row>
    <row r="3372" spans="1:15" hidden="1" x14ac:dyDescent="0.25">
      <c r="A3372" t="s">
        <v>41</v>
      </c>
      <c r="B3372" t="s">
        <v>115</v>
      </c>
      <c r="C3372" t="b">
        <v>0</v>
      </c>
      <c r="D3372" s="1">
        <v>40575</v>
      </c>
      <c r="E3372">
        <v>5</v>
      </c>
      <c r="F3372"/>
      <c r="G3372"/>
      <c r="H3372"/>
      <c r="I3372"/>
      <c r="J3372"/>
      <c r="K3372"/>
      <c r="L3372"/>
      <c r="M3372"/>
      <c r="N3372"/>
      <c r="O3372"/>
    </row>
    <row r="3373" spans="1:15" hidden="1" x14ac:dyDescent="0.25">
      <c r="A3373" t="s">
        <v>59</v>
      </c>
      <c r="B3373" t="s">
        <v>115</v>
      </c>
      <c r="C3373" t="b">
        <v>0</v>
      </c>
      <c r="D3373" s="1">
        <v>40575</v>
      </c>
      <c r="E3373">
        <v>5</v>
      </c>
      <c r="F3373"/>
      <c r="G3373"/>
      <c r="H3373"/>
      <c r="I3373"/>
      <c r="J3373"/>
      <c r="K3373"/>
      <c r="L3373"/>
      <c r="M3373"/>
      <c r="N3373"/>
      <c r="O3373"/>
    </row>
    <row r="3374" spans="1:15" hidden="1" x14ac:dyDescent="0.25">
      <c r="A3374" t="s">
        <v>60</v>
      </c>
      <c r="B3374" t="s">
        <v>115</v>
      </c>
      <c r="C3374" t="b">
        <v>0</v>
      </c>
      <c r="D3374" s="1">
        <v>40575</v>
      </c>
      <c r="E3374">
        <v>5</v>
      </c>
      <c r="F3374"/>
      <c r="G3374"/>
      <c r="H3374"/>
      <c r="I3374"/>
      <c r="J3374"/>
      <c r="K3374"/>
      <c r="L3374"/>
      <c r="M3374"/>
      <c r="N3374"/>
      <c r="O3374"/>
    </row>
    <row r="3375" spans="1:15" hidden="1" x14ac:dyDescent="0.25">
      <c r="A3375" t="s">
        <v>64</v>
      </c>
      <c r="B3375" t="s">
        <v>115</v>
      </c>
      <c r="C3375" t="b">
        <v>0</v>
      </c>
      <c r="D3375" s="1">
        <v>40575</v>
      </c>
      <c r="E3375">
        <v>5</v>
      </c>
      <c r="F3375"/>
      <c r="G3375"/>
      <c r="H3375"/>
      <c r="I3375"/>
      <c r="J3375"/>
      <c r="K3375"/>
      <c r="L3375"/>
      <c r="M3375"/>
      <c r="N3375"/>
      <c r="O3375"/>
    </row>
    <row r="3376" spans="1:15" hidden="1" x14ac:dyDescent="0.25">
      <c r="A3376" t="s">
        <v>69</v>
      </c>
      <c r="B3376" t="s">
        <v>115</v>
      </c>
      <c r="C3376" t="b">
        <v>0</v>
      </c>
      <c r="D3376" s="1">
        <v>40575</v>
      </c>
      <c r="E3376">
        <v>5</v>
      </c>
      <c r="F3376"/>
      <c r="G3376"/>
      <c r="H3376"/>
      <c r="I3376"/>
      <c r="J3376"/>
      <c r="K3376"/>
      <c r="L3376"/>
      <c r="M3376"/>
      <c r="N3376"/>
      <c r="O3376"/>
    </row>
    <row r="3377" spans="1:15" hidden="1" x14ac:dyDescent="0.25">
      <c r="A3377" t="s">
        <v>71</v>
      </c>
      <c r="B3377" t="s">
        <v>115</v>
      </c>
      <c r="C3377" t="b">
        <v>0</v>
      </c>
      <c r="D3377" s="1">
        <v>40575</v>
      </c>
      <c r="E3377">
        <v>5</v>
      </c>
      <c r="F3377"/>
      <c r="G3377"/>
      <c r="H3377"/>
      <c r="I3377"/>
      <c r="J3377"/>
      <c r="K3377"/>
      <c r="L3377"/>
      <c r="M3377"/>
      <c r="N3377"/>
      <c r="O3377"/>
    </row>
    <row r="3378" spans="1:15" hidden="1" x14ac:dyDescent="0.25">
      <c r="A3378" t="s">
        <v>73</v>
      </c>
      <c r="B3378" t="s">
        <v>115</v>
      </c>
      <c r="C3378" t="b">
        <v>0</v>
      </c>
      <c r="D3378" s="1">
        <v>40575</v>
      </c>
      <c r="E3378">
        <v>5</v>
      </c>
      <c r="F3378"/>
      <c r="G3378"/>
      <c r="H3378"/>
      <c r="I3378"/>
      <c r="J3378"/>
      <c r="K3378"/>
      <c r="L3378"/>
      <c r="M3378"/>
      <c r="N3378"/>
      <c r="O3378"/>
    </row>
    <row r="3379" spans="1:15" hidden="1" x14ac:dyDescent="0.25">
      <c r="A3379" t="s">
        <v>74</v>
      </c>
      <c r="B3379" t="s">
        <v>115</v>
      </c>
      <c r="C3379" t="b">
        <v>0</v>
      </c>
      <c r="D3379" s="1">
        <v>40575</v>
      </c>
      <c r="E3379">
        <v>5</v>
      </c>
      <c r="F3379"/>
      <c r="G3379"/>
      <c r="H3379"/>
      <c r="I3379"/>
      <c r="J3379"/>
      <c r="K3379"/>
      <c r="L3379"/>
      <c r="M3379"/>
      <c r="N3379"/>
      <c r="O3379"/>
    </row>
    <row r="3380" spans="1:15" hidden="1" x14ac:dyDescent="0.25">
      <c r="A3380" t="s">
        <v>76</v>
      </c>
      <c r="B3380" t="s">
        <v>115</v>
      </c>
      <c r="C3380" t="b">
        <v>0</v>
      </c>
      <c r="D3380" s="1">
        <v>40575</v>
      </c>
      <c r="E3380">
        <v>1E-3</v>
      </c>
      <c r="F3380"/>
      <c r="G3380"/>
      <c r="H3380"/>
      <c r="I3380"/>
      <c r="J3380"/>
      <c r="K3380"/>
      <c r="L3380"/>
      <c r="M3380"/>
      <c r="N3380"/>
      <c r="O3380"/>
    </row>
    <row r="3381" spans="1:15" hidden="1" x14ac:dyDescent="0.25">
      <c r="A3381" t="s">
        <v>86</v>
      </c>
      <c r="B3381" t="s">
        <v>115</v>
      </c>
      <c r="C3381" t="b">
        <v>0</v>
      </c>
      <c r="D3381" s="1">
        <v>40575</v>
      </c>
      <c r="E3381">
        <v>5</v>
      </c>
      <c r="F3381"/>
      <c r="G3381"/>
      <c r="H3381"/>
      <c r="I3381"/>
      <c r="J3381"/>
      <c r="K3381"/>
      <c r="L3381"/>
      <c r="M3381"/>
      <c r="N3381"/>
      <c r="O3381"/>
    </row>
    <row r="3382" spans="1:15" hidden="1" x14ac:dyDescent="0.25">
      <c r="A3382" t="s">
        <v>88</v>
      </c>
      <c r="B3382" t="s">
        <v>115</v>
      </c>
      <c r="C3382" t="b">
        <v>0</v>
      </c>
      <c r="D3382" s="1">
        <v>40575</v>
      </c>
      <c r="E3382">
        <v>5</v>
      </c>
      <c r="F3382"/>
      <c r="G3382"/>
      <c r="H3382"/>
      <c r="I3382"/>
      <c r="J3382"/>
      <c r="K3382"/>
      <c r="L3382"/>
      <c r="M3382"/>
      <c r="N3382"/>
      <c r="O3382"/>
    </row>
    <row r="3383" spans="1:15" hidden="1" x14ac:dyDescent="0.25">
      <c r="A3383" t="s">
        <v>90</v>
      </c>
      <c r="B3383" t="s">
        <v>115</v>
      </c>
      <c r="C3383" t="b">
        <v>0</v>
      </c>
      <c r="D3383" s="1">
        <v>40575</v>
      </c>
      <c r="E3383">
        <v>5</v>
      </c>
      <c r="F3383"/>
      <c r="G3383"/>
      <c r="H3383"/>
      <c r="I3383"/>
      <c r="J3383"/>
      <c r="K3383"/>
      <c r="L3383"/>
      <c r="M3383"/>
      <c r="N3383"/>
      <c r="O3383"/>
    </row>
    <row r="3384" spans="1:15" hidden="1" x14ac:dyDescent="0.25">
      <c r="A3384" t="s">
        <v>95</v>
      </c>
      <c r="B3384" t="s">
        <v>115</v>
      </c>
      <c r="C3384" t="b">
        <v>0</v>
      </c>
      <c r="D3384" s="1">
        <v>40575</v>
      </c>
      <c r="E3384">
        <v>5</v>
      </c>
      <c r="F3384"/>
      <c r="G3384"/>
      <c r="H3384"/>
      <c r="I3384"/>
      <c r="J3384"/>
      <c r="K3384"/>
      <c r="L3384"/>
      <c r="M3384"/>
      <c r="N3384"/>
      <c r="O3384"/>
    </row>
    <row r="3385" spans="1:15" hidden="1" x14ac:dyDescent="0.25">
      <c r="A3385" t="s">
        <v>99</v>
      </c>
      <c r="B3385" t="s">
        <v>114</v>
      </c>
      <c r="C3385" t="b">
        <v>0</v>
      </c>
      <c r="D3385" s="1">
        <v>40575</v>
      </c>
      <c r="E3385">
        <v>13</v>
      </c>
      <c r="F3385"/>
      <c r="G3385"/>
      <c r="H3385"/>
      <c r="I3385"/>
      <c r="J3385"/>
      <c r="K3385"/>
      <c r="L3385"/>
      <c r="M3385"/>
      <c r="N3385"/>
      <c r="O3385"/>
    </row>
    <row r="3386" spans="1:15" hidden="1" x14ac:dyDescent="0.25">
      <c r="A3386" t="s">
        <v>100</v>
      </c>
      <c r="B3386" t="s">
        <v>117</v>
      </c>
      <c r="C3386" t="b">
        <v>0</v>
      </c>
      <c r="D3386" s="1">
        <v>40603</v>
      </c>
      <c r="E3386" s="2">
        <v>-62</v>
      </c>
      <c r="F3386"/>
      <c r="G3386"/>
      <c r="H3386"/>
      <c r="I3386"/>
      <c r="J3386"/>
      <c r="K3386"/>
      <c r="L3386"/>
      <c r="M3386"/>
      <c r="N3386"/>
      <c r="O3386"/>
    </row>
    <row r="3387" spans="1:15" hidden="1" x14ac:dyDescent="0.25">
      <c r="A3387" t="s">
        <v>102</v>
      </c>
      <c r="B3387" t="s">
        <v>117</v>
      </c>
      <c r="C3387" t="b">
        <v>0</v>
      </c>
      <c r="D3387" s="1">
        <v>40603</v>
      </c>
      <c r="E3387" s="2">
        <v>-0.5</v>
      </c>
      <c r="F3387"/>
      <c r="G3387"/>
      <c r="H3387"/>
      <c r="I3387"/>
      <c r="J3387"/>
      <c r="K3387"/>
      <c r="L3387"/>
      <c r="M3387"/>
      <c r="N3387"/>
      <c r="O3387"/>
    </row>
    <row r="3388" spans="1:15" hidden="1" x14ac:dyDescent="0.25">
      <c r="A3388" t="s">
        <v>101</v>
      </c>
      <c r="B3388" t="s">
        <v>117</v>
      </c>
      <c r="C3388" t="b">
        <v>0</v>
      </c>
      <c r="D3388" s="1">
        <v>40603</v>
      </c>
      <c r="E3388" s="2">
        <v>-8.75</v>
      </c>
      <c r="F3388"/>
      <c r="G3388"/>
      <c r="H3388"/>
      <c r="I3388"/>
      <c r="J3388"/>
      <c r="K3388"/>
      <c r="L3388"/>
      <c r="M3388"/>
      <c r="N3388"/>
      <c r="O3388"/>
    </row>
    <row r="3389" spans="1:15" hidden="1" x14ac:dyDescent="0.25">
      <c r="A3389" t="s">
        <v>25</v>
      </c>
      <c r="B3389" t="s">
        <v>115</v>
      </c>
      <c r="C3389" t="b">
        <v>0</v>
      </c>
      <c r="D3389" s="1">
        <v>40603</v>
      </c>
      <c r="E3389">
        <v>5</v>
      </c>
      <c r="F3389"/>
      <c r="G3389"/>
      <c r="H3389"/>
      <c r="I3389"/>
      <c r="J3389"/>
      <c r="K3389"/>
      <c r="L3389"/>
      <c r="M3389"/>
      <c r="N3389"/>
      <c r="O3389"/>
    </row>
    <row r="3390" spans="1:15" hidden="1" x14ac:dyDescent="0.25">
      <c r="A3390" t="s">
        <v>26</v>
      </c>
      <c r="B3390" t="s">
        <v>115</v>
      </c>
      <c r="C3390" t="b">
        <v>0</v>
      </c>
      <c r="D3390" s="1">
        <v>40603</v>
      </c>
      <c r="E3390">
        <v>5</v>
      </c>
      <c r="F3390"/>
      <c r="G3390"/>
      <c r="H3390"/>
      <c r="I3390"/>
      <c r="J3390"/>
      <c r="K3390"/>
      <c r="L3390"/>
      <c r="M3390"/>
      <c r="N3390"/>
      <c r="O3390"/>
    </row>
    <row r="3391" spans="1:15" hidden="1" x14ac:dyDescent="0.25">
      <c r="A3391" t="s">
        <v>28</v>
      </c>
      <c r="B3391" t="s">
        <v>115</v>
      </c>
      <c r="C3391" t="b">
        <v>0</v>
      </c>
      <c r="D3391" s="1">
        <v>40603</v>
      </c>
      <c r="E3391">
        <v>5</v>
      </c>
      <c r="F3391"/>
      <c r="G3391"/>
      <c r="H3391"/>
      <c r="I3391"/>
      <c r="J3391"/>
      <c r="K3391"/>
      <c r="L3391"/>
      <c r="M3391"/>
      <c r="N3391"/>
      <c r="O3391"/>
    </row>
    <row r="3392" spans="1:15" hidden="1" x14ac:dyDescent="0.25">
      <c r="A3392" t="s">
        <v>33</v>
      </c>
      <c r="B3392" t="s">
        <v>115</v>
      </c>
      <c r="C3392" t="b">
        <v>0</v>
      </c>
      <c r="D3392" s="1">
        <v>40603</v>
      </c>
      <c r="E3392">
        <v>5</v>
      </c>
      <c r="F3392"/>
      <c r="G3392"/>
      <c r="H3392"/>
      <c r="I3392"/>
      <c r="J3392"/>
      <c r="K3392"/>
      <c r="L3392"/>
      <c r="M3392"/>
      <c r="N3392"/>
      <c r="O3392"/>
    </row>
    <row r="3393" spans="1:15" hidden="1" x14ac:dyDescent="0.25">
      <c r="A3393" t="s">
        <v>34</v>
      </c>
      <c r="B3393" t="s">
        <v>115</v>
      </c>
      <c r="C3393" t="b">
        <v>0</v>
      </c>
      <c r="D3393" s="1">
        <v>40603</v>
      </c>
      <c r="E3393">
        <v>5</v>
      </c>
      <c r="F3393"/>
      <c r="G3393"/>
      <c r="H3393"/>
      <c r="I3393"/>
      <c r="J3393"/>
      <c r="K3393"/>
      <c r="L3393"/>
      <c r="M3393"/>
      <c r="N3393"/>
      <c r="O3393"/>
    </row>
    <row r="3394" spans="1:15" hidden="1" x14ac:dyDescent="0.25">
      <c r="A3394" t="s">
        <v>37</v>
      </c>
      <c r="B3394" t="s">
        <v>115</v>
      </c>
      <c r="C3394" t="b">
        <v>0</v>
      </c>
      <c r="D3394" s="1">
        <v>40603</v>
      </c>
      <c r="E3394">
        <v>5</v>
      </c>
      <c r="F3394"/>
      <c r="G3394"/>
      <c r="H3394"/>
      <c r="I3394"/>
      <c r="J3394"/>
      <c r="K3394"/>
      <c r="L3394"/>
      <c r="M3394"/>
      <c r="N3394"/>
      <c r="O3394"/>
    </row>
    <row r="3395" spans="1:15" hidden="1" x14ac:dyDescent="0.25">
      <c r="A3395" t="s">
        <v>39</v>
      </c>
      <c r="B3395" t="s">
        <v>115</v>
      </c>
      <c r="C3395" t="b">
        <v>0</v>
      </c>
      <c r="D3395" s="1">
        <v>40603</v>
      </c>
      <c r="E3395">
        <v>5</v>
      </c>
      <c r="F3395"/>
      <c r="G3395"/>
      <c r="H3395"/>
      <c r="I3395"/>
      <c r="J3395"/>
      <c r="K3395"/>
      <c r="L3395"/>
      <c r="M3395"/>
      <c r="N3395"/>
      <c r="O3395"/>
    </row>
    <row r="3396" spans="1:15" hidden="1" x14ac:dyDescent="0.25">
      <c r="A3396" t="s">
        <v>41</v>
      </c>
      <c r="B3396" t="s">
        <v>115</v>
      </c>
      <c r="C3396" t="b">
        <v>0</v>
      </c>
      <c r="D3396" s="1">
        <v>40603</v>
      </c>
      <c r="E3396">
        <v>5</v>
      </c>
      <c r="F3396"/>
      <c r="G3396"/>
      <c r="H3396"/>
      <c r="I3396"/>
      <c r="J3396"/>
      <c r="K3396"/>
      <c r="L3396"/>
      <c r="M3396"/>
      <c r="N3396"/>
      <c r="O3396"/>
    </row>
    <row r="3397" spans="1:15" hidden="1" x14ac:dyDescent="0.25">
      <c r="A3397" t="s">
        <v>59</v>
      </c>
      <c r="B3397" t="s">
        <v>115</v>
      </c>
      <c r="C3397" t="b">
        <v>0</v>
      </c>
      <c r="D3397" s="1">
        <v>40603</v>
      </c>
      <c r="E3397">
        <v>5</v>
      </c>
      <c r="F3397"/>
      <c r="G3397"/>
      <c r="H3397"/>
      <c r="I3397"/>
      <c r="J3397"/>
      <c r="K3397"/>
      <c r="L3397"/>
      <c r="M3397"/>
      <c r="N3397"/>
      <c r="O3397"/>
    </row>
    <row r="3398" spans="1:15" hidden="1" x14ac:dyDescent="0.25">
      <c r="A3398" t="s">
        <v>60</v>
      </c>
      <c r="B3398" t="s">
        <v>115</v>
      </c>
      <c r="C3398" t="b">
        <v>0</v>
      </c>
      <c r="D3398" s="1">
        <v>40603</v>
      </c>
      <c r="E3398">
        <v>5</v>
      </c>
      <c r="F3398"/>
      <c r="G3398"/>
      <c r="H3398"/>
      <c r="I3398"/>
      <c r="J3398"/>
      <c r="K3398"/>
      <c r="L3398"/>
      <c r="M3398"/>
      <c r="N3398"/>
      <c r="O3398"/>
    </row>
    <row r="3399" spans="1:15" hidden="1" x14ac:dyDescent="0.25">
      <c r="A3399" t="s">
        <v>71</v>
      </c>
      <c r="B3399" t="s">
        <v>115</v>
      </c>
      <c r="C3399" t="b">
        <v>0</v>
      </c>
      <c r="D3399" s="1">
        <v>40603</v>
      </c>
      <c r="E3399">
        <v>5</v>
      </c>
      <c r="F3399"/>
      <c r="G3399"/>
      <c r="H3399"/>
      <c r="I3399"/>
      <c r="J3399"/>
      <c r="K3399"/>
      <c r="L3399"/>
      <c r="M3399"/>
      <c r="N3399"/>
      <c r="O3399"/>
    </row>
    <row r="3400" spans="1:15" hidden="1" x14ac:dyDescent="0.25">
      <c r="A3400" t="s">
        <v>73</v>
      </c>
      <c r="B3400" t="s">
        <v>115</v>
      </c>
      <c r="C3400" t="b">
        <v>0</v>
      </c>
      <c r="D3400" s="1">
        <v>40603</v>
      </c>
      <c r="E3400">
        <v>5</v>
      </c>
      <c r="F3400"/>
      <c r="G3400"/>
      <c r="H3400"/>
      <c r="I3400"/>
      <c r="J3400"/>
      <c r="K3400"/>
      <c r="L3400"/>
      <c r="M3400"/>
      <c r="N3400"/>
      <c r="O3400"/>
    </row>
    <row r="3401" spans="1:15" hidden="1" x14ac:dyDescent="0.25">
      <c r="A3401" t="s">
        <v>74</v>
      </c>
      <c r="B3401" t="s">
        <v>115</v>
      </c>
      <c r="C3401" t="b">
        <v>0</v>
      </c>
      <c r="D3401" s="1">
        <v>40603</v>
      </c>
      <c r="E3401">
        <v>5</v>
      </c>
      <c r="F3401"/>
      <c r="G3401"/>
      <c r="H3401"/>
      <c r="I3401"/>
      <c r="J3401"/>
      <c r="K3401"/>
      <c r="L3401"/>
      <c r="M3401"/>
      <c r="N3401"/>
      <c r="O3401"/>
    </row>
    <row r="3402" spans="1:15" hidden="1" x14ac:dyDescent="0.25">
      <c r="A3402" t="s">
        <v>76</v>
      </c>
      <c r="B3402" t="s">
        <v>115</v>
      </c>
      <c r="C3402" t="b">
        <v>0</v>
      </c>
      <c r="D3402" s="1">
        <v>40603</v>
      </c>
      <c r="E3402">
        <v>1E-3</v>
      </c>
      <c r="F3402"/>
      <c r="G3402"/>
      <c r="H3402"/>
      <c r="I3402"/>
      <c r="J3402"/>
      <c r="K3402"/>
      <c r="L3402"/>
      <c r="M3402"/>
      <c r="N3402"/>
      <c r="O3402"/>
    </row>
    <row r="3403" spans="1:15" hidden="1" x14ac:dyDescent="0.25">
      <c r="A3403" t="s">
        <v>86</v>
      </c>
      <c r="B3403" t="s">
        <v>115</v>
      </c>
      <c r="C3403" t="b">
        <v>0</v>
      </c>
      <c r="D3403" s="1">
        <v>40603</v>
      </c>
      <c r="E3403">
        <v>5</v>
      </c>
      <c r="F3403"/>
      <c r="G3403"/>
      <c r="H3403"/>
      <c r="I3403"/>
      <c r="J3403"/>
      <c r="K3403"/>
      <c r="L3403"/>
      <c r="M3403"/>
      <c r="N3403"/>
      <c r="O3403"/>
    </row>
    <row r="3404" spans="1:15" hidden="1" x14ac:dyDescent="0.25">
      <c r="A3404" t="s">
        <v>89</v>
      </c>
      <c r="B3404" t="s">
        <v>115</v>
      </c>
      <c r="C3404" t="b">
        <v>0</v>
      </c>
      <c r="D3404" s="1">
        <v>40603</v>
      </c>
      <c r="E3404">
        <v>5</v>
      </c>
      <c r="F3404"/>
      <c r="G3404"/>
      <c r="H3404"/>
      <c r="I3404"/>
      <c r="J3404"/>
      <c r="K3404"/>
      <c r="L3404"/>
      <c r="M3404"/>
      <c r="N3404"/>
      <c r="O3404"/>
    </row>
    <row r="3405" spans="1:15" hidden="1" x14ac:dyDescent="0.25">
      <c r="A3405" t="s">
        <v>90</v>
      </c>
      <c r="B3405" t="s">
        <v>115</v>
      </c>
      <c r="C3405" t="b">
        <v>0</v>
      </c>
      <c r="D3405" s="1">
        <v>40603</v>
      </c>
      <c r="E3405">
        <v>5</v>
      </c>
      <c r="F3405"/>
      <c r="G3405"/>
      <c r="H3405"/>
      <c r="I3405"/>
      <c r="J3405"/>
      <c r="K3405"/>
      <c r="L3405"/>
      <c r="M3405"/>
      <c r="N3405"/>
      <c r="O3405"/>
    </row>
    <row r="3406" spans="1:15" hidden="1" x14ac:dyDescent="0.25">
      <c r="A3406" t="s">
        <v>95</v>
      </c>
      <c r="B3406" t="s">
        <v>115</v>
      </c>
      <c r="C3406" t="b">
        <v>0</v>
      </c>
      <c r="D3406" s="1">
        <v>40603</v>
      </c>
      <c r="E3406">
        <v>5</v>
      </c>
      <c r="F3406"/>
      <c r="G3406"/>
      <c r="H3406"/>
      <c r="I3406"/>
      <c r="J3406"/>
      <c r="K3406"/>
      <c r="L3406"/>
      <c r="M3406"/>
      <c r="N3406"/>
      <c r="O3406"/>
    </row>
    <row r="3407" spans="1:15" hidden="1" x14ac:dyDescent="0.25">
      <c r="A3407" t="s">
        <v>99</v>
      </c>
      <c r="B3407" t="s">
        <v>114</v>
      </c>
      <c r="C3407" t="b">
        <v>0</v>
      </c>
      <c r="D3407" s="1">
        <v>40603</v>
      </c>
      <c r="E3407">
        <v>11</v>
      </c>
      <c r="F3407"/>
      <c r="G3407"/>
      <c r="H3407"/>
      <c r="I3407"/>
      <c r="J3407"/>
      <c r="K3407"/>
      <c r="L3407"/>
      <c r="M3407"/>
      <c r="N3407"/>
      <c r="O3407"/>
    </row>
    <row r="3408" spans="1:15" hidden="1" x14ac:dyDescent="0.25">
      <c r="A3408" t="s">
        <v>100</v>
      </c>
      <c r="B3408" t="s">
        <v>117</v>
      </c>
      <c r="C3408" t="b">
        <v>0</v>
      </c>
      <c r="D3408" s="1">
        <v>40634</v>
      </c>
      <c r="E3408" s="2">
        <v>-117</v>
      </c>
      <c r="F3408"/>
      <c r="G3408"/>
      <c r="H3408"/>
      <c r="I3408"/>
      <c r="J3408"/>
      <c r="K3408"/>
      <c r="L3408"/>
      <c r="M3408"/>
      <c r="N3408"/>
      <c r="O3408"/>
    </row>
    <row r="3409" spans="1:15" hidden="1" x14ac:dyDescent="0.25">
      <c r="A3409" t="s">
        <v>102</v>
      </c>
      <c r="B3409" t="s">
        <v>117</v>
      </c>
      <c r="C3409" t="b">
        <v>0</v>
      </c>
      <c r="D3409" s="1">
        <v>40634</v>
      </c>
      <c r="E3409" s="2">
        <v>-17</v>
      </c>
      <c r="F3409"/>
      <c r="G3409"/>
      <c r="H3409"/>
      <c r="I3409"/>
      <c r="J3409"/>
      <c r="K3409"/>
      <c r="L3409"/>
      <c r="M3409"/>
      <c r="N3409"/>
      <c r="O3409"/>
    </row>
    <row r="3410" spans="1:15" hidden="1" x14ac:dyDescent="0.25">
      <c r="A3410" t="s">
        <v>101</v>
      </c>
      <c r="B3410" t="s">
        <v>117</v>
      </c>
      <c r="C3410" t="b">
        <v>0</v>
      </c>
      <c r="D3410" s="1">
        <v>40634</v>
      </c>
      <c r="E3410" s="2">
        <v>-4</v>
      </c>
      <c r="F3410"/>
      <c r="G3410"/>
      <c r="H3410"/>
      <c r="I3410"/>
      <c r="J3410"/>
      <c r="K3410"/>
      <c r="L3410"/>
      <c r="M3410"/>
      <c r="N3410"/>
      <c r="O3410"/>
    </row>
    <row r="3411" spans="1:15" hidden="1" x14ac:dyDescent="0.25">
      <c r="A3411" t="s">
        <v>25</v>
      </c>
      <c r="B3411" t="s">
        <v>115</v>
      </c>
      <c r="C3411" t="b">
        <v>0</v>
      </c>
      <c r="D3411" s="1">
        <v>40634</v>
      </c>
      <c r="E3411">
        <v>5</v>
      </c>
      <c r="F3411"/>
      <c r="G3411"/>
      <c r="H3411"/>
      <c r="I3411"/>
      <c r="J3411"/>
      <c r="K3411"/>
      <c r="L3411"/>
      <c r="M3411"/>
      <c r="N3411"/>
      <c r="O3411"/>
    </row>
    <row r="3412" spans="1:15" hidden="1" x14ac:dyDescent="0.25">
      <c r="A3412" t="s">
        <v>26</v>
      </c>
      <c r="B3412" t="s">
        <v>115</v>
      </c>
      <c r="C3412" t="b">
        <v>0</v>
      </c>
      <c r="D3412" s="1">
        <v>40634</v>
      </c>
      <c r="E3412">
        <v>5</v>
      </c>
      <c r="F3412"/>
      <c r="G3412"/>
      <c r="H3412"/>
      <c r="I3412"/>
      <c r="J3412"/>
      <c r="K3412"/>
      <c r="L3412"/>
      <c r="M3412"/>
      <c r="N3412"/>
      <c r="O3412"/>
    </row>
    <row r="3413" spans="1:15" hidden="1" x14ac:dyDescent="0.25">
      <c r="A3413" t="s">
        <v>28</v>
      </c>
      <c r="B3413" t="s">
        <v>115</v>
      </c>
      <c r="C3413" t="b">
        <v>0</v>
      </c>
      <c r="D3413" s="1">
        <v>40634</v>
      </c>
      <c r="E3413">
        <v>5</v>
      </c>
      <c r="F3413"/>
      <c r="G3413"/>
      <c r="H3413"/>
      <c r="I3413"/>
      <c r="J3413"/>
      <c r="K3413"/>
      <c r="L3413"/>
      <c r="M3413"/>
      <c r="N3413"/>
      <c r="O3413"/>
    </row>
    <row r="3414" spans="1:15" hidden="1" x14ac:dyDescent="0.25">
      <c r="A3414" t="s">
        <v>29</v>
      </c>
      <c r="B3414" t="s">
        <v>115</v>
      </c>
      <c r="C3414" t="b">
        <v>0</v>
      </c>
      <c r="D3414" s="1">
        <v>40634</v>
      </c>
      <c r="E3414">
        <v>5</v>
      </c>
      <c r="F3414"/>
      <c r="G3414"/>
      <c r="H3414"/>
      <c r="I3414"/>
      <c r="J3414"/>
      <c r="K3414"/>
      <c r="L3414"/>
      <c r="M3414"/>
      <c r="N3414"/>
      <c r="O3414"/>
    </row>
    <row r="3415" spans="1:15" hidden="1" x14ac:dyDescent="0.25">
      <c r="A3415" t="s">
        <v>32</v>
      </c>
      <c r="B3415" t="s">
        <v>115</v>
      </c>
      <c r="C3415" t="b">
        <v>0</v>
      </c>
      <c r="D3415" s="1">
        <v>40634</v>
      </c>
      <c r="E3415">
        <v>5</v>
      </c>
      <c r="F3415"/>
      <c r="G3415"/>
      <c r="H3415"/>
      <c r="I3415"/>
      <c r="J3415"/>
      <c r="K3415"/>
      <c r="L3415"/>
      <c r="M3415"/>
      <c r="N3415"/>
      <c r="O3415"/>
    </row>
    <row r="3416" spans="1:15" hidden="1" x14ac:dyDescent="0.25">
      <c r="A3416" t="s">
        <v>33</v>
      </c>
      <c r="B3416" t="s">
        <v>115</v>
      </c>
      <c r="C3416" t="b">
        <v>0</v>
      </c>
      <c r="D3416" s="1">
        <v>40634</v>
      </c>
      <c r="E3416">
        <v>5</v>
      </c>
      <c r="F3416"/>
      <c r="G3416"/>
      <c r="H3416"/>
      <c r="I3416"/>
      <c r="J3416"/>
      <c r="K3416"/>
      <c r="L3416"/>
      <c r="M3416"/>
      <c r="N3416"/>
      <c r="O3416"/>
    </row>
    <row r="3417" spans="1:15" hidden="1" x14ac:dyDescent="0.25">
      <c r="A3417" t="s">
        <v>34</v>
      </c>
      <c r="B3417" t="s">
        <v>115</v>
      </c>
      <c r="C3417" t="b">
        <v>0</v>
      </c>
      <c r="D3417" s="1">
        <v>40634</v>
      </c>
      <c r="E3417">
        <v>5</v>
      </c>
      <c r="F3417"/>
      <c r="G3417"/>
      <c r="H3417"/>
      <c r="I3417"/>
      <c r="J3417"/>
      <c r="K3417"/>
      <c r="L3417"/>
      <c r="M3417"/>
      <c r="N3417"/>
      <c r="O3417"/>
    </row>
    <row r="3418" spans="1:15" hidden="1" x14ac:dyDescent="0.25">
      <c r="A3418" t="s">
        <v>37</v>
      </c>
      <c r="B3418" t="s">
        <v>115</v>
      </c>
      <c r="C3418" t="b">
        <v>0</v>
      </c>
      <c r="D3418" s="1">
        <v>40634</v>
      </c>
      <c r="E3418">
        <v>5</v>
      </c>
      <c r="F3418"/>
      <c r="G3418"/>
      <c r="H3418"/>
      <c r="I3418"/>
      <c r="J3418"/>
      <c r="K3418"/>
      <c r="L3418"/>
      <c r="M3418"/>
      <c r="N3418"/>
      <c r="O3418"/>
    </row>
    <row r="3419" spans="1:15" hidden="1" x14ac:dyDescent="0.25">
      <c r="A3419" t="s">
        <v>39</v>
      </c>
      <c r="B3419" t="s">
        <v>115</v>
      </c>
      <c r="C3419" t="b">
        <v>0</v>
      </c>
      <c r="D3419" s="1">
        <v>40634</v>
      </c>
      <c r="E3419">
        <v>5</v>
      </c>
      <c r="F3419"/>
      <c r="G3419"/>
      <c r="H3419"/>
      <c r="I3419"/>
      <c r="J3419"/>
      <c r="K3419"/>
      <c r="L3419"/>
      <c r="M3419"/>
      <c r="N3419"/>
      <c r="O3419"/>
    </row>
    <row r="3420" spans="1:15" hidden="1" x14ac:dyDescent="0.25">
      <c r="A3420" t="s">
        <v>40</v>
      </c>
      <c r="B3420" t="s">
        <v>115</v>
      </c>
      <c r="C3420" t="b">
        <v>0</v>
      </c>
      <c r="D3420" s="1">
        <v>40634</v>
      </c>
      <c r="E3420">
        <v>2</v>
      </c>
      <c r="F3420"/>
      <c r="G3420"/>
      <c r="H3420"/>
      <c r="I3420"/>
      <c r="J3420"/>
      <c r="K3420"/>
      <c r="L3420"/>
      <c r="M3420"/>
      <c r="N3420"/>
      <c r="O3420"/>
    </row>
    <row r="3421" spans="1:15" hidden="1" x14ac:dyDescent="0.25">
      <c r="A3421" t="s">
        <v>41</v>
      </c>
      <c r="B3421" t="s">
        <v>115</v>
      </c>
      <c r="C3421" t="b">
        <v>0</v>
      </c>
      <c r="D3421" s="1">
        <v>40634</v>
      </c>
      <c r="E3421">
        <v>5</v>
      </c>
      <c r="F3421"/>
      <c r="G3421"/>
      <c r="H3421"/>
      <c r="I3421"/>
      <c r="J3421"/>
      <c r="K3421"/>
      <c r="L3421"/>
      <c r="M3421"/>
      <c r="N3421"/>
      <c r="O3421"/>
    </row>
    <row r="3422" spans="1:15" hidden="1" x14ac:dyDescent="0.25">
      <c r="A3422" t="s">
        <v>59</v>
      </c>
      <c r="B3422" t="s">
        <v>115</v>
      </c>
      <c r="C3422" t="b">
        <v>0</v>
      </c>
      <c r="D3422" s="1">
        <v>40634</v>
      </c>
      <c r="E3422">
        <v>5</v>
      </c>
      <c r="F3422"/>
      <c r="G3422"/>
      <c r="H3422"/>
      <c r="I3422"/>
      <c r="J3422"/>
      <c r="K3422"/>
      <c r="L3422"/>
      <c r="M3422"/>
      <c r="N3422"/>
      <c r="O3422"/>
    </row>
    <row r="3423" spans="1:15" hidden="1" x14ac:dyDescent="0.25">
      <c r="A3423" t="s">
        <v>60</v>
      </c>
      <c r="B3423" t="s">
        <v>115</v>
      </c>
      <c r="C3423" t="b">
        <v>0</v>
      </c>
      <c r="D3423" s="1">
        <v>40634</v>
      </c>
      <c r="E3423">
        <v>5</v>
      </c>
      <c r="F3423"/>
      <c r="G3423"/>
      <c r="H3423"/>
      <c r="I3423"/>
      <c r="J3423"/>
      <c r="K3423"/>
      <c r="L3423"/>
      <c r="M3423"/>
      <c r="N3423"/>
      <c r="O3423"/>
    </row>
    <row r="3424" spans="1:15" hidden="1" x14ac:dyDescent="0.25">
      <c r="A3424" t="s">
        <v>64</v>
      </c>
      <c r="B3424" t="s">
        <v>115</v>
      </c>
      <c r="C3424" t="b">
        <v>0</v>
      </c>
      <c r="D3424" s="1">
        <v>40634</v>
      </c>
      <c r="E3424">
        <v>5</v>
      </c>
      <c r="F3424"/>
      <c r="G3424"/>
      <c r="H3424"/>
      <c r="I3424"/>
      <c r="J3424"/>
      <c r="K3424"/>
      <c r="L3424"/>
      <c r="M3424"/>
      <c r="N3424"/>
      <c r="O3424"/>
    </row>
    <row r="3425" spans="1:15" hidden="1" x14ac:dyDescent="0.25">
      <c r="A3425" t="s">
        <v>71</v>
      </c>
      <c r="B3425" t="s">
        <v>115</v>
      </c>
      <c r="C3425" t="b">
        <v>0</v>
      </c>
      <c r="D3425" s="1">
        <v>40634</v>
      </c>
      <c r="E3425">
        <v>5</v>
      </c>
      <c r="F3425"/>
      <c r="G3425"/>
      <c r="H3425"/>
      <c r="I3425"/>
      <c r="J3425"/>
      <c r="K3425"/>
      <c r="L3425"/>
      <c r="M3425"/>
      <c r="N3425"/>
      <c r="O3425"/>
    </row>
    <row r="3426" spans="1:15" hidden="1" x14ac:dyDescent="0.25">
      <c r="A3426" t="s">
        <v>73</v>
      </c>
      <c r="B3426" t="s">
        <v>115</v>
      </c>
      <c r="C3426" t="b">
        <v>0</v>
      </c>
      <c r="D3426" s="1">
        <v>40634</v>
      </c>
      <c r="E3426">
        <v>5</v>
      </c>
      <c r="F3426"/>
      <c r="G3426"/>
      <c r="H3426"/>
      <c r="I3426"/>
      <c r="J3426"/>
      <c r="K3426"/>
      <c r="L3426"/>
      <c r="M3426"/>
      <c r="N3426"/>
      <c r="O3426"/>
    </row>
    <row r="3427" spans="1:15" hidden="1" x14ac:dyDescent="0.25">
      <c r="A3427" t="s">
        <v>74</v>
      </c>
      <c r="B3427" t="s">
        <v>115</v>
      </c>
      <c r="C3427" t="b">
        <v>0</v>
      </c>
      <c r="D3427" s="1">
        <v>40634</v>
      </c>
      <c r="E3427">
        <v>5</v>
      </c>
      <c r="F3427"/>
      <c r="G3427"/>
      <c r="H3427"/>
      <c r="I3427"/>
      <c r="J3427"/>
      <c r="K3427"/>
      <c r="L3427"/>
      <c r="M3427"/>
      <c r="N3427"/>
      <c r="O3427"/>
    </row>
    <row r="3428" spans="1:15" hidden="1" x14ac:dyDescent="0.25">
      <c r="A3428" t="s">
        <v>76</v>
      </c>
      <c r="B3428" t="s">
        <v>115</v>
      </c>
      <c r="C3428" t="b">
        <v>0</v>
      </c>
      <c r="D3428" s="1">
        <v>40634</v>
      </c>
      <c r="E3428">
        <v>1E-3</v>
      </c>
      <c r="F3428"/>
      <c r="G3428"/>
      <c r="H3428"/>
      <c r="I3428"/>
      <c r="J3428"/>
      <c r="K3428"/>
      <c r="L3428"/>
      <c r="M3428"/>
      <c r="N3428"/>
      <c r="O3428"/>
    </row>
    <row r="3429" spans="1:15" hidden="1" x14ac:dyDescent="0.25">
      <c r="A3429" t="s">
        <v>78</v>
      </c>
      <c r="B3429" t="s">
        <v>115</v>
      </c>
      <c r="C3429" t="b">
        <v>0</v>
      </c>
      <c r="D3429" s="1">
        <v>40634</v>
      </c>
      <c r="E3429">
        <v>5</v>
      </c>
      <c r="F3429"/>
      <c r="G3429"/>
      <c r="H3429"/>
      <c r="I3429"/>
      <c r="J3429"/>
      <c r="K3429"/>
      <c r="L3429"/>
      <c r="M3429"/>
      <c r="N3429"/>
      <c r="O3429"/>
    </row>
    <row r="3430" spans="1:15" hidden="1" x14ac:dyDescent="0.25">
      <c r="A3430" t="s">
        <v>86</v>
      </c>
      <c r="B3430" t="s">
        <v>115</v>
      </c>
      <c r="C3430" t="b">
        <v>0</v>
      </c>
      <c r="D3430" s="1">
        <v>40634</v>
      </c>
      <c r="E3430">
        <v>5</v>
      </c>
      <c r="F3430"/>
      <c r="G3430"/>
      <c r="H3430"/>
      <c r="I3430"/>
      <c r="J3430"/>
      <c r="K3430"/>
      <c r="L3430"/>
      <c r="M3430"/>
      <c r="N3430"/>
      <c r="O3430"/>
    </row>
    <row r="3431" spans="1:15" hidden="1" x14ac:dyDescent="0.25">
      <c r="A3431" t="s">
        <v>88</v>
      </c>
      <c r="B3431" t="s">
        <v>115</v>
      </c>
      <c r="C3431" t="b">
        <v>0</v>
      </c>
      <c r="D3431" s="1">
        <v>40634</v>
      </c>
      <c r="E3431">
        <v>5</v>
      </c>
      <c r="F3431"/>
      <c r="G3431"/>
      <c r="H3431"/>
      <c r="I3431"/>
      <c r="J3431"/>
      <c r="K3431"/>
      <c r="L3431"/>
      <c r="M3431"/>
      <c r="N3431"/>
      <c r="O3431"/>
    </row>
    <row r="3432" spans="1:15" hidden="1" x14ac:dyDescent="0.25">
      <c r="A3432" t="s">
        <v>89</v>
      </c>
      <c r="B3432" t="s">
        <v>115</v>
      </c>
      <c r="C3432" t="b">
        <v>0</v>
      </c>
      <c r="D3432" s="1">
        <v>40634</v>
      </c>
      <c r="E3432">
        <v>5</v>
      </c>
      <c r="F3432"/>
      <c r="G3432"/>
      <c r="H3432"/>
      <c r="I3432"/>
      <c r="J3432"/>
      <c r="K3432"/>
      <c r="L3432"/>
      <c r="M3432"/>
      <c r="N3432"/>
      <c r="O3432"/>
    </row>
    <row r="3433" spans="1:15" hidden="1" x14ac:dyDescent="0.25">
      <c r="A3433" t="s">
        <v>90</v>
      </c>
      <c r="B3433" t="s">
        <v>115</v>
      </c>
      <c r="C3433" t="b">
        <v>0</v>
      </c>
      <c r="D3433" s="1">
        <v>40634</v>
      </c>
      <c r="E3433">
        <v>5</v>
      </c>
      <c r="F3433"/>
      <c r="G3433"/>
      <c r="H3433"/>
      <c r="I3433"/>
      <c r="J3433"/>
      <c r="K3433"/>
      <c r="L3433"/>
      <c r="M3433"/>
      <c r="N3433"/>
      <c r="O3433"/>
    </row>
    <row r="3434" spans="1:15" hidden="1" x14ac:dyDescent="0.25">
      <c r="A3434" t="s">
        <v>95</v>
      </c>
      <c r="B3434" t="s">
        <v>115</v>
      </c>
      <c r="C3434" t="b">
        <v>0</v>
      </c>
      <c r="D3434" s="1">
        <v>40634</v>
      </c>
      <c r="E3434">
        <v>5</v>
      </c>
      <c r="F3434"/>
      <c r="G3434"/>
      <c r="H3434"/>
      <c r="I3434"/>
      <c r="J3434"/>
      <c r="K3434"/>
      <c r="L3434"/>
      <c r="M3434"/>
      <c r="N3434"/>
      <c r="O3434"/>
    </row>
    <row r="3435" spans="1:15" hidden="1" x14ac:dyDescent="0.25">
      <c r="A3435" t="s">
        <v>99</v>
      </c>
      <c r="B3435" t="s">
        <v>114</v>
      </c>
      <c r="C3435" t="b">
        <v>0</v>
      </c>
      <c r="D3435" s="1">
        <v>40634</v>
      </c>
      <c r="E3435">
        <v>18.440000000000001</v>
      </c>
      <c r="F3435"/>
      <c r="G3435"/>
      <c r="H3435"/>
      <c r="I3435"/>
      <c r="J3435"/>
      <c r="K3435"/>
      <c r="L3435"/>
      <c r="M3435"/>
      <c r="N3435"/>
      <c r="O3435"/>
    </row>
    <row r="3436" spans="1:15" hidden="1" x14ac:dyDescent="0.25">
      <c r="A3436" t="s">
        <v>100</v>
      </c>
      <c r="B3436" t="s">
        <v>117</v>
      </c>
      <c r="C3436" t="b">
        <v>0</v>
      </c>
      <c r="D3436" s="1">
        <v>40664</v>
      </c>
      <c r="E3436" s="2">
        <v>-107</v>
      </c>
      <c r="F3436"/>
      <c r="G3436"/>
      <c r="H3436"/>
      <c r="I3436"/>
      <c r="J3436"/>
      <c r="K3436"/>
      <c r="L3436"/>
      <c r="M3436"/>
      <c r="N3436"/>
      <c r="O3436"/>
    </row>
    <row r="3437" spans="1:15" hidden="1" x14ac:dyDescent="0.25">
      <c r="A3437" t="s">
        <v>102</v>
      </c>
      <c r="B3437" t="s">
        <v>117</v>
      </c>
      <c r="C3437" t="b">
        <v>0</v>
      </c>
      <c r="D3437" s="1">
        <v>40664</v>
      </c>
      <c r="E3437" s="2">
        <v>-18</v>
      </c>
      <c r="F3437"/>
      <c r="G3437"/>
      <c r="H3437"/>
      <c r="I3437"/>
      <c r="J3437"/>
      <c r="K3437"/>
      <c r="L3437"/>
      <c r="M3437"/>
      <c r="N3437"/>
      <c r="O3437"/>
    </row>
    <row r="3438" spans="1:15" hidden="1" x14ac:dyDescent="0.25">
      <c r="A3438" t="s">
        <v>103</v>
      </c>
      <c r="B3438" t="s">
        <v>117</v>
      </c>
      <c r="C3438" t="b">
        <v>0</v>
      </c>
      <c r="D3438" s="1">
        <v>40664</v>
      </c>
      <c r="E3438" s="2">
        <v>-0.44</v>
      </c>
      <c r="F3438"/>
      <c r="G3438"/>
      <c r="H3438"/>
      <c r="I3438"/>
      <c r="J3438"/>
      <c r="K3438"/>
      <c r="L3438"/>
      <c r="M3438"/>
      <c r="N3438"/>
      <c r="O3438"/>
    </row>
    <row r="3439" spans="1:15" hidden="1" x14ac:dyDescent="0.25">
      <c r="A3439" t="s">
        <v>25</v>
      </c>
      <c r="B3439" t="s">
        <v>115</v>
      </c>
      <c r="C3439" t="b">
        <v>0</v>
      </c>
      <c r="D3439" s="1">
        <v>40664</v>
      </c>
      <c r="E3439">
        <v>5</v>
      </c>
      <c r="F3439"/>
      <c r="G3439"/>
      <c r="H3439"/>
      <c r="I3439"/>
      <c r="J3439"/>
      <c r="K3439"/>
      <c r="L3439"/>
      <c r="M3439"/>
      <c r="N3439"/>
      <c r="O3439"/>
    </row>
    <row r="3440" spans="1:15" hidden="1" x14ac:dyDescent="0.25">
      <c r="A3440" t="s">
        <v>26</v>
      </c>
      <c r="B3440" t="s">
        <v>115</v>
      </c>
      <c r="C3440" t="b">
        <v>0</v>
      </c>
      <c r="D3440" s="1">
        <v>40664</v>
      </c>
      <c r="E3440">
        <v>5</v>
      </c>
      <c r="F3440"/>
      <c r="G3440"/>
      <c r="H3440"/>
      <c r="I3440"/>
      <c r="J3440"/>
      <c r="K3440"/>
      <c r="L3440"/>
      <c r="M3440"/>
      <c r="N3440"/>
      <c r="O3440"/>
    </row>
    <row r="3441" spans="1:15" hidden="1" x14ac:dyDescent="0.25">
      <c r="A3441" t="s">
        <v>28</v>
      </c>
      <c r="B3441" t="s">
        <v>115</v>
      </c>
      <c r="C3441" t="b">
        <v>0</v>
      </c>
      <c r="D3441" s="1">
        <v>40664</v>
      </c>
      <c r="E3441">
        <v>5</v>
      </c>
      <c r="F3441"/>
      <c r="G3441"/>
      <c r="H3441"/>
      <c r="I3441"/>
      <c r="J3441"/>
      <c r="K3441"/>
      <c r="L3441"/>
      <c r="M3441"/>
      <c r="N3441"/>
      <c r="O3441"/>
    </row>
    <row r="3442" spans="1:15" hidden="1" x14ac:dyDescent="0.25">
      <c r="A3442" t="s">
        <v>32</v>
      </c>
      <c r="B3442" t="s">
        <v>115</v>
      </c>
      <c r="C3442" t="b">
        <v>0</v>
      </c>
      <c r="D3442" s="1">
        <v>40664</v>
      </c>
      <c r="E3442">
        <v>5</v>
      </c>
      <c r="F3442"/>
      <c r="G3442"/>
      <c r="H3442"/>
      <c r="I3442"/>
      <c r="J3442"/>
      <c r="K3442"/>
      <c r="L3442"/>
      <c r="M3442"/>
      <c r="N3442"/>
      <c r="O3442"/>
    </row>
    <row r="3443" spans="1:15" hidden="1" x14ac:dyDescent="0.25">
      <c r="A3443" t="s">
        <v>34</v>
      </c>
      <c r="B3443" t="s">
        <v>115</v>
      </c>
      <c r="C3443" t="b">
        <v>0</v>
      </c>
      <c r="D3443" s="1">
        <v>40664</v>
      </c>
      <c r="E3443">
        <v>5</v>
      </c>
      <c r="F3443"/>
      <c r="G3443"/>
      <c r="H3443"/>
      <c r="I3443"/>
      <c r="J3443"/>
      <c r="K3443"/>
      <c r="L3443"/>
      <c r="M3443"/>
      <c r="N3443"/>
      <c r="O3443"/>
    </row>
    <row r="3444" spans="1:15" hidden="1" x14ac:dyDescent="0.25">
      <c r="A3444" t="s">
        <v>37</v>
      </c>
      <c r="B3444" t="s">
        <v>115</v>
      </c>
      <c r="C3444" t="b">
        <v>0</v>
      </c>
      <c r="D3444" s="1">
        <v>40664</v>
      </c>
      <c r="E3444">
        <v>5</v>
      </c>
      <c r="F3444"/>
      <c r="G3444"/>
      <c r="H3444"/>
      <c r="I3444"/>
      <c r="J3444"/>
      <c r="K3444"/>
      <c r="L3444"/>
      <c r="M3444"/>
      <c r="N3444"/>
      <c r="O3444"/>
    </row>
    <row r="3445" spans="1:15" hidden="1" x14ac:dyDescent="0.25">
      <c r="A3445" t="s">
        <v>39</v>
      </c>
      <c r="B3445" t="s">
        <v>115</v>
      </c>
      <c r="C3445" t="b">
        <v>0</v>
      </c>
      <c r="D3445" s="1">
        <v>40664</v>
      </c>
      <c r="E3445">
        <v>5</v>
      </c>
      <c r="F3445"/>
      <c r="G3445"/>
      <c r="H3445"/>
      <c r="I3445"/>
      <c r="J3445"/>
      <c r="K3445"/>
      <c r="L3445"/>
      <c r="M3445"/>
      <c r="N3445"/>
      <c r="O3445"/>
    </row>
    <row r="3446" spans="1:15" hidden="1" x14ac:dyDescent="0.25">
      <c r="A3446" t="s">
        <v>40</v>
      </c>
      <c r="B3446" t="s">
        <v>115</v>
      </c>
      <c r="C3446" t="b">
        <v>0</v>
      </c>
      <c r="D3446" s="1">
        <v>40664</v>
      </c>
      <c r="E3446">
        <v>3</v>
      </c>
      <c r="F3446"/>
      <c r="G3446"/>
      <c r="H3446"/>
      <c r="I3446"/>
      <c r="J3446"/>
      <c r="K3446"/>
      <c r="L3446"/>
      <c r="M3446"/>
      <c r="N3446"/>
      <c r="O3446"/>
    </row>
    <row r="3447" spans="1:15" hidden="1" x14ac:dyDescent="0.25">
      <c r="A3447" t="s">
        <v>41</v>
      </c>
      <c r="B3447" t="s">
        <v>115</v>
      </c>
      <c r="C3447" t="b">
        <v>0</v>
      </c>
      <c r="D3447" s="1">
        <v>40664</v>
      </c>
      <c r="E3447">
        <v>5</v>
      </c>
      <c r="F3447"/>
      <c r="G3447"/>
      <c r="H3447"/>
      <c r="I3447"/>
      <c r="J3447"/>
      <c r="K3447"/>
      <c r="L3447"/>
      <c r="M3447"/>
      <c r="N3447"/>
      <c r="O3447"/>
    </row>
    <row r="3448" spans="1:15" hidden="1" x14ac:dyDescent="0.25">
      <c r="A3448" t="s">
        <v>59</v>
      </c>
      <c r="B3448" t="s">
        <v>115</v>
      </c>
      <c r="C3448" t="b">
        <v>0</v>
      </c>
      <c r="D3448" s="1">
        <v>40664</v>
      </c>
      <c r="E3448">
        <v>5</v>
      </c>
      <c r="F3448"/>
      <c r="G3448"/>
      <c r="H3448"/>
      <c r="I3448"/>
      <c r="J3448"/>
      <c r="K3448"/>
      <c r="L3448"/>
      <c r="M3448"/>
      <c r="N3448"/>
      <c r="O3448"/>
    </row>
    <row r="3449" spans="1:15" hidden="1" x14ac:dyDescent="0.25">
      <c r="A3449" t="s">
        <v>60</v>
      </c>
      <c r="B3449" t="s">
        <v>115</v>
      </c>
      <c r="C3449" t="b">
        <v>0</v>
      </c>
      <c r="D3449" s="1">
        <v>40664</v>
      </c>
      <c r="E3449">
        <v>5</v>
      </c>
      <c r="F3449"/>
      <c r="G3449"/>
      <c r="H3449"/>
      <c r="I3449"/>
      <c r="J3449"/>
      <c r="K3449"/>
      <c r="L3449"/>
      <c r="M3449"/>
      <c r="N3449"/>
      <c r="O3449"/>
    </row>
    <row r="3450" spans="1:15" hidden="1" x14ac:dyDescent="0.25">
      <c r="A3450" t="s">
        <v>63</v>
      </c>
      <c r="B3450" t="s">
        <v>115</v>
      </c>
      <c r="C3450" t="b">
        <v>0</v>
      </c>
      <c r="D3450" s="1">
        <v>40664</v>
      </c>
      <c r="E3450">
        <v>5</v>
      </c>
      <c r="F3450"/>
      <c r="G3450"/>
      <c r="H3450"/>
      <c r="I3450"/>
      <c r="J3450"/>
      <c r="K3450"/>
      <c r="L3450"/>
      <c r="M3450"/>
      <c r="N3450"/>
      <c r="O3450"/>
    </row>
    <row r="3451" spans="1:15" hidden="1" x14ac:dyDescent="0.25">
      <c r="A3451" t="s">
        <v>73</v>
      </c>
      <c r="B3451" t="s">
        <v>115</v>
      </c>
      <c r="C3451" t="b">
        <v>0</v>
      </c>
      <c r="D3451" s="1">
        <v>40664</v>
      </c>
      <c r="E3451">
        <v>5</v>
      </c>
      <c r="F3451"/>
      <c r="G3451"/>
      <c r="H3451"/>
      <c r="I3451"/>
      <c r="J3451"/>
      <c r="K3451"/>
      <c r="L3451"/>
      <c r="M3451"/>
      <c r="N3451"/>
      <c r="O3451"/>
    </row>
    <row r="3452" spans="1:15" hidden="1" x14ac:dyDescent="0.25">
      <c r="A3452" t="s">
        <v>74</v>
      </c>
      <c r="B3452" t="s">
        <v>115</v>
      </c>
      <c r="C3452" t="b">
        <v>0</v>
      </c>
      <c r="D3452" s="1">
        <v>40664</v>
      </c>
      <c r="E3452">
        <v>5</v>
      </c>
      <c r="F3452"/>
      <c r="G3452"/>
      <c r="H3452"/>
      <c r="I3452"/>
      <c r="J3452"/>
      <c r="K3452"/>
      <c r="L3452"/>
      <c r="M3452"/>
      <c r="N3452"/>
      <c r="O3452"/>
    </row>
    <row r="3453" spans="1:15" hidden="1" x14ac:dyDescent="0.25">
      <c r="A3453" t="s">
        <v>76</v>
      </c>
      <c r="B3453" t="s">
        <v>115</v>
      </c>
      <c r="C3453" t="b">
        <v>0</v>
      </c>
      <c r="D3453" s="1">
        <v>40664</v>
      </c>
      <c r="E3453">
        <v>1E-3</v>
      </c>
      <c r="F3453"/>
      <c r="G3453"/>
      <c r="H3453"/>
      <c r="I3453"/>
      <c r="J3453"/>
      <c r="K3453"/>
      <c r="L3453"/>
      <c r="M3453"/>
      <c r="N3453"/>
      <c r="O3453"/>
    </row>
    <row r="3454" spans="1:15" hidden="1" x14ac:dyDescent="0.25">
      <c r="A3454" t="s">
        <v>78</v>
      </c>
      <c r="B3454" t="s">
        <v>115</v>
      </c>
      <c r="C3454" t="b">
        <v>0</v>
      </c>
      <c r="D3454" s="1">
        <v>40664</v>
      </c>
      <c r="E3454">
        <v>5</v>
      </c>
      <c r="F3454"/>
      <c r="G3454"/>
      <c r="H3454"/>
      <c r="I3454"/>
      <c r="J3454"/>
      <c r="K3454"/>
      <c r="L3454"/>
      <c r="M3454"/>
      <c r="N3454"/>
      <c r="O3454"/>
    </row>
    <row r="3455" spans="1:15" hidden="1" x14ac:dyDescent="0.25">
      <c r="A3455" t="s">
        <v>86</v>
      </c>
      <c r="B3455" t="s">
        <v>115</v>
      </c>
      <c r="C3455" t="b">
        <v>0</v>
      </c>
      <c r="D3455" s="1">
        <v>40664</v>
      </c>
      <c r="E3455">
        <v>5</v>
      </c>
      <c r="F3455"/>
      <c r="G3455"/>
      <c r="H3455"/>
      <c r="I3455"/>
      <c r="J3455"/>
      <c r="K3455"/>
      <c r="L3455"/>
      <c r="M3455"/>
      <c r="N3455"/>
      <c r="O3455"/>
    </row>
    <row r="3456" spans="1:15" hidden="1" x14ac:dyDescent="0.25">
      <c r="A3456" t="s">
        <v>90</v>
      </c>
      <c r="B3456" t="s">
        <v>115</v>
      </c>
      <c r="C3456" t="b">
        <v>0</v>
      </c>
      <c r="D3456" s="1">
        <v>40664</v>
      </c>
      <c r="E3456">
        <v>5</v>
      </c>
      <c r="F3456"/>
      <c r="G3456"/>
      <c r="H3456"/>
      <c r="I3456"/>
      <c r="J3456"/>
      <c r="K3456"/>
      <c r="L3456"/>
      <c r="M3456"/>
      <c r="N3456"/>
      <c r="O3456"/>
    </row>
    <row r="3457" spans="1:15" hidden="1" x14ac:dyDescent="0.25">
      <c r="A3457" t="s">
        <v>95</v>
      </c>
      <c r="B3457" t="s">
        <v>115</v>
      </c>
      <c r="C3457" t="b">
        <v>0</v>
      </c>
      <c r="D3457" s="1">
        <v>40664</v>
      </c>
      <c r="E3457">
        <v>5</v>
      </c>
      <c r="F3457"/>
      <c r="G3457"/>
      <c r="H3457"/>
      <c r="I3457"/>
      <c r="J3457"/>
      <c r="K3457"/>
      <c r="L3457"/>
      <c r="M3457"/>
      <c r="N3457"/>
      <c r="O3457"/>
    </row>
    <row r="3458" spans="1:15" hidden="1" x14ac:dyDescent="0.25">
      <c r="A3458" t="s">
        <v>99</v>
      </c>
      <c r="B3458" t="s">
        <v>114</v>
      </c>
      <c r="C3458" t="b">
        <v>0</v>
      </c>
      <c r="D3458" s="1">
        <v>40664</v>
      </c>
      <c r="E3458">
        <v>32</v>
      </c>
      <c r="F3458"/>
      <c r="G3458"/>
      <c r="H3458"/>
      <c r="I3458"/>
      <c r="J3458"/>
      <c r="K3458"/>
      <c r="L3458"/>
      <c r="M3458"/>
      <c r="N3458"/>
      <c r="O3458"/>
    </row>
    <row r="3459" spans="1:15" hidden="1" x14ac:dyDescent="0.25">
      <c r="A3459" t="s">
        <v>100</v>
      </c>
      <c r="B3459" t="s">
        <v>117</v>
      </c>
      <c r="C3459" t="b">
        <v>0</v>
      </c>
      <c r="D3459" s="1">
        <v>40695</v>
      </c>
      <c r="E3459" s="2">
        <v>-113.54</v>
      </c>
      <c r="F3459"/>
      <c r="G3459"/>
      <c r="H3459"/>
      <c r="I3459"/>
      <c r="J3459"/>
      <c r="K3459"/>
      <c r="L3459"/>
      <c r="M3459"/>
      <c r="N3459"/>
      <c r="O3459"/>
    </row>
    <row r="3460" spans="1:15" hidden="1" x14ac:dyDescent="0.25">
      <c r="A3460" t="s">
        <v>102</v>
      </c>
      <c r="B3460" t="s">
        <v>117</v>
      </c>
      <c r="C3460" t="b">
        <v>0</v>
      </c>
      <c r="D3460" s="1">
        <v>40695</v>
      </c>
      <c r="E3460" s="2">
        <v>-8.98</v>
      </c>
      <c r="F3460"/>
      <c r="G3460"/>
      <c r="H3460"/>
      <c r="I3460"/>
      <c r="J3460"/>
      <c r="K3460"/>
      <c r="L3460"/>
      <c r="M3460"/>
      <c r="N3460"/>
      <c r="O3460"/>
    </row>
    <row r="3461" spans="1:15" hidden="1" x14ac:dyDescent="0.25">
      <c r="A3461" t="s">
        <v>25</v>
      </c>
      <c r="B3461" t="s">
        <v>115</v>
      </c>
      <c r="C3461" t="b">
        <v>0</v>
      </c>
      <c r="D3461" s="1">
        <v>40695</v>
      </c>
      <c r="E3461">
        <v>5</v>
      </c>
      <c r="F3461"/>
      <c r="G3461"/>
      <c r="H3461"/>
      <c r="I3461"/>
      <c r="J3461"/>
      <c r="K3461"/>
      <c r="L3461"/>
      <c r="M3461"/>
      <c r="N3461"/>
      <c r="O3461"/>
    </row>
    <row r="3462" spans="1:15" hidden="1" x14ac:dyDescent="0.25">
      <c r="A3462" t="s">
        <v>26</v>
      </c>
      <c r="B3462" t="s">
        <v>115</v>
      </c>
      <c r="C3462" t="b">
        <v>0</v>
      </c>
      <c r="D3462" s="1">
        <v>40695</v>
      </c>
      <c r="E3462">
        <v>5</v>
      </c>
      <c r="F3462"/>
      <c r="G3462"/>
      <c r="H3462"/>
      <c r="I3462"/>
      <c r="J3462"/>
      <c r="K3462"/>
      <c r="L3462"/>
      <c r="M3462"/>
      <c r="N3462"/>
      <c r="O3462"/>
    </row>
    <row r="3463" spans="1:15" hidden="1" x14ac:dyDescent="0.25">
      <c r="A3463" t="s">
        <v>29</v>
      </c>
      <c r="B3463" t="s">
        <v>115</v>
      </c>
      <c r="C3463" t="b">
        <v>0</v>
      </c>
      <c r="D3463" s="1">
        <v>40695</v>
      </c>
      <c r="E3463">
        <v>5</v>
      </c>
      <c r="F3463"/>
      <c r="G3463"/>
      <c r="H3463"/>
      <c r="I3463"/>
      <c r="J3463"/>
      <c r="K3463"/>
      <c r="L3463"/>
      <c r="M3463"/>
      <c r="N3463"/>
      <c r="O3463"/>
    </row>
    <row r="3464" spans="1:15" hidden="1" x14ac:dyDescent="0.25">
      <c r="A3464" t="s">
        <v>32</v>
      </c>
      <c r="B3464" t="s">
        <v>115</v>
      </c>
      <c r="C3464" t="b">
        <v>0</v>
      </c>
      <c r="D3464" s="1">
        <v>40695</v>
      </c>
      <c r="E3464">
        <v>5</v>
      </c>
      <c r="F3464"/>
      <c r="G3464"/>
      <c r="H3464"/>
      <c r="I3464"/>
      <c r="J3464"/>
      <c r="K3464"/>
      <c r="L3464"/>
      <c r="M3464"/>
      <c r="N3464"/>
      <c r="O3464"/>
    </row>
    <row r="3465" spans="1:15" hidden="1" x14ac:dyDescent="0.25">
      <c r="A3465" t="s">
        <v>34</v>
      </c>
      <c r="B3465" t="s">
        <v>115</v>
      </c>
      <c r="C3465" t="b">
        <v>0</v>
      </c>
      <c r="D3465" s="1">
        <v>40695</v>
      </c>
      <c r="E3465">
        <v>0</v>
      </c>
      <c r="F3465"/>
      <c r="G3465"/>
      <c r="H3465"/>
      <c r="I3465"/>
      <c r="J3465"/>
      <c r="K3465"/>
      <c r="L3465"/>
      <c r="M3465"/>
      <c r="N3465"/>
      <c r="O3465"/>
    </row>
    <row r="3466" spans="1:15" hidden="1" x14ac:dyDescent="0.25">
      <c r="A3466" t="s">
        <v>37</v>
      </c>
      <c r="B3466" t="s">
        <v>115</v>
      </c>
      <c r="C3466" t="b">
        <v>0</v>
      </c>
      <c r="D3466" s="1">
        <v>40695</v>
      </c>
      <c r="E3466">
        <v>5</v>
      </c>
      <c r="F3466"/>
      <c r="G3466"/>
      <c r="H3466"/>
      <c r="I3466"/>
      <c r="J3466"/>
      <c r="K3466"/>
      <c r="L3466"/>
      <c r="M3466"/>
      <c r="N3466"/>
      <c r="O3466"/>
    </row>
    <row r="3467" spans="1:15" hidden="1" x14ac:dyDescent="0.25">
      <c r="A3467" t="s">
        <v>41</v>
      </c>
      <c r="B3467" t="s">
        <v>115</v>
      </c>
      <c r="C3467" t="b">
        <v>0</v>
      </c>
      <c r="D3467" s="1">
        <v>40695</v>
      </c>
      <c r="E3467">
        <v>5</v>
      </c>
      <c r="F3467"/>
      <c r="G3467"/>
      <c r="H3467"/>
      <c r="I3467"/>
      <c r="J3467"/>
      <c r="K3467"/>
      <c r="L3467"/>
      <c r="M3467"/>
      <c r="N3467"/>
      <c r="O3467"/>
    </row>
    <row r="3468" spans="1:15" hidden="1" x14ac:dyDescent="0.25">
      <c r="A3468" t="s">
        <v>59</v>
      </c>
      <c r="B3468" t="s">
        <v>115</v>
      </c>
      <c r="C3468" t="b">
        <v>0</v>
      </c>
      <c r="D3468" s="1">
        <v>40695</v>
      </c>
      <c r="E3468">
        <v>5</v>
      </c>
      <c r="F3468"/>
      <c r="G3468"/>
      <c r="H3468"/>
      <c r="I3468"/>
      <c r="J3468"/>
      <c r="K3468"/>
      <c r="L3468"/>
      <c r="M3468"/>
      <c r="N3468"/>
      <c r="O3468"/>
    </row>
    <row r="3469" spans="1:15" hidden="1" x14ac:dyDescent="0.25">
      <c r="A3469" t="s">
        <v>60</v>
      </c>
      <c r="B3469" t="s">
        <v>115</v>
      </c>
      <c r="C3469" t="b">
        <v>0</v>
      </c>
      <c r="D3469" s="1">
        <v>40695</v>
      </c>
      <c r="E3469">
        <v>5</v>
      </c>
      <c r="F3469"/>
      <c r="G3469"/>
      <c r="H3469"/>
      <c r="I3469"/>
      <c r="J3469"/>
      <c r="K3469"/>
      <c r="L3469"/>
      <c r="M3469"/>
      <c r="N3469"/>
      <c r="O3469"/>
    </row>
    <row r="3470" spans="1:15" hidden="1" x14ac:dyDescent="0.25">
      <c r="A3470" t="s">
        <v>73</v>
      </c>
      <c r="B3470" t="s">
        <v>115</v>
      </c>
      <c r="C3470" t="b">
        <v>0</v>
      </c>
      <c r="D3470" s="1">
        <v>40695</v>
      </c>
      <c r="E3470">
        <v>5</v>
      </c>
      <c r="F3470"/>
      <c r="G3470"/>
      <c r="H3470"/>
      <c r="I3470"/>
      <c r="J3470"/>
      <c r="K3470"/>
      <c r="L3470"/>
      <c r="M3470"/>
      <c r="N3470"/>
      <c r="O3470"/>
    </row>
    <row r="3471" spans="1:15" hidden="1" x14ac:dyDescent="0.25">
      <c r="A3471" t="s">
        <v>74</v>
      </c>
      <c r="B3471" t="s">
        <v>115</v>
      </c>
      <c r="C3471" t="b">
        <v>0</v>
      </c>
      <c r="D3471" s="1">
        <v>40695</v>
      </c>
      <c r="E3471">
        <v>5</v>
      </c>
      <c r="F3471"/>
      <c r="G3471"/>
      <c r="H3471"/>
      <c r="I3471"/>
      <c r="J3471"/>
      <c r="K3471"/>
      <c r="L3471"/>
      <c r="M3471"/>
      <c r="N3471"/>
      <c r="O3471"/>
    </row>
    <row r="3472" spans="1:15" hidden="1" x14ac:dyDescent="0.25">
      <c r="A3472" t="s">
        <v>76</v>
      </c>
      <c r="B3472" t="s">
        <v>115</v>
      </c>
      <c r="C3472" t="b">
        <v>0</v>
      </c>
      <c r="D3472" s="1">
        <v>40695</v>
      </c>
      <c r="E3472">
        <v>1E-3</v>
      </c>
      <c r="F3472"/>
      <c r="G3472"/>
      <c r="H3472"/>
      <c r="I3472"/>
      <c r="J3472"/>
      <c r="K3472"/>
      <c r="L3472"/>
      <c r="M3472"/>
      <c r="N3472"/>
      <c r="O3472"/>
    </row>
    <row r="3473" spans="1:15" hidden="1" x14ac:dyDescent="0.25">
      <c r="A3473" t="s">
        <v>89</v>
      </c>
      <c r="B3473" t="s">
        <v>115</v>
      </c>
      <c r="C3473" t="b">
        <v>0</v>
      </c>
      <c r="D3473" s="1">
        <v>40695</v>
      </c>
      <c r="E3473">
        <v>5</v>
      </c>
      <c r="F3473"/>
      <c r="G3473"/>
      <c r="H3473"/>
      <c r="I3473"/>
      <c r="J3473"/>
      <c r="K3473"/>
      <c r="L3473"/>
      <c r="M3473"/>
      <c r="N3473"/>
      <c r="O3473"/>
    </row>
    <row r="3474" spans="1:15" hidden="1" x14ac:dyDescent="0.25">
      <c r="A3474" t="s">
        <v>90</v>
      </c>
      <c r="B3474" t="s">
        <v>115</v>
      </c>
      <c r="C3474" t="b">
        <v>0</v>
      </c>
      <c r="D3474" s="1">
        <v>40695</v>
      </c>
      <c r="E3474">
        <v>5</v>
      </c>
      <c r="F3474"/>
      <c r="G3474"/>
      <c r="H3474"/>
      <c r="I3474"/>
      <c r="J3474"/>
      <c r="K3474"/>
      <c r="L3474"/>
      <c r="M3474"/>
      <c r="N3474"/>
      <c r="O3474"/>
    </row>
    <row r="3475" spans="1:15" hidden="1" x14ac:dyDescent="0.25">
      <c r="A3475" t="s">
        <v>95</v>
      </c>
      <c r="B3475" t="s">
        <v>115</v>
      </c>
      <c r="C3475" t="b">
        <v>0</v>
      </c>
      <c r="D3475" s="1">
        <v>40695</v>
      </c>
      <c r="E3475">
        <v>5</v>
      </c>
      <c r="F3475"/>
      <c r="G3475"/>
      <c r="H3475"/>
      <c r="I3475"/>
      <c r="J3475"/>
      <c r="K3475"/>
      <c r="L3475"/>
      <c r="M3475"/>
      <c r="N3475"/>
      <c r="O3475"/>
    </row>
    <row r="3476" spans="1:15" hidden="1" x14ac:dyDescent="0.25">
      <c r="A3476" t="s">
        <v>99</v>
      </c>
      <c r="B3476" t="s">
        <v>114</v>
      </c>
      <c r="C3476" t="b">
        <v>0</v>
      </c>
      <c r="D3476" s="1">
        <v>40695</v>
      </c>
      <c r="E3476">
        <v>12.8</v>
      </c>
      <c r="F3476"/>
      <c r="G3476"/>
      <c r="H3476"/>
      <c r="I3476"/>
      <c r="J3476"/>
      <c r="K3476"/>
      <c r="L3476"/>
      <c r="M3476"/>
      <c r="N3476"/>
      <c r="O3476"/>
    </row>
    <row r="3477" spans="1:15" hidden="1" x14ac:dyDescent="0.25">
      <c r="A3477" t="s">
        <v>100</v>
      </c>
      <c r="B3477" t="s">
        <v>117</v>
      </c>
      <c r="C3477" t="b">
        <v>0</v>
      </c>
      <c r="D3477" s="1">
        <v>40725</v>
      </c>
      <c r="E3477" s="2">
        <v>-71.88</v>
      </c>
      <c r="F3477"/>
      <c r="G3477"/>
      <c r="H3477"/>
      <c r="I3477"/>
      <c r="J3477"/>
      <c r="K3477"/>
      <c r="L3477"/>
      <c r="M3477"/>
      <c r="N3477"/>
      <c r="O3477"/>
    </row>
    <row r="3478" spans="1:15" hidden="1" x14ac:dyDescent="0.25">
      <c r="A3478" t="s">
        <v>102</v>
      </c>
      <c r="B3478" t="s">
        <v>117</v>
      </c>
      <c r="C3478" t="b">
        <v>0</v>
      </c>
      <c r="D3478" s="1">
        <v>40725</v>
      </c>
      <c r="E3478" s="2">
        <v>-7.03</v>
      </c>
      <c r="F3478"/>
      <c r="G3478"/>
      <c r="H3478"/>
      <c r="I3478"/>
      <c r="J3478"/>
      <c r="K3478"/>
      <c r="L3478"/>
      <c r="M3478"/>
      <c r="N3478"/>
      <c r="O3478"/>
    </row>
    <row r="3479" spans="1:15" hidden="1" x14ac:dyDescent="0.25">
      <c r="A3479" t="s">
        <v>25</v>
      </c>
      <c r="B3479" t="s">
        <v>115</v>
      </c>
      <c r="C3479" t="b">
        <v>0</v>
      </c>
      <c r="D3479" s="1">
        <v>40725</v>
      </c>
      <c r="E3479">
        <v>5</v>
      </c>
      <c r="F3479"/>
      <c r="G3479"/>
      <c r="H3479"/>
      <c r="I3479"/>
      <c r="J3479"/>
      <c r="K3479"/>
      <c r="L3479"/>
      <c r="M3479"/>
      <c r="N3479"/>
      <c r="O3479"/>
    </row>
    <row r="3480" spans="1:15" hidden="1" x14ac:dyDescent="0.25">
      <c r="A3480" t="s">
        <v>26</v>
      </c>
      <c r="B3480" t="s">
        <v>115</v>
      </c>
      <c r="C3480" t="b">
        <v>0</v>
      </c>
      <c r="D3480" s="1">
        <v>40725</v>
      </c>
      <c r="E3480">
        <v>5</v>
      </c>
      <c r="F3480"/>
      <c r="G3480"/>
      <c r="H3480"/>
      <c r="I3480"/>
      <c r="J3480"/>
      <c r="K3480"/>
      <c r="L3480"/>
      <c r="M3480"/>
      <c r="N3480"/>
      <c r="O3480"/>
    </row>
    <row r="3481" spans="1:15" hidden="1" x14ac:dyDescent="0.25">
      <c r="A3481" t="s">
        <v>28</v>
      </c>
      <c r="B3481" t="s">
        <v>115</v>
      </c>
      <c r="C3481" t="b">
        <v>0</v>
      </c>
      <c r="D3481" s="1">
        <v>40725</v>
      </c>
      <c r="E3481">
        <v>5</v>
      </c>
      <c r="F3481"/>
      <c r="G3481"/>
      <c r="H3481"/>
      <c r="I3481"/>
      <c r="J3481"/>
      <c r="K3481"/>
      <c r="L3481"/>
      <c r="M3481"/>
      <c r="N3481"/>
      <c r="O3481"/>
    </row>
    <row r="3482" spans="1:15" hidden="1" x14ac:dyDescent="0.25">
      <c r="A3482" t="s">
        <v>29</v>
      </c>
      <c r="B3482" t="s">
        <v>115</v>
      </c>
      <c r="C3482" t="b">
        <v>0</v>
      </c>
      <c r="D3482" s="1">
        <v>40725</v>
      </c>
      <c r="E3482">
        <v>5</v>
      </c>
      <c r="F3482"/>
      <c r="G3482"/>
      <c r="H3482"/>
      <c r="I3482"/>
      <c r="J3482"/>
      <c r="K3482"/>
      <c r="L3482"/>
      <c r="M3482"/>
      <c r="N3482"/>
      <c r="O3482"/>
    </row>
    <row r="3483" spans="1:15" hidden="1" x14ac:dyDescent="0.25">
      <c r="A3483" t="s">
        <v>32</v>
      </c>
      <c r="B3483" t="s">
        <v>115</v>
      </c>
      <c r="C3483" t="b">
        <v>0</v>
      </c>
      <c r="D3483" s="1">
        <v>40725</v>
      </c>
      <c r="E3483">
        <v>5</v>
      </c>
      <c r="F3483"/>
      <c r="G3483"/>
      <c r="H3483"/>
      <c r="I3483"/>
      <c r="J3483"/>
      <c r="K3483"/>
      <c r="L3483"/>
      <c r="M3483"/>
      <c r="N3483"/>
      <c r="O3483"/>
    </row>
    <row r="3484" spans="1:15" hidden="1" x14ac:dyDescent="0.25">
      <c r="A3484" t="s">
        <v>34</v>
      </c>
      <c r="B3484" t="s">
        <v>115</v>
      </c>
      <c r="C3484" t="b">
        <v>0</v>
      </c>
      <c r="D3484" s="1">
        <v>40725</v>
      </c>
      <c r="E3484">
        <v>5</v>
      </c>
      <c r="F3484"/>
      <c r="G3484"/>
      <c r="H3484"/>
      <c r="I3484"/>
      <c r="J3484"/>
      <c r="K3484"/>
      <c r="L3484"/>
      <c r="M3484"/>
      <c r="N3484"/>
      <c r="O3484"/>
    </row>
    <row r="3485" spans="1:15" hidden="1" x14ac:dyDescent="0.25">
      <c r="A3485" t="s">
        <v>36</v>
      </c>
      <c r="B3485" t="s">
        <v>115</v>
      </c>
      <c r="C3485" t="b">
        <v>0</v>
      </c>
      <c r="D3485" s="1">
        <v>40725</v>
      </c>
      <c r="E3485">
        <v>5</v>
      </c>
      <c r="F3485"/>
      <c r="G3485"/>
      <c r="H3485"/>
      <c r="I3485"/>
      <c r="J3485"/>
      <c r="K3485"/>
      <c r="L3485"/>
      <c r="M3485"/>
      <c r="N3485"/>
      <c r="O3485"/>
    </row>
    <row r="3486" spans="1:15" hidden="1" x14ac:dyDescent="0.25">
      <c r="A3486" t="s">
        <v>59</v>
      </c>
      <c r="B3486" t="s">
        <v>115</v>
      </c>
      <c r="C3486" t="b">
        <v>0</v>
      </c>
      <c r="D3486" s="1">
        <v>40725</v>
      </c>
      <c r="E3486">
        <v>5</v>
      </c>
      <c r="F3486"/>
      <c r="G3486"/>
      <c r="H3486"/>
      <c r="I3486"/>
      <c r="J3486"/>
      <c r="K3486"/>
      <c r="L3486"/>
      <c r="M3486"/>
      <c r="N3486"/>
      <c r="O3486"/>
    </row>
    <row r="3487" spans="1:15" hidden="1" x14ac:dyDescent="0.25">
      <c r="A3487" t="s">
        <v>60</v>
      </c>
      <c r="B3487" t="s">
        <v>115</v>
      </c>
      <c r="C3487" t="b">
        <v>0</v>
      </c>
      <c r="D3487" s="1">
        <v>40725</v>
      </c>
      <c r="E3487">
        <v>5</v>
      </c>
      <c r="F3487"/>
      <c r="G3487"/>
      <c r="H3487"/>
      <c r="I3487"/>
      <c r="J3487"/>
      <c r="K3487"/>
      <c r="L3487"/>
      <c r="M3487"/>
      <c r="N3487"/>
      <c r="O3487"/>
    </row>
    <row r="3488" spans="1:15" hidden="1" x14ac:dyDescent="0.25">
      <c r="A3488" t="s">
        <v>69</v>
      </c>
      <c r="B3488" t="s">
        <v>115</v>
      </c>
      <c r="C3488" t="b">
        <v>0</v>
      </c>
      <c r="D3488" s="1">
        <v>40725</v>
      </c>
      <c r="E3488">
        <v>0</v>
      </c>
      <c r="F3488"/>
      <c r="G3488"/>
      <c r="H3488"/>
      <c r="I3488"/>
      <c r="J3488"/>
      <c r="K3488"/>
      <c r="L3488"/>
      <c r="M3488"/>
      <c r="N3488"/>
      <c r="O3488"/>
    </row>
    <row r="3489" spans="1:15" hidden="1" x14ac:dyDescent="0.25">
      <c r="A3489" t="s">
        <v>73</v>
      </c>
      <c r="B3489" t="s">
        <v>115</v>
      </c>
      <c r="C3489" t="b">
        <v>0</v>
      </c>
      <c r="D3489" s="1">
        <v>40725</v>
      </c>
      <c r="E3489">
        <v>5</v>
      </c>
      <c r="F3489"/>
      <c r="G3489"/>
      <c r="H3489"/>
      <c r="I3489"/>
      <c r="J3489"/>
      <c r="K3489"/>
      <c r="L3489"/>
      <c r="M3489"/>
      <c r="N3489"/>
      <c r="O3489"/>
    </row>
    <row r="3490" spans="1:15" hidden="1" x14ac:dyDescent="0.25">
      <c r="A3490" t="s">
        <v>74</v>
      </c>
      <c r="B3490" t="s">
        <v>115</v>
      </c>
      <c r="C3490" t="b">
        <v>0</v>
      </c>
      <c r="D3490" s="1">
        <v>40725</v>
      </c>
      <c r="E3490">
        <v>5</v>
      </c>
      <c r="F3490"/>
      <c r="G3490"/>
      <c r="H3490"/>
      <c r="I3490"/>
      <c r="J3490"/>
      <c r="K3490"/>
      <c r="L3490"/>
      <c r="M3490"/>
      <c r="N3490"/>
      <c r="O3490"/>
    </row>
    <row r="3491" spans="1:15" hidden="1" x14ac:dyDescent="0.25">
      <c r="A3491" t="s">
        <v>76</v>
      </c>
      <c r="B3491" t="s">
        <v>115</v>
      </c>
      <c r="C3491" t="b">
        <v>0</v>
      </c>
      <c r="D3491" s="1">
        <v>40725</v>
      </c>
      <c r="E3491">
        <v>1E-3</v>
      </c>
      <c r="F3491"/>
      <c r="G3491"/>
      <c r="H3491"/>
      <c r="I3491"/>
      <c r="J3491"/>
      <c r="K3491"/>
      <c r="L3491"/>
      <c r="M3491"/>
      <c r="N3491"/>
      <c r="O3491"/>
    </row>
    <row r="3492" spans="1:15" hidden="1" x14ac:dyDescent="0.25">
      <c r="A3492" t="s">
        <v>77</v>
      </c>
      <c r="B3492" t="s">
        <v>115</v>
      </c>
      <c r="C3492" t="b">
        <v>0</v>
      </c>
      <c r="D3492" s="1">
        <v>40725</v>
      </c>
      <c r="E3492">
        <v>5</v>
      </c>
      <c r="F3492"/>
      <c r="G3492"/>
      <c r="H3492"/>
      <c r="I3492"/>
      <c r="J3492"/>
      <c r="K3492"/>
      <c r="L3492"/>
      <c r="M3492"/>
      <c r="N3492"/>
      <c r="O3492"/>
    </row>
    <row r="3493" spans="1:15" hidden="1" x14ac:dyDescent="0.25">
      <c r="A3493" t="s">
        <v>86</v>
      </c>
      <c r="B3493" t="s">
        <v>115</v>
      </c>
      <c r="C3493" t="b">
        <v>0</v>
      </c>
      <c r="D3493" s="1">
        <v>40725</v>
      </c>
      <c r="E3493">
        <v>5</v>
      </c>
      <c r="F3493"/>
      <c r="G3493"/>
      <c r="H3493"/>
      <c r="I3493"/>
      <c r="J3493"/>
      <c r="K3493"/>
      <c r="L3493"/>
      <c r="M3493"/>
      <c r="N3493"/>
      <c r="O3493"/>
    </row>
    <row r="3494" spans="1:15" hidden="1" x14ac:dyDescent="0.25">
      <c r="A3494" t="s">
        <v>88</v>
      </c>
      <c r="B3494" t="s">
        <v>115</v>
      </c>
      <c r="C3494" t="b">
        <v>0</v>
      </c>
      <c r="D3494" s="1">
        <v>40725</v>
      </c>
      <c r="E3494">
        <v>5</v>
      </c>
      <c r="F3494"/>
      <c r="G3494"/>
      <c r="H3494"/>
      <c r="I3494"/>
      <c r="J3494"/>
      <c r="K3494"/>
      <c r="L3494"/>
      <c r="M3494"/>
      <c r="N3494"/>
      <c r="O3494"/>
    </row>
    <row r="3495" spans="1:15" hidden="1" x14ac:dyDescent="0.25">
      <c r="A3495" t="s">
        <v>89</v>
      </c>
      <c r="B3495" t="s">
        <v>115</v>
      </c>
      <c r="C3495" t="b">
        <v>0</v>
      </c>
      <c r="D3495" s="1">
        <v>40725</v>
      </c>
      <c r="E3495">
        <v>5</v>
      </c>
      <c r="F3495"/>
      <c r="G3495"/>
      <c r="H3495"/>
      <c r="I3495"/>
      <c r="J3495"/>
      <c r="K3495"/>
      <c r="L3495"/>
      <c r="M3495"/>
      <c r="N3495"/>
      <c r="O3495"/>
    </row>
    <row r="3496" spans="1:15" hidden="1" x14ac:dyDescent="0.25">
      <c r="A3496" t="s">
        <v>95</v>
      </c>
      <c r="B3496" t="s">
        <v>115</v>
      </c>
      <c r="C3496" t="b">
        <v>0</v>
      </c>
      <c r="D3496" s="1">
        <v>40725</v>
      </c>
      <c r="E3496">
        <v>5</v>
      </c>
      <c r="F3496"/>
      <c r="G3496"/>
      <c r="H3496"/>
      <c r="I3496"/>
      <c r="J3496"/>
      <c r="K3496"/>
      <c r="L3496"/>
      <c r="M3496"/>
      <c r="N3496"/>
      <c r="O3496"/>
    </row>
    <row r="3497" spans="1:15" hidden="1" x14ac:dyDescent="0.25">
      <c r="A3497" t="s">
        <v>99</v>
      </c>
      <c r="B3497" t="s">
        <v>114</v>
      </c>
      <c r="C3497" t="b">
        <v>0</v>
      </c>
      <c r="D3497" s="1">
        <v>40725</v>
      </c>
      <c r="E3497">
        <v>12.8</v>
      </c>
      <c r="F3497"/>
      <c r="G3497"/>
      <c r="H3497"/>
      <c r="I3497"/>
      <c r="J3497"/>
      <c r="K3497"/>
      <c r="L3497"/>
      <c r="M3497"/>
      <c r="N3497"/>
      <c r="O3497"/>
    </row>
    <row r="3498" spans="1:15" hidden="1" x14ac:dyDescent="0.25">
      <c r="A3498" t="s">
        <v>100</v>
      </c>
      <c r="B3498" t="s">
        <v>117</v>
      </c>
      <c r="C3498" t="b">
        <v>0</v>
      </c>
      <c r="D3498" s="1">
        <v>40756</v>
      </c>
      <c r="E3498" s="2">
        <v>-83.88</v>
      </c>
      <c r="F3498"/>
      <c r="G3498"/>
      <c r="H3498"/>
      <c r="I3498"/>
      <c r="J3498"/>
      <c r="K3498"/>
      <c r="L3498"/>
      <c r="M3498"/>
      <c r="N3498"/>
      <c r="O3498"/>
    </row>
    <row r="3499" spans="1:15" hidden="1" x14ac:dyDescent="0.25">
      <c r="A3499" t="s">
        <v>102</v>
      </c>
      <c r="B3499" t="s">
        <v>117</v>
      </c>
      <c r="C3499" t="b">
        <v>0</v>
      </c>
      <c r="D3499" s="1">
        <v>40756</v>
      </c>
      <c r="E3499" s="2">
        <v>-24.13</v>
      </c>
      <c r="F3499"/>
      <c r="G3499"/>
      <c r="H3499"/>
      <c r="I3499"/>
      <c r="J3499"/>
      <c r="K3499"/>
      <c r="L3499"/>
      <c r="M3499"/>
      <c r="N3499"/>
      <c r="O3499"/>
    </row>
    <row r="3500" spans="1:15" hidden="1" x14ac:dyDescent="0.25">
      <c r="A3500" t="s">
        <v>101</v>
      </c>
      <c r="B3500" t="s">
        <v>117</v>
      </c>
      <c r="C3500" t="b">
        <v>0</v>
      </c>
      <c r="D3500" s="1">
        <v>40756</v>
      </c>
      <c r="E3500" s="2">
        <v>-6.87</v>
      </c>
      <c r="F3500"/>
      <c r="G3500"/>
      <c r="H3500"/>
      <c r="I3500"/>
      <c r="J3500"/>
      <c r="K3500"/>
      <c r="L3500"/>
      <c r="M3500"/>
      <c r="N3500"/>
      <c r="O3500"/>
    </row>
    <row r="3501" spans="1:15" hidden="1" x14ac:dyDescent="0.25">
      <c r="A3501" t="s">
        <v>25</v>
      </c>
      <c r="B3501" t="s">
        <v>115</v>
      </c>
      <c r="C3501" t="b">
        <v>0</v>
      </c>
      <c r="D3501" s="1">
        <v>40756</v>
      </c>
      <c r="E3501">
        <v>5</v>
      </c>
      <c r="F3501"/>
      <c r="G3501"/>
      <c r="H3501"/>
      <c r="I3501"/>
      <c r="J3501"/>
      <c r="K3501"/>
      <c r="L3501"/>
      <c r="M3501"/>
      <c r="N3501"/>
      <c r="O3501"/>
    </row>
    <row r="3502" spans="1:15" hidden="1" x14ac:dyDescent="0.25">
      <c r="A3502" t="s">
        <v>26</v>
      </c>
      <c r="B3502" t="s">
        <v>115</v>
      </c>
      <c r="C3502" t="b">
        <v>0</v>
      </c>
      <c r="D3502" s="1">
        <v>40756</v>
      </c>
      <c r="E3502">
        <v>5</v>
      </c>
      <c r="F3502"/>
      <c r="G3502"/>
      <c r="H3502"/>
      <c r="I3502"/>
      <c r="J3502"/>
      <c r="K3502"/>
      <c r="L3502"/>
      <c r="M3502"/>
      <c r="N3502"/>
      <c r="O3502"/>
    </row>
    <row r="3503" spans="1:15" hidden="1" x14ac:dyDescent="0.25">
      <c r="A3503" t="s">
        <v>28</v>
      </c>
      <c r="B3503" t="s">
        <v>115</v>
      </c>
      <c r="C3503" t="b">
        <v>0</v>
      </c>
      <c r="D3503" s="1">
        <v>40756</v>
      </c>
      <c r="E3503">
        <v>5</v>
      </c>
      <c r="F3503"/>
      <c r="G3503"/>
      <c r="H3503"/>
      <c r="I3503"/>
      <c r="J3503"/>
      <c r="K3503"/>
      <c r="L3503"/>
      <c r="M3503"/>
      <c r="N3503"/>
      <c r="O3503"/>
    </row>
    <row r="3504" spans="1:15" hidden="1" x14ac:dyDescent="0.25">
      <c r="A3504" t="s">
        <v>29</v>
      </c>
      <c r="B3504" t="s">
        <v>115</v>
      </c>
      <c r="C3504" t="b">
        <v>0</v>
      </c>
      <c r="D3504" s="1">
        <v>40756</v>
      </c>
      <c r="E3504">
        <v>5</v>
      </c>
      <c r="F3504"/>
      <c r="G3504"/>
      <c r="H3504"/>
      <c r="I3504"/>
      <c r="J3504"/>
      <c r="K3504"/>
      <c r="L3504"/>
      <c r="M3504"/>
      <c r="N3504"/>
      <c r="O3504"/>
    </row>
    <row r="3505" spans="1:15" hidden="1" x14ac:dyDescent="0.25">
      <c r="A3505" t="s">
        <v>32</v>
      </c>
      <c r="B3505" t="s">
        <v>115</v>
      </c>
      <c r="C3505" t="b">
        <v>0</v>
      </c>
      <c r="D3505" s="1">
        <v>40756</v>
      </c>
      <c r="E3505">
        <v>5</v>
      </c>
      <c r="F3505"/>
      <c r="G3505"/>
      <c r="H3505"/>
      <c r="I3505"/>
      <c r="J3505"/>
      <c r="K3505"/>
      <c r="L3505"/>
      <c r="M3505"/>
      <c r="N3505"/>
      <c r="O3505"/>
    </row>
    <row r="3506" spans="1:15" hidden="1" x14ac:dyDescent="0.25">
      <c r="A3506" t="s">
        <v>34</v>
      </c>
      <c r="B3506" t="s">
        <v>115</v>
      </c>
      <c r="C3506" t="b">
        <v>0</v>
      </c>
      <c r="D3506" s="1">
        <v>40756</v>
      </c>
      <c r="E3506">
        <v>5</v>
      </c>
      <c r="F3506"/>
      <c r="G3506"/>
      <c r="H3506"/>
      <c r="I3506"/>
      <c r="J3506"/>
      <c r="K3506"/>
      <c r="L3506"/>
      <c r="M3506"/>
      <c r="N3506"/>
      <c r="O3506"/>
    </row>
    <row r="3507" spans="1:15" hidden="1" x14ac:dyDescent="0.25">
      <c r="A3507" t="s">
        <v>59</v>
      </c>
      <c r="B3507" t="s">
        <v>115</v>
      </c>
      <c r="C3507" t="b">
        <v>0</v>
      </c>
      <c r="D3507" s="1">
        <v>40756</v>
      </c>
      <c r="E3507">
        <v>5</v>
      </c>
      <c r="F3507"/>
      <c r="G3507"/>
      <c r="H3507"/>
      <c r="I3507"/>
      <c r="J3507"/>
      <c r="K3507"/>
      <c r="L3507"/>
      <c r="M3507"/>
      <c r="N3507"/>
      <c r="O3507"/>
    </row>
    <row r="3508" spans="1:15" hidden="1" x14ac:dyDescent="0.25">
      <c r="A3508" t="s">
        <v>60</v>
      </c>
      <c r="B3508" t="s">
        <v>115</v>
      </c>
      <c r="C3508" t="b">
        <v>0</v>
      </c>
      <c r="D3508" s="1">
        <v>40756</v>
      </c>
      <c r="E3508">
        <v>5</v>
      </c>
      <c r="F3508"/>
      <c r="G3508"/>
      <c r="H3508"/>
      <c r="I3508"/>
      <c r="J3508"/>
      <c r="K3508"/>
      <c r="L3508"/>
      <c r="M3508"/>
      <c r="N3508"/>
      <c r="O3508"/>
    </row>
    <row r="3509" spans="1:15" hidden="1" x14ac:dyDescent="0.25">
      <c r="A3509" t="s">
        <v>69</v>
      </c>
      <c r="B3509" t="s">
        <v>115</v>
      </c>
      <c r="C3509" t="b">
        <v>0</v>
      </c>
      <c r="D3509" s="1">
        <v>40756</v>
      </c>
      <c r="E3509">
        <v>5</v>
      </c>
      <c r="F3509"/>
      <c r="G3509"/>
      <c r="H3509"/>
      <c r="I3509"/>
      <c r="J3509"/>
      <c r="K3509"/>
      <c r="L3509"/>
      <c r="M3509"/>
      <c r="N3509"/>
      <c r="O3509"/>
    </row>
    <row r="3510" spans="1:15" hidden="1" x14ac:dyDescent="0.25">
      <c r="A3510" t="s">
        <v>73</v>
      </c>
      <c r="B3510" t="s">
        <v>115</v>
      </c>
      <c r="C3510" t="b">
        <v>0</v>
      </c>
      <c r="D3510" s="1">
        <v>40756</v>
      </c>
      <c r="E3510">
        <v>5</v>
      </c>
      <c r="F3510"/>
      <c r="G3510"/>
      <c r="H3510"/>
      <c r="I3510"/>
      <c r="J3510"/>
      <c r="K3510"/>
      <c r="L3510"/>
      <c r="M3510"/>
      <c r="N3510"/>
      <c r="O3510"/>
    </row>
    <row r="3511" spans="1:15" hidden="1" x14ac:dyDescent="0.25">
      <c r="A3511" t="s">
        <v>74</v>
      </c>
      <c r="B3511" t="s">
        <v>115</v>
      </c>
      <c r="C3511" t="b">
        <v>0</v>
      </c>
      <c r="D3511" s="1">
        <v>40756</v>
      </c>
      <c r="E3511">
        <v>5</v>
      </c>
      <c r="F3511"/>
      <c r="G3511"/>
      <c r="H3511"/>
      <c r="I3511"/>
      <c r="J3511"/>
      <c r="K3511"/>
      <c r="L3511"/>
      <c r="M3511"/>
      <c r="N3511"/>
      <c r="O3511"/>
    </row>
    <row r="3512" spans="1:15" hidden="1" x14ac:dyDescent="0.25">
      <c r="A3512" t="s">
        <v>76</v>
      </c>
      <c r="B3512" t="s">
        <v>115</v>
      </c>
      <c r="C3512" t="b">
        <v>0</v>
      </c>
      <c r="D3512" s="1">
        <v>40756</v>
      </c>
      <c r="E3512">
        <v>1E-3</v>
      </c>
      <c r="F3512"/>
      <c r="G3512"/>
      <c r="H3512"/>
      <c r="I3512"/>
      <c r="J3512"/>
      <c r="K3512"/>
      <c r="L3512"/>
      <c r="M3512"/>
      <c r="N3512"/>
      <c r="O3512"/>
    </row>
    <row r="3513" spans="1:15" hidden="1" x14ac:dyDescent="0.25">
      <c r="A3513" t="s">
        <v>77</v>
      </c>
      <c r="B3513" t="s">
        <v>115</v>
      </c>
      <c r="C3513" t="b">
        <v>0</v>
      </c>
      <c r="D3513" s="1">
        <v>40756</v>
      </c>
      <c r="E3513">
        <v>5</v>
      </c>
      <c r="F3513"/>
      <c r="G3513"/>
      <c r="H3513"/>
      <c r="I3513"/>
      <c r="J3513"/>
      <c r="K3513"/>
      <c r="L3513"/>
      <c r="M3513"/>
      <c r="N3513"/>
      <c r="O3513"/>
    </row>
    <row r="3514" spans="1:15" hidden="1" x14ac:dyDescent="0.25">
      <c r="A3514" t="s">
        <v>79</v>
      </c>
      <c r="B3514" t="s">
        <v>115</v>
      </c>
      <c r="C3514" t="b">
        <v>0</v>
      </c>
      <c r="D3514" s="1">
        <v>40756</v>
      </c>
      <c r="E3514">
        <v>5</v>
      </c>
      <c r="F3514"/>
      <c r="G3514"/>
      <c r="H3514"/>
      <c r="I3514"/>
      <c r="J3514"/>
      <c r="K3514"/>
      <c r="L3514"/>
      <c r="M3514"/>
      <c r="N3514"/>
      <c r="O3514"/>
    </row>
    <row r="3515" spans="1:15" hidden="1" x14ac:dyDescent="0.25">
      <c r="A3515" t="s">
        <v>86</v>
      </c>
      <c r="B3515" t="s">
        <v>115</v>
      </c>
      <c r="C3515" t="b">
        <v>0</v>
      </c>
      <c r="D3515" s="1">
        <v>40756</v>
      </c>
      <c r="E3515">
        <v>5</v>
      </c>
      <c r="F3515"/>
      <c r="G3515"/>
      <c r="H3515"/>
      <c r="I3515"/>
      <c r="J3515"/>
      <c r="K3515"/>
      <c r="L3515"/>
      <c r="M3515"/>
      <c r="N3515"/>
      <c r="O3515"/>
    </row>
    <row r="3516" spans="1:15" hidden="1" x14ac:dyDescent="0.25">
      <c r="A3516" t="s">
        <v>88</v>
      </c>
      <c r="B3516" t="s">
        <v>115</v>
      </c>
      <c r="C3516" t="b">
        <v>0</v>
      </c>
      <c r="D3516" s="1">
        <v>40756</v>
      </c>
      <c r="E3516">
        <v>5</v>
      </c>
      <c r="F3516"/>
      <c r="G3516"/>
      <c r="H3516"/>
      <c r="I3516"/>
      <c r="J3516"/>
      <c r="K3516"/>
      <c r="L3516"/>
      <c r="M3516"/>
      <c r="N3516"/>
      <c r="O3516"/>
    </row>
    <row r="3517" spans="1:15" hidden="1" x14ac:dyDescent="0.25">
      <c r="A3517" t="s">
        <v>89</v>
      </c>
      <c r="B3517" t="s">
        <v>115</v>
      </c>
      <c r="C3517" t="b">
        <v>0</v>
      </c>
      <c r="D3517" s="1">
        <v>40756</v>
      </c>
      <c r="E3517">
        <v>5</v>
      </c>
      <c r="F3517"/>
      <c r="G3517"/>
      <c r="H3517"/>
      <c r="I3517"/>
      <c r="J3517"/>
      <c r="K3517"/>
      <c r="L3517"/>
      <c r="M3517"/>
      <c r="N3517"/>
      <c r="O3517"/>
    </row>
    <row r="3518" spans="1:15" hidden="1" x14ac:dyDescent="0.25">
      <c r="A3518" t="s">
        <v>95</v>
      </c>
      <c r="B3518" t="s">
        <v>115</v>
      </c>
      <c r="C3518" t="b">
        <v>0</v>
      </c>
      <c r="D3518" s="1">
        <v>40756</v>
      </c>
      <c r="E3518">
        <v>5</v>
      </c>
      <c r="F3518"/>
      <c r="G3518"/>
      <c r="H3518"/>
      <c r="I3518"/>
      <c r="J3518"/>
      <c r="K3518"/>
      <c r="L3518"/>
      <c r="M3518"/>
      <c r="N3518"/>
      <c r="O3518"/>
    </row>
    <row r="3519" spans="1:15" hidden="1" x14ac:dyDescent="0.25">
      <c r="A3519" t="s">
        <v>99</v>
      </c>
      <c r="B3519" t="s">
        <v>114</v>
      </c>
      <c r="C3519" t="b">
        <v>0</v>
      </c>
      <c r="D3519" s="1">
        <v>40756</v>
      </c>
      <c r="E3519">
        <v>20.130000000000003</v>
      </c>
      <c r="F3519"/>
      <c r="G3519"/>
      <c r="H3519"/>
      <c r="I3519"/>
      <c r="J3519"/>
      <c r="K3519"/>
      <c r="L3519"/>
      <c r="M3519"/>
      <c r="N3519"/>
      <c r="O3519"/>
    </row>
    <row r="3520" spans="1:15" hidden="1" x14ac:dyDescent="0.25">
      <c r="A3520" t="s">
        <v>100</v>
      </c>
      <c r="B3520" t="s">
        <v>117</v>
      </c>
      <c r="C3520" t="b">
        <v>0</v>
      </c>
      <c r="D3520" s="1">
        <v>40787</v>
      </c>
      <c r="E3520" s="2">
        <v>-47.09</v>
      </c>
      <c r="F3520"/>
      <c r="G3520"/>
      <c r="H3520"/>
      <c r="I3520"/>
      <c r="J3520"/>
      <c r="K3520"/>
      <c r="L3520"/>
      <c r="M3520"/>
      <c r="N3520"/>
      <c r="O3520"/>
    </row>
    <row r="3521" spans="1:15" hidden="1" x14ac:dyDescent="0.25">
      <c r="A3521" t="s">
        <v>102</v>
      </c>
      <c r="B3521" t="s">
        <v>117</v>
      </c>
      <c r="C3521" t="b">
        <v>0</v>
      </c>
      <c r="D3521" s="1">
        <v>40787</v>
      </c>
      <c r="E3521" s="2">
        <v>-37.97</v>
      </c>
      <c r="F3521"/>
      <c r="G3521"/>
      <c r="H3521"/>
      <c r="I3521"/>
      <c r="J3521"/>
      <c r="K3521"/>
      <c r="L3521"/>
      <c r="M3521"/>
      <c r="N3521"/>
      <c r="O3521"/>
    </row>
    <row r="3522" spans="1:15" hidden="1" x14ac:dyDescent="0.25">
      <c r="A3522" t="s">
        <v>25</v>
      </c>
      <c r="B3522" t="s">
        <v>115</v>
      </c>
      <c r="C3522" t="b">
        <v>0</v>
      </c>
      <c r="D3522" s="1">
        <v>40787</v>
      </c>
      <c r="E3522">
        <v>5</v>
      </c>
      <c r="F3522"/>
      <c r="G3522"/>
      <c r="H3522"/>
      <c r="I3522"/>
      <c r="J3522"/>
      <c r="K3522"/>
      <c r="L3522"/>
      <c r="M3522"/>
      <c r="N3522"/>
      <c r="O3522"/>
    </row>
    <row r="3523" spans="1:15" hidden="1" x14ac:dyDescent="0.25">
      <c r="A3523" t="s">
        <v>26</v>
      </c>
      <c r="B3523" t="s">
        <v>115</v>
      </c>
      <c r="C3523" t="b">
        <v>0</v>
      </c>
      <c r="D3523" s="1">
        <v>40787</v>
      </c>
      <c r="E3523">
        <v>5</v>
      </c>
      <c r="F3523"/>
      <c r="G3523"/>
      <c r="H3523"/>
      <c r="I3523"/>
      <c r="J3523"/>
      <c r="K3523"/>
      <c r="L3523"/>
      <c r="M3523"/>
      <c r="N3523"/>
      <c r="O3523"/>
    </row>
    <row r="3524" spans="1:15" hidden="1" x14ac:dyDescent="0.25">
      <c r="A3524" t="s">
        <v>28</v>
      </c>
      <c r="B3524" t="s">
        <v>115</v>
      </c>
      <c r="C3524" t="b">
        <v>0</v>
      </c>
      <c r="D3524" s="1">
        <v>40787</v>
      </c>
      <c r="E3524">
        <v>5</v>
      </c>
      <c r="F3524"/>
      <c r="G3524"/>
      <c r="H3524"/>
      <c r="I3524"/>
      <c r="J3524"/>
      <c r="K3524"/>
      <c r="L3524"/>
      <c r="M3524"/>
      <c r="N3524"/>
      <c r="O3524"/>
    </row>
    <row r="3525" spans="1:15" hidden="1" x14ac:dyDescent="0.25">
      <c r="A3525" t="s">
        <v>32</v>
      </c>
      <c r="B3525" t="s">
        <v>115</v>
      </c>
      <c r="C3525" t="b">
        <v>0</v>
      </c>
      <c r="D3525" s="1">
        <v>40787</v>
      </c>
      <c r="E3525">
        <v>5</v>
      </c>
      <c r="F3525"/>
      <c r="G3525"/>
      <c r="H3525"/>
      <c r="I3525"/>
      <c r="J3525"/>
      <c r="K3525"/>
      <c r="L3525"/>
      <c r="M3525"/>
      <c r="N3525"/>
      <c r="O3525"/>
    </row>
    <row r="3526" spans="1:15" hidden="1" x14ac:dyDescent="0.25">
      <c r="A3526" t="s">
        <v>34</v>
      </c>
      <c r="B3526" t="s">
        <v>115</v>
      </c>
      <c r="C3526" t="b">
        <v>0</v>
      </c>
      <c r="D3526" s="1">
        <v>40787</v>
      </c>
      <c r="E3526">
        <v>0</v>
      </c>
      <c r="F3526"/>
      <c r="G3526"/>
      <c r="H3526"/>
      <c r="I3526"/>
      <c r="J3526"/>
      <c r="K3526"/>
      <c r="L3526"/>
      <c r="M3526"/>
      <c r="N3526"/>
      <c r="O3526"/>
    </row>
    <row r="3527" spans="1:15" hidden="1" x14ac:dyDescent="0.25">
      <c r="A3527" t="s">
        <v>59</v>
      </c>
      <c r="B3527" t="s">
        <v>115</v>
      </c>
      <c r="C3527" t="b">
        <v>0</v>
      </c>
      <c r="D3527" s="1">
        <v>40787</v>
      </c>
      <c r="E3527">
        <v>5</v>
      </c>
      <c r="F3527"/>
      <c r="G3527"/>
      <c r="H3527"/>
      <c r="I3527"/>
      <c r="J3527"/>
      <c r="K3527"/>
      <c r="L3527"/>
      <c r="M3527"/>
      <c r="N3527"/>
      <c r="O3527"/>
    </row>
    <row r="3528" spans="1:15" hidden="1" x14ac:dyDescent="0.25">
      <c r="A3528" t="s">
        <v>60</v>
      </c>
      <c r="B3528" t="s">
        <v>115</v>
      </c>
      <c r="C3528" t="b">
        <v>0</v>
      </c>
      <c r="D3528" s="1">
        <v>40787</v>
      </c>
      <c r="E3528">
        <v>5</v>
      </c>
      <c r="F3528"/>
      <c r="G3528"/>
      <c r="H3528"/>
      <c r="I3528"/>
      <c r="J3528"/>
      <c r="K3528"/>
      <c r="L3528"/>
      <c r="M3528"/>
      <c r="N3528"/>
      <c r="O3528"/>
    </row>
    <row r="3529" spans="1:15" hidden="1" x14ac:dyDescent="0.25">
      <c r="A3529" t="s">
        <v>69</v>
      </c>
      <c r="B3529" t="s">
        <v>115</v>
      </c>
      <c r="C3529" t="b">
        <v>0</v>
      </c>
      <c r="D3529" s="1">
        <v>40787</v>
      </c>
      <c r="E3529">
        <v>5</v>
      </c>
      <c r="F3529"/>
      <c r="G3529"/>
      <c r="H3529"/>
      <c r="I3529"/>
      <c r="J3529"/>
      <c r="K3529"/>
      <c r="L3529"/>
      <c r="M3529"/>
      <c r="N3529"/>
      <c r="O3529"/>
    </row>
    <row r="3530" spans="1:15" hidden="1" x14ac:dyDescent="0.25">
      <c r="A3530" t="s">
        <v>73</v>
      </c>
      <c r="B3530" t="s">
        <v>115</v>
      </c>
      <c r="C3530" t="b">
        <v>0</v>
      </c>
      <c r="D3530" s="1">
        <v>40787</v>
      </c>
      <c r="E3530">
        <v>5</v>
      </c>
      <c r="F3530"/>
      <c r="G3530"/>
      <c r="H3530"/>
      <c r="I3530"/>
      <c r="J3530"/>
      <c r="K3530"/>
      <c r="L3530"/>
      <c r="M3530"/>
      <c r="N3530"/>
      <c r="O3530"/>
    </row>
    <row r="3531" spans="1:15" hidden="1" x14ac:dyDescent="0.25">
      <c r="A3531" t="s">
        <v>74</v>
      </c>
      <c r="B3531" t="s">
        <v>115</v>
      </c>
      <c r="C3531" t="b">
        <v>0</v>
      </c>
      <c r="D3531" s="1">
        <v>40787</v>
      </c>
      <c r="E3531">
        <v>5</v>
      </c>
      <c r="F3531"/>
      <c r="G3531"/>
      <c r="H3531"/>
      <c r="I3531"/>
      <c r="J3531"/>
      <c r="K3531"/>
      <c r="L3531"/>
      <c r="M3531"/>
      <c r="N3531"/>
      <c r="O3531"/>
    </row>
    <row r="3532" spans="1:15" hidden="1" x14ac:dyDescent="0.25">
      <c r="A3532" t="s">
        <v>76</v>
      </c>
      <c r="B3532" t="s">
        <v>115</v>
      </c>
      <c r="C3532" t="b">
        <v>0</v>
      </c>
      <c r="D3532" s="1">
        <v>40787</v>
      </c>
      <c r="E3532">
        <v>1E-3</v>
      </c>
      <c r="F3532"/>
      <c r="G3532"/>
      <c r="H3532"/>
      <c r="I3532"/>
      <c r="J3532"/>
      <c r="K3532"/>
      <c r="L3532"/>
      <c r="M3532"/>
      <c r="N3532"/>
      <c r="O3532"/>
    </row>
    <row r="3533" spans="1:15" hidden="1" x14ac:dyDescent="0.25">
      <c r="A3533" t="s">
        <v>79</v>
      </c>
      <c r="B3533" t="s">
        <v>115</v>
      </c>
      <c r="C3533" t="b">
        <v>0</v>
      </c>
      <c r="D3533" s="1">
        <v>40787</v>
      </c>
      <c r="E3533">
        <v>5</v>
      </c>
      <c r="F3533"/>
      <c r="G3533"/>
      <c r="H3533"/>
      <c r="I3533"/>
      <c r="J3533"/>
      <c r="K3533"/>
      <c r="L3533"/>
      <c r="M3533"/>
      <c r="N3533"/>
      <c r="O3533"/>
    </row>
    <row r="3534" spans="1:15" hidden="1" x14ac:dyDescent="0.25">
      <c r="A3534" t="s">
        <v>86</v>
      </c>
      <c r="B3534" t="s">
        <v>115</v>
      </c>
      <c r="C3534" t="b">
        <v>0</v>
      </c>
      <c r="D3534" s="1">
        <v>40787</v>
      </c>
      <c r="E3534">
        <v>5</v>
      </c>
      <c r="F3534"/>
      <c r="G3534"/>
      <c r="H3534"/>
      <c r="I3534"/>
      <c r="J3534"/>
      <c r="K3534"/>
      <c r="L3534"/>
      <c r="M3534"/>
      <c r="N3534"/>
      <c r="O3534"/>
    </row>
    <row r="3535" spans="1:15" hidden="1" x14ac:dyDescent="0.25">
      <c r="A3535" t="s">
        <v>88</v>
      </c>
      <c r="B3535" t="s">
        <v>115</v>
      </c>
      <c r="C3535" t="b">
        <v>0</v>
      </c>
      <c r="D3535" s="1">
        <v>40787</v>
      </c>
      <c r="E3535">
        <v>5</v>
      </c>
      <c r="F3535"/>
      <c r="G3535"/>
      <c r="H3535"/>
      <c r="I3535"/>
      <c r="J3535"/>
      <c r="K3535"/>
      <c r="L3535"/>
      <c r="M3535"/>
      <c r="N3535"/>
      <c r="O3535"/>
    </row>
    <row r="3536" spans="1:15" hidden="1" x14ac:dyDescent="0.25">
      <c r="A3536" t="s">
        <v>89</v>
      </c>
      <c r="B3536" t="s">
        <v>115</v>
      </c>
      <c r="C3536" t="b">
        <v>0</v>
      </c>
      <c r="D3536" s="1">
        <v>40787</v>
      </c>
      <c r="E3536">
        <v>5</v>
      </c>
      <c r="F3536"/>
      <c r="G3536"/>
      <c r="H3536"/>
      <c r="I3536"/>
      <c r="J3536"/>
      <c r="K3536"/>
      <c r="L3536"/>
      <c r="M3536"/>
      <c r="N3536"/>
      <c r="O3536"/>
    </row>
    <row r="3537" spans="1:15" hidden="1" x14ac:dyDescent="0.25">
      <c r="A3537" t="s">
        <v>95</v>
      </c>
      <c r="B3537" t="s">
        <v>115</v>
      </c>
      <c r="C3537" t="b">
        <v>0</v>
      </c>
      <c r="D3537" s="1">
        <v>40787</v>
      </c>
      <c r="E3537">
        <v>5</v>
      </c>
      <c r="F3537"/>
      <c r="G3537"/>
      <c r="H3537"/>
      <c r="I3537"/>
      <c r="J3537"/>
      <c r="K3537"/>
      <c r="L3537"/>
      <c r="M3537"/>
      <c r="N3537"/>
      <c r="O3537"/>
    </row>
    <row r="3538" spans="1:15" hidden="1" x14ac:dyDescent="0.25">
      <c r="A3538" t="s">
        <v>99</v>
      </c>
      <c r="B3538" t="s">
        <v>114</v>
      </c>
      <c r="C3538" t="b">
        <v>0</v>
      </c>
      <c r="D3538" s="1">
        <v>40787</v>
      </c>
      <c r="E3538">
        <v>19.14</v>
      </c>
      <c r="F3538"/>
      <c r="G3538"/>
      <c r="H3538"/>
      <c r="I3538"/>
      <c r="J3538"/>
      <c r="K3538"/>
      <c r="L3538"/>
      <c r="M3538"/>
      <c r="N3538"/>
      <c r="O3538"/>
    </row>
    <row r="3539" spans="1:15" hidden="1" x14ac:dyDescent="0.25">
      <c r="A3539" t="s">
        <v>100</v>
      </c>
      <c r="B3539" t="s">
        <v>117</v>
      </c>
      <c r="C3539" t="b">
        <v>0</v>
      </c>
      <c r="D3539" s="1">
        <v>40817</v>
      </c>
      <c r="E3539" s="2">
        <v>-45</v>
      </c>
      <c r="F3539"/>
      <c r="G3539"/>
      <c r="H3539"/>
      <c r="I3539"/>
      <c r="J3539"/>
      <c r="K3539"/>
      <c r="L3539"/>
      <c r="M3539"/>
      <c r="N3539"/>
      <c r="O3539"/>
    </row>
    <row r="3540" spans="1:15" hidden="1" x14ac:dyDescent="0.25">
      <c r="A3540" t="s">
        <v>104</v>
      </c>
      <c r="B3540" t="s">
        <v>117</v>
      </c>
      <c r="C3540" t="b">
        <v>0</v>
      </c>
      <c r="D3540" s="1">
        <v>40817</v>
      </c>
      <c r="E3540" s="2">
        <v>-11.458600000000001</v>
      </c>
      <c r="F3540"/>
      <c r="G3540"/>
      <c r="H3540"/>
      <c r="I3540"/>
      <c r="J3540"/>
      <c r="K3540"/>
      <c r="L3540"/>
      <c r="M3540"/>
      <c r="N3540"/>
      <c r="O3540"/>
    </row>
    <row r="3541" spans="1:15" hidden="1" x14ac:dyDescent="0.25">
      <c r="A3541" t="s">
        <v>102</v>
      </c>
      <c r="B3541" t="s">
        <v>117</v>
      </c>
      <c r="C3541" t="b">
        <v>0</v>
      </c>
      <c r="D3541" s="1">
        <v>40817</v>
      </c>
      <c r="E3541" s="2">
        <v>-28.096000000000004</v>
      </c>
      <c r="F3541"/>
      <c r="G3541"/>
      <c r="H3541"/>
      <c r="I3541"/>
      <c r="J3541"/>
      <c r="K3541"/>
      <c r="L3541"/>
      <c r="M3541"/>
      <c r="N3541"/>
      <c r="O3541"/>
    </row>
    <row r="3542" spans="1:15" hidden="1" x14ac:dyDescent="0.25">
      <c r="A3542" t="s">
        <v>103</v>
      </c>
      <c r="B3542" t="s">
        <v>117</v>
      </c>
      <c r="C3542" t="b">
        <v>0</v>
      </c>
      <c r="D3542" s="1">
        <v>40817</v>
      </c>
      <c r="E3542" s="2">
        <v>-1.27</v>
      </c>
      <c r="F3542"/>
      <c r="G3542"/>
      <c r="H3542"/>
      <c r="I3542"/>
      <c r="J3542"/>
      <c r="K3542"/>
      <c r="L3542"/>
      <c r="M3542"/>
      <c r="N3542"/>
      <c r="O3542"/>
    </row>
    <row r="3543" spans="1:15" hidden="1" x14ac:dyDescent="0.25">
      <c r="A3543" t="s">
        <v>25</v>
      </c>
      <c r="B3543" t="s">
        <v>115</v>
      </c>
      <c r="C3543" t="b">
        <v>0</v>
      </c>
      <c r="D3543" s="1">
        <v>40817</v>
      </c>
      <c r="E3543">
        <v>5</v>
      </c>
      <c r="F3543"/>
      <c r="G3543"/>
      <c r="H3543"/>
      <c r="I3543"/>
      <c r="J3543"/>
      <c r="K3543"/>
      <c r="L3543"/>
      <c r="M3543"/>
      <c r="N3543"/>
      <c r="O3543"/>
    </row>
    <row r="3544" spans="1:15" hidden="1" x14ac:dyDescent="0.25">
      <c r="A3544" t="s">
        <v>26</v>
      </c>
      <c r="B3544" t="s">
        <v>115</v>
      </c>
      <c r="C3544" t="b">
        <v>0</v>
      </c>
      <c r="D3544" s="1">
        <v>40817</v>
      </c>
      <c r="E3544">
        <v>5</v>
      </c>
      <c r="F3544"/>
      <c r="G3544"/>
      <c r="H3544"/>
      <c r="I3544"/>
      <c r="J3544"/>
      <c r="K3544"/>
      <c r="L3544"/>
      <c r="M3544"/>
      <c r="N3544"/>
      <c r="O3544"/>
    </row>
    <row r="3545" spans="1:15" hidden="1" x14ac:dyDescent="0.25">
      <c r="A3545" t="s">
        <v>28</v>
      </c>
      <c r="B3545" t="s">
        <v>115</v>
      </c>
      <c r="C3545" t="b">
        <v>0</v>
      </c>
      <c r="D3545" s="1">
        <v>40817</v>
      </c>
      <c r="E3545">
        <v>5</v>
      </c>
      <c r="F3545"/>
      <c r="G3545"/>
      <c r="H3545"/>
      <c r="I3545"/>
      <c r="J3545"/>
      <c r="K3545"/>
      <c r="L3545"/>
      <c r="M3545"/>
      <c r="N3545"/>
      <c r="O3545"/>
    </row>
    <row r="3546" spans="1:15" hidden="1" x14ac:dyDescent="0.25">
      <c r="A3546" t="s">
        <v>57</v>
      </c>
      <c r="B3546" t="s">
        <v>115</v>
      </c>
      <c r="C3546" t="b">
        <v>0</v>
      </c>
      <c r="D3546" s="1">
        <v>40817</v>
      </c>
      <c r="E3546">
        <v>2.5</v>
      </c>
      <c r="F3546"/>
      <c r="G3546"/>
      <c r="H3546"/>
      <c r="I3546"/>
      <c r="J3546"/>
      <c r="K3546"/>
      <c r="L3546"/>
      <c r="M3546"/>
      <c r="N3546"/>
      <c r="O3546"/>
    </row>
    <row r="3547" spans="1:15" hidden="1" x14ac:dyDescent="0.25">
      <c r="A3547" t="s">
        <v>59</v>
      </c>
      <c r="B3547" t="s">
        <v>115</v>
      </c>
      <c r="C3547" t="b">
        <v>0</v>
      </c>
      <c r="D3547" s="1">
        <v>40817</v>
      </c>
      <c r="E3547">
        <v>5</v>
      </c>
      <c r="F3547"/>
      <c r="G3547"/>
      <c r="H3547"/>
      <c r="I3547"/>
      <c r="J3547"/>
      <c r="K3547"/>
      <c r="L3547"/>
      <c r="M3547"/>
      <c r="N3547"/>
      <c r="O3547"/>
    </row>
    <row r="3548" spans="1:15" hidden="1" x14ac:dyDescent="0.25">
      <c r="A3548" t="s">
        <v>60</v>
      </c>
      <c r="B3548" t="s">
        <v>115</v>
      </c>
      <c r="C3548" t="b">
        <v>0</v>
      </c>
      <c r="D3548" s="1">
        <v>40817</v>
      </c>
      <c r="E3548">
        <v>5</v>
      </c>
      <c r="F3548"/>
      <c r="G3548"/>
      <c r="H3548"/>
      <c r="I3548"/>
      <c r="J3548"/>
      <c r="K3548"/>
      <c r="L3548"/>
      <c r="M3548"/>
      <c r="N3548"/>
      <c r="O3548"/>
    </row>
    <row r="3549" spans="1:15" hidden="1" x14ac:dyDescent="0.25">
      <c r="A3549" t="s">
        <v>69</v>
      </c>
      <c r="B3549" t="s">
        <v>115</v>
      </c>
      <c r="C3549" t="b">
        <v>0</v>
      </c>
      <c r="D3549" s="1">
        <v>40817</v>
      </c>
      <c r="E3549">
        <v>5</v>
      </c>
      <c r="F3549"/>
      <c r="G3549"/>
      <c r="H3549"/>
      <c r="I3549"/>
      <c r="J3549"/>
      <c r="K3549"/>
      <c r="L3549"/>
      <c r="M3549"/>
      <c r="N3549"/>
      <c r="O3549"/>
    </row>
    <row r="3550" spans="1:15" hidden="1" x14ac:dyDescent="0.25">
      <c r="A3550" t="s">
        <v>73</v>
      </c>
      <c r="B3550" t="s">
        <v>115</v>
      </c>
      <c r="C3550" t="b">
        <v>0</v>
      </c>
      <c r="D3550" s="1">
        <v>40817</v>
      </c>
      <c r="E3550">
        <v>5</v>
      </c>
      <c r="F3550"/>
      <c r="G3550"/>
      <c r="H3550"/>
      <c r="I3550"/>
      <c r="J3550"/>
      <c r="K3550"/>
      <c r="L3550"/>
      <c r="M3550"/>
      <c r="N3550"/>
      <c r="O3550"/>
    </row>
    <row r="3551" spans="1:15" hidden="1" x14ac:dyDescent="0.25">
      <c r="A3551" t="s">
        <v>74</v>
      </c>
      <c r="B3551" t="s">
        <v>115</v>
      </c>
      <c r="C3551" t="b">
        <v>0</v>
      </c>
      <c r="D3551" s="1">
        <v>40817</v>
      </c>
      <c r="E3551">
        <v>5</v>
      </c>
      <c r="F3551"/>
      <c r="G3551"/>
      <c r="H3551"/>
      <c r="I3551"/>
      <c r="J3551"/>
      <c r="K3551"/>
      <c r="L3551"/>
      <c r="M3551"/>
      <c r="N3551"/>
      <c r="O3551"/>
    </row>
    <row r="3552" spans="1:15" hidden="1" x14ac:dyDescent="0.25">
      <c r="A3552" t="s">
        <v>76</v>
      </c>
      <c r="B3552" t="s">
        <v>115</v>
      </c>
      <c r="C3552" t="b">
        <v>0</v>
      </c>
      <c r="D3552" s="1">
        <v>40817</v>
      </c>
      <c r="E3552">
        <v>1E-3</v>
      </c>
      <c r="F3552"/>
      <c r="G3552"/>
      <c r="H3552"/>
      <c r="I3552"/>
      <c r="J3552"/>
      <c r="K3552"/>
      <c r="L3552"/>
      <c r="M3552"/>
      <c r="N3552"/>
      <c r="O3552"/>
    </row>
    <row r="3553" spans="1:15" hidden="1" x14ac:dyDescent="0.25">
      <c r="A3553" t="s">
        <v>79</v>
      </c>
      <c r="B3553" t="s">
        <v>115</v>
      </c>
      <c r="C3553" t="b">
        <v>0</v>
      </c>
      <c r="D3553" s="1">
        <v>40817</v>
      </c>
      <c r="E3553">
        <v>5</v>
      </c>
      <c r="F3553"/>
      <c r="G3553"/>
      <c r="H3553"/>
      <c r="I3553"/>
      <c r="J3553"/>
      <c r="K3553"/>
      <c r="L3553"/>
      <c r="M3553"/>
      <c r="N3553"/>
      <c r="O3553"/>
    </row>
    <row r="3554" spans="1:15" hidden="1" x14ac:dyDescent="0.25">
      <c r="A3554" t="s">
        <v>86</v>
      </c>
      <c r="B3554" t="s">
        <v>115</v>
      </c>
      <c r="C3554" t="b">
        <v>0</v>
      </c>
      <c r="D3554" s="1">
        <v>40817</v>
      </c>
      <c r="E3554">
        <v>5</v>
      </c>
      <c r="F3554"/>
      <c r="G3554"/>
      <c r="H3554"/>
      <c r="I3554"/>
      <c r="J3554"/>
      <c r="K3554"/>
      <c r="L3554"/>
      <c r="M3554"/>
      <c r="N3554"/>
      <c r="O3554"/>
    </row>
    <row r="3555" spans="1:15" hidden="1" x14ac:dyDescent="0.25">
      <c r="A3555" t="s">
        <v>88</v>
      </c>
      <c r="B3555" t="s">
        <v>115</v>
      </c>
      <c r="C3555" t="b">
        <v>0</v>
      </c>
      <c r="D3555" s="1">
        <v>40817</v>
      </c>
      <c r="E3555">
        <v>5</v>
      </c>
      <c r="F3555"/>
      <c r="G3555"/>
      <c r="H3555"/>
      <c r="I3555"/>
      <c r="J3555"/>
      <c r="K3555"/>
      <c r="L3555"/>
      <c r="M3555"/>
      <c r="N3555"/>
      <c r="O3555"/>
    </row>
    <row r="3556" spans="1:15" hidden="1" x14ac:dyDescent="0.25">
      <c r="A3556" t="s">
        <v>89</v>
      </c>
      <c r="B3556" t="s">
        <v>115</v>
      </c>
      <c r="C3556" t="b">
        <v>0</v>
      </c>
      <c r="D3556" s="1">
        <v>40817</v>
      </c>
      <c r="E3556">
        <v>5</v>
      </c>
      <c r="F3556"/>
      <c r="G3556"/>
      <c r="H3556"/>
      <c r="I3556"/>
      <c r="J3556"/>
      <c r="K3556"/>
      <c r="L3556"/>
      <c r="M3556"/>
      <c r="N3556"/>
      <c r="O3556"/>
    </row>
    <row r="3557" spans="1:15" hidden="1" x14ac:dyDescent="0.25">
      <c r="A3557" t="s">
        <v>95</v>
      </c>
      <c r="B3557" t="s">
        <v>115</v>
      </c>
      <c r="C3557" t="b">
        <v>0</v>
      </c>
      <c r="D3557" s="1">
        <v>40817</v>
      </c>
      <c r="E3557">
        <v>5</v>
      </c>
      <c r="F3557"/>
      <c r="G3557"/>
      <c r="H3557"/>
      <c r="I3557"/>
      <c r="J3557"/>
      <c r="K3557"/>
      <c r="L3557"/>
      <c r="M3557"/>
      <c r="N3557"/>
      <c r="O3557"/>
    </row>
    <row r="3558" spans="1:15" hidden="1" x14ac:dyDescent="0.25">
      <c r="A3558" t="s">
        <v>99</v>
      </c>
      <c r="B3558" t="s">
        <v>114</v>
      </c>
      <c r="C3558" t="b">
        <v>0</v>
      </c>
      <c r="D3558" s="1">
        <v>40817</v>
      </c>
      <c r="E3558">
        <v>16.8</v>
      </c>
      <c r="F3558"/>
      <c r="G3558"/>
      <c r="H3558"/>
      <c r="I3558"/>
      <c r="J3558"/>
      <c r="K3558"/>
      <c r="L3558"/>
      <c r="M3558"/>
      <c r="N3558"/>
      <c r="O3558"/>
    </row>
    <row r="3559" spans="1:15" hidden="1" x14ac:dyDescent="0.25">
      <c r="A3559" t="s">
        <v>100</v>
      </c>
      <c r="B3559" t="s">
        <v>117</v>
      </c>
      <c r="C3559" t="b">
        <v>0</v>
      </c>
      <c r="D3559" s="1">
        <v>40848</v>
      </c>
      <c r="E3559" s="2">
        <v>-53.96</v>
      </c>
      <c r="F3559"/>
      <c r="G3559"/>
      <c r="H3559"/>
      <c r="I3559"/>
      <c r="J3559"/>
      <c r="K3559"/>
      <c r="L3559"/>
      <c r="M3559"/>
      <c r="N3559"/>
      <c r="O3559"/>
    </row>
    <row r="3560" spans="1:15" hidden="1" x14ac:dyDescent="0.25">
      <c r="A3560" t="s">
        <v>102</v>
      </c>
      <c r="B3560" t="s">
        <v>117</v>
      </c>
      <c r="C3560" t="b">
        <v>0</v>
      </c>
      <c r="D3560" s="1">
        <v>40848</v>
      </c>
      <c r="E3560" s="2">
        <v>-15.58</v>
      </c>
      <c r="F3560"/>
      <c r="G3560"/>
      <c r="H3560"/>
      <c r="I3560"/>
      <c r="J3560"/>
      <c r="K3560"/>
      <c r="L3560"/>
      <c r="M3560"/>
      <c r="N3560"/>
      <c r="O3560"/>
    </row>
    <row r="3561" spans="1:15" hidden="1" x14ac:dyDescent="0.25">
      <c r="A3561" t="s">
        <v>101</v>
      </c>
      <c r="B3561" t="s">
        <v>117</v>
      </c>
      <c r="C3561" t="b">
        <v>0</v>
      </c>
      <c r="D3561" s="1">
        <v>40848</v>
      </c>
      <c r="E3561" s="2">
        <v>-4.29</v>
      </c>
      <c r="F3561"/>
      <c r="G3561"/>
      <c r="H3561"/>
      <c r="I3561"/>
      <c r="J3561"/>
      <c r="K3561"/>
      <c r="L3561"/>
      <c r="M3561"/>
      <c r="N3561"/>
      <c r="O3561"/>
    </row>
    <row r="3562" spans="1:15" hidden="1" x14ac:dyDescent="0.25">
      <c r="A3562" t="s">
        <v>25</v>
      </c>
      <c r="B3562" t="s">
        <v>115</v>
      </c>
      <c r="C3562" t="b">
        <v>0</v>
      </c>
      <c r="D3562" s="1">
        <v>40848</v>
      </c>
      <c r="E3562">
        <v>5</v>
      </c>
      <c r="F3562"/>
      <c r="G3562"/>
      <c r="H3562"/>
      <c r="I3562"/>
      <c r="J3562"/>
      <c r="K3562"/>
      <c r="L3562"/>
      <c r="M3562"/>
      <c r="N3562"/>
      <c r="O3562"/>
    </row>
    <row r="3563" spans="1:15" hidden="1" x14ac:dyDescent="0.25">
      <c r="A3563" t="s">
        <v>26</v>
      </c>
      <c r="B3563" t="s">
        <v>115</v>
      </c>
      <c r="C3563" t="b">
        <v>0</v>
      </c>
      <c r="D3563" s="1">
        <v>40848</v>
      </c>
      <c r="E3563">
        <v>5</v>
      </c>
      <c r="F3563"/>
      <c r="G3563"/>
      <c r="H3563"/>
      <c r="I3563"/>
      <c r="J3563"/>
      <c r="K3563"/>
      <c r="L3563"/>
      <c r="M3563"/>
      <c r="N3563"/>
      <c r="O3563"/>
    </row>
    <row r="3564" spans="1:15" hidden="1" x14ac:dyDescent="0.25">
      <c r="A3564" t="s">
        <v>57</v>
      </c>
      <c r="B3564" t="s">
        <v>115</v>
      </c>
      <c r="C3564" t="b">
        <v>0</v>
      </c>
      <c r="D3564" s="1">
        <v>40848</v>
      </c>
      <c r="E3564">
        <v>5</v>
      </c>
      <c r="F3564"/>
      <c r="G3564"/>
      <c r="H3564"/>
      <c r="I3564"/>
      <c r="J3564"/>
      <c r="K3564"/>
      <c r="L3564"/>
      <c r="M3564"/>
      <c r="N3564"/>
      <c r="O3564"/>
    </row>
    <row r="3565" spans="1:15" hidden="1" x14ac:dyDescent="0.25">
      <c r="A3565" t="s">
        <v>68</v>
      </c>
      <c r="B3565" t="s">
        <v>115</v>
      </c>
      <c r="C3565" t="b">
        <v>0</v>
      </c>
      <c r="D3565" s="1">
        <v>40848</v>
      </c>
      <c r="E3565">
        <v>5</v>
      </c>
      <c r="F3565"/>
      <c r="G3565"/>
      <c r="H3565"/>
      <c r="I3565"/>
      <c r="J3565"/>
      <c r="K3565"/>
      <c r="L3565"/>
      <c r="M3565"/>
      <c r="N3565"/>
      <c r="O3565"/>
    </row>
    <row r="3566" spans="1:15" hidden="1" x14ac:dyDescent="0.25">
      <c r="A3566" t="s">
        <v>69</v>
      </c>
      <c r="B3566" t="s">
        <v>115</v>
      </c>
      <c r="C3566" t="b">
        <v>0</v>
      </c>
      <c r="D3566" s="1">
        <v>40848</v>
      </c>
      <c r="E3566">
        <v>5</v>
      </c>
      <c r="F3566"/>
      <c r="G3566"/>
      <c r="H3566"/>
      <c r="I3566"/>
      <c r="J3566"/>
      <c r="K3566"/>
      <c r="L3566"/>
      <c r="M3566"/>
      <c r="N3566"/>
      <c r="O3566"/>
    </row>
    <row r="3567" spans="1:15" hidden="1" x14ac:dyDescent="0.25">
      <c r="A3567" t="s">
        <v>73</v>
      </c>
      <c r="B3567" t="s">
        <v>115</v>
      </c>
      <c r="C3567" t="b">
        <v>0</v>
      </c>
      <c r="D3567" s="1">
        <v>40848</v>
      </c>
      <c r="E3567">
        <v>5</v>
      </c>
      <c r="F3567"/>
      <c r="G3567"/>
      <c r="H3567"/>
      <c r="I3567"/>
      <c r="J3567"/>
      <c r="K3567"/>
      <c r="L3567"/>
      <c r="M3567"/>
      <c r="N3567"/>
      <c r="O3567"/>
    </row>
    <row r="3568" spans="1:15" hidden="1" x14ac:dyDescent="0.25">
      <c r="A3568" t="s">
        <v>76</v>
      </c>
      <c r="B3568" t="s">
        <v>115</v>
      </c>
      <c r="C3568" t="b">
        <v>0</v>
      </c>
      <c r="D3568" s="1">
        <v>40848</v>
      </c>
      <c r="E3568">
        <v>1E-3</v>
      </c>
      <c r="F3568"/>
      <c r="G3568"/>
      <c r="H3568"/>
      <c r="I3568"/>
      <c r="J3568"/>
      <c r="K3568"/>
      <c r="L3568"/>
      <c r="M3568"/>
      <c r="N3568"/>
      <c r="O3568"/>
    </row>
    <row r="3569" spans="1:15" hidden="1" x14ac:dyDescent="0.25">
      <c r="A3569" t="s">
        <v>79</v>
      </c>
      <c r="B3569" t="s">
        <v>115</v>
      </c>
      <c r="C3569" t="b">
        <v>0</v>
      </c>
      <c r="D3569" s="1">
        <v>40848</v>
      </c>
      <c r="E3569">
        <v>5</v>
      </c>
      <c r="F3569"/>
      <c r="G3569"/>
      <c r="H3569"/>
      <c r="I3569"/>
      <c r="J3569"/>
      <c r="K3569"/>
      <c r="L3569"/>
      <c r="M3569"/>
      <c r="N3569"/>
      <c r="O3569"/>
    </row>
    <row r="3570" spans="1:15" hidden="1" x14ac:dyDescent="0.25">
      <c r="A3570" t="s">
        <v>86</v>
      </c>
      <c r="B3570" t="s">
        <v>115</v>
      </c>
      <c r="C3570" t="b">
        <v>0</v>
      </c>
      <c r="D3570" s="1">
        <v>40848</v>
      </c>
      <c r="E3570">
        <v>5</v>
      </c>
      <c r="F3570"/>
      <c r="G3570"/>
      <c r="H3570"/>
      <c r="I3570"/>
      <c r="J3570"/>
      <c r="K3570"/>
      <c r="L3570"/>
      <c r="M3570"/>
      <c r="N3570"/>
      <c r="O3570"/>
    </row>
    <row r="3571" spans="1:15" hidden="1" x14ac:dyDescent="0.25">
      <c r="A3571" t="s">
        <v>88</v>
      </c>
      <c r="B3571" t="s">
        <v>115</v>
      </c>
      <c r="C3571" t="b">
        <v>0</v>
      </c>
      <c r="D3571" s="1">
        <v>40848</v>
      </c>
      <c r="E3571">
        <v>5</v>
      </c>
      <c r="F3571"/>
      <c r="G3571"/>
      <c r="H3571"/>
      <c r="I3571"/>
      <c r="J3571"/>
      <c r="K3571"/>
      <c r="L3571"/>
      <c r="M3571"/>
      <c r="N3571"/>
      <c r="O3571"/>
    </row>
    <row r="3572" spans="1:15" hidden="1" x14ac:dyDescent="0.25">
      <c r="A3572" t="s">
        <v>89</v>
      </c>
      <c r="B3572" t="s">
        <v>115</v>
      </c>
      <c r="C3572" t="b">
        <v>0</v>
      </c>
      <c r="D3572" s="1">
        <v>40848</v>
      </c>
      <c r="E3572">
        <v>5</v>
      </c>
      <c r="F3572"/>
      <c r="G3572"/>
      <c r="H3572"/>
      <c r="I3572"/>
      <c r="J3572"/>
      <c r="K3572"/>
      <c r="L3572"/>
      <c r="M3572"/>
      <c r="N3572"/>
      <c r="O3572"/>
    </row>
    <row r="3573" spans="1:15" hidden="1" x14ac:dyDescent="0.25">
      <c r="A3573" t="s">
        <v>95</v>
      </c>
      <c r="B3573" t="s">
        <v>115</v>
      </c>
      <c r="C3573" t="b">
        <v>0</v>
      </c>
      <c r="D3573" s="1">
        <v>40848</v>
      </c>
      <c r="E3573">
        <v>5</v>
      </c>
      <c r="F3573"/>
      <c r="G3573"/>
      <c r="H3573"/>
      <c r="I3573"/>
      <c r="J3573"/>
      <c r="K3573"/>
      <c r="L3573"/>
      <c r="M3573"/>
      <c r="N3573"/>
      <c r="O3573"/>
    </row>
    <row r="3574" spans="1:15" hidden="1" x14ac:dyDescent="0.25">
      <c r="A3574" t="s">
        <v>99</v>
      </c>
      <c r="B3574" t="s">
        <v>114</v>
      </c>
      <c r="C3574" t="b">
        <v>0</v>
      </c>
      <c r="D3574" s="1">
        <v>40848</v>
      </c>
      <c r="E3574">
        <v>11.8</v>
      </c>
      <c r="F3574"/>
      <c r="G3574"/>
      <c r="H3574"/>
      <c r="I3574"/>
      <c r="J3574"/>
      <c r="K3574"/>
      <c r="L3574"/>
      <c r="M3574"/>
      <c r="N3574"/>
      <c r="O3574"/>
    </row>
    <row r="3575" spans="1:15" hidden="1" x14ac:dyDescent="0.25">
      <c r="A3575" t="s">
        <v>25</v>
      </c>
      <c r="B3575" t="s">
        <v>115</v>
      </c>
      <c r="C3575" t="b">
        <v>0</v>
      </c>
      <c r="D3575" s="1">
        <v>40878</v>
      </c>
      <c r="E3575">
        <v>5</v>
      </c>
      <c r="F3575"/>
      <c r="G3575"/>
      <c r="H3575"/>
      <c r="I3575"/>
      <c r="J3575"/>
      <c r="K3575"/>
      <c r="L3575"/>
      <c r="M3575"/>
      <c r="N3575"/>
      <c r="O3575"/>
    </row>
    <row r="3576" spans="1:15" hidden="1" x14ac:dyDescent="0.25">
      <c r="A3576" t="s">
        <v>56</v>
      </c>
      <c r="B3576" t="s">
        <v>115</v>
      </c>
      <c r="C3576" t="b">
        <v>0</v>
      </c>
      <c r="D3576" s="1">
        <v>40878</v>
      </c>
      <c r="E3576">
        <v>5</v>
      </c>
      <c r="F3576"/>
      <c r="G3576"/>
      <c r="H3576"/>
      <c r="I3576"/>
      <c r="J3576"/>
      <c r="K3576"/>
      <c r="L3576"/>
      <c r="M3576"/>
      <c r="N3576"/>
      <c r="O3576"/>
    </row>
    <row r="3577" spans="1:15" hidden="1" x14ac:dyDescent="0.25">
      <c r="A3577" t="s">
        <v>57</v>
      </c>
      <c r="B3577" t="s">
        <v>115</v>
      </c>
      <c r="C3577" t="b">
        <v>0</v>
      </c>
      <c r="D3577" s="1">
        <v>40878</v>
      </c>
      <c r="E3577">
        <v>5</v>
      </c>
      <c r="F3577"/>
      <c r="G3577"/>
      <c r="H3577"/>
      <c r="I3577"/>
      <c r="J3577"/>
      <c r="K3577"/>
      <c r="L3577"/>
      <c r="M3577"/>
      <c r="N3577"/>
      <c r="O3577"/>
    </row>
    <row r="3578" spans="1:15" hidden="1" x14ac:dyDescent="0.25">
      <c r="A3578" t="s">
        <v>68</v>
      </c>
      <c r="B3578" t="s">
        <v>115</v>
      </c>
      <c r="C3578" t="b">
        <v>0</v>
      </c>
      <c r="D3578" s="1">
        <v>40878</v>
      </c>
      <c r="E3578">
        <v>5</v>
      </c>
      <c r="F3578"/>
      <c r="G3578"/>
      <c r="H3578"/>
      <c r="I3578"/>
      <c r="J3578"/>
      <c r="K3578"/>
      <c r="L3578"/>
      <c r="M3578"/>
      <c r="N3578"/>
      <c r="O3578"/>
    </row>
    <row r="3579" spans="1:15" hidden="1" x14ac:dyDescent="0.25">
      <c r="A3579" t="s">
        <v>69</v>
      </c>
      <c r="B3579" t="s">
        <v>115</v>
      </c>
      <c r="C3579" t="b">
        <v>0</v>
      </c>
      <c r="D3579" s="1">
        <v>40878</v>
      </c>
      <c r="E3579">
        <v>5</v>
      </c>
      <c r="F3579"/>
      <c r="G3579"/>
      <c r="H3579"/>
      <c r="I3579"/>
      <c r="J3579"/>
      <c r="K3579"/>
      <c r="L3579"/>
      <c r="M3579"/>
      <c r="N3579"/>
      <c r="O3579"/>
    </row>
    <row r="3580" spans="1:15" hidden="1" x14ac:dyDescent="0.25">
      <c r="A3580" t="s">
        <v>76</v>
      </c>
      <c r="B3580" t="s">
        <v>115</v>
      </c>
      <c r="C3580" t="b">
        <v>0</v>
      </c>
      <c r="D3580" s="1">
        <v>40878</v>
      </c>
      <c r="E3580">
        <v>1E-3</v>
      </c>
      <c r="F3580"/>
      <c r="G3580"/>
      <c r="H3580"/>
      <c r="I3580"/>
      <c r="J3580"/>
      <c r="K3580"/>
      <c r="L3580"/>
      <c r="M3580"/>
      <c r="N3580"/>
      <c r="O3580"/>
    </row>
    <row r="3581" spans="1:15" hidden="1" x14ac:dyDescent="0.25">
      <c r="A3581" t="s">
        <v>86</v>
      </c>
      <c r="B3581" t="s">
        <v>115</v>
      </c>
      <c r="C3581" t="b">
        <v>0</v>
      </c>
      <c r="D3581" s="1">
        <v>40878</v>
      </c>
      <c r="E3581">
        <v>5</v>
      </c>
      <c r="F3581"/>
      <c r="G3581"/>
      <c r="H3581"/>
      <c r="I3581"/>
      <c r="J3581"/>
      <c r="K3581"/>
      <c r="L3581"/>
      <c r="M3581"/>
      <c r="N3581"/>
      <c r="O3581"/>
    </row>
    <row r="3582" spans="1:15" hidden="1" x14ac:dyDescent="0.25">
      <c r="A3582" t="s">
        <v>88</v>
      </c>
      <c r="B3582" t="s">
        <v>115</v>
      </c>
      <c r="C3582" t="b">
        <v>0</v>
      </c>
      <c r="D3582" s="1">
        <v>40878</v>
      </c>
      <c r="E3582">
        <v>5</v>
      </c>
      <c r="F3582"/>
      <c r="G3582"/>
      <c r="H3582"/>
      <c r="I3582"/>
      <c r="J3582"/>
      <c r="K3582"/>
      <c r="L3582"/>
      <c r="M3582"/>
      <c r="N3582"/>
      <c r="O3582"/>
    </row>
    <row r="3583" spans="1:15" hidden="1" x14ac:dyDescent="0.25">
      <c r="A3583" t="s">
        <v>89</v>
      </c>
      <c r="B3583" t="s">
        <v>115</v>
      </c>
      <c r="C3583" t="b">
        <v>0</v>
      </c>
      <c r="D3583" s="1">
        <v>40878</v>
      </c>
      <c r="E3583">
        <v>5</v>
      </c>
      <c r="F3583"/>
      <c r="G3583"/>
      <c r="H3583"/>
      <c r="I3583"/>
      <c r="J3583"/>
      <c r="K3583"/>
      <c r="L3583"/>
      <c r="M3583"/>
      <c r="N3583"/>
      <c r="O3583"/>
    </row>
    <row r="3584" spans="1:15" hidden="1" x14ac:dyDescent="0.25">
      <c r="A3584" t="s">
        <v>95</v>
      </c>
      <c r="B3584" t="s">
        <v>115</v>
      </c>
      <c r="C3584" t="b">
        <v>0</v>
      </c>
      <c r="D3584" s="1">
        <v>40878</v>
      </c>
      <c r="E3584">
        <v>5</v>
      </c>
      <c r="F3584"/>
      <c r="G3584"/>
      <c r="H3584"/>
      <c r="I3584"/>
      <c r="J3584"/>
      <c r="K3584"/>
      <c r="L3584"/>
      <c r="M3584"/>
      <c r="N3584"/>
      <c r="O3584"/>
    </row>
    <row r="3585" spans="1:15" hidden="1" x14ac:dyDescent="0.25">
      <c r="A3585" t="s">
        <v>99</v>
      </c>
      <c r="B3585" t="s">
        <v>114</v>
      </c>
      <c r="C3585" t="b">
        <v>0</v>
      </c>
      <c r="D3585" s="1">
        <v>40878</v>
      </c>
      <c r="E3585">
        <v>11.93</v>
      </c>
      <c r="F3585"/>
      <c r="G3585"/>
      <c r="H3585"/>
      <c r="I3585"/>
      <c r="J3585"/>
      <c r="K3585"/>
      <c r="L3585"/>
      <c r="M3585"/>
      <c r="N3585"/>
      <c r="O3585"/>
    </row>
    <row r="3586" spans="1:15" hidden="1" x14ac:dyDescent="0.25">
      <c r="A3586" t="s">
        <v>100</v>
      </c>
      <c r="B3586" t="s">
        <v>117</v>
      </c>
      <c r="C3586" t="b">
        <v>0</v>
      </c>
      <c r="D3586" s="1">
        <v>40909</v>
      </c>
      <c r="E3586" s="2">
        <v>-47.96</v>
      </c>
      <c r="F3586"/>
      <c r="G3586"/>
      <c r="H3586"/>
      <c r="I3586"/>
      <c r="J3586"/>
      <c r="K3586"/>
      <c r="L3586"/>
      <c r="M3586"/>
      <c r="N3586"/>
      <c r="O3586"/>
    </row>
    <row r="3587" spans="1:15" hidden="1" x14ac:dyDescent="0.25">
      <c r="A3587" t="s">
        <v>102</v>
      </c>
      <c r="B3587" t="s">
        <v>117</v>
      </c>
      <c r="C3587" t="b">
        <v>0</v>
      </c>
      <c r="D3587" s="1">
        <v>40909</v>
      </c>
      <c r="E3587" s="2">
        <v>-7.99</v>
      </c>
      <c r="F3587"/>
      <c r="G3587"/>
      <c r="H3587"/>
      <c r="I3587"/>
      <c r="J3587"/>
      <c r="K3587"/>
      <c r="L3587"/>
      <c r="M3587"/>
      <c r="N3587"/>
      <c r="O3587"/>
    </row>
    <row r="3588" spans="1:15" hidden="1" x14ac:dyDescent="0.25">
      <c r="A3588" t="s">
        <v>103</v>
      </c>
      <c r="B3588" t="s">
        <v>117</v>
      </c>
      <c r="C3588" t="b">
        <v>0</v>
      </c>
      <c r="D3588" s="1">
        <v>40909</v>
      </c>
      <c r="E3588" s="2">
        <v>-20.39</v>
      </c>
      <c r="F3588"/>
      <c r="G3588"/>
      <c r="H3588"/>
      <c r="I3588"/>
      <c r="J3588"/>
      <c r="K3588"/>
      <c r="L3588"/>
      <c r="M3588"/>
      <c r="N3588"/>
      <c r="O3588"/>
    </row>
    <row r="3589" spans="1:15" hidden="1" x14ac:dyDescent="0.25">
      <c r="A3589" t="s">
        <v>101</v>
      </c>
      <c r="B3589" t="s">
        <v>117</v>
      </c>
      <c r="C3589" t="b">
        <v>0</v>
      </c>
      <c r="D3589" s="1">
        <v>40909</v>
      </c>
      <c r="E3589" s="2">
        <v>-7.79</v>
      </c>
      <c r="F3589"/>
      <c r="G3589"/>
      <c r="H3589"/>
      <c r="I3589"/>
      <c r="J3589"/>
      <c r="K3589"/>
      <c r="L3589"/>
      <c r="M3589"/>
      <c r="N3589"/>
      <c r="O3589"/>
    </row>
    <row r="3590" spans="1:15" hidden="1" x14ac:dyDescent="0.25">
      <c r="A3590" t="s">
        <v>25</v>
      </c>
      <c r="B3590" t="s">
        <v>115</v>
      </c>
      <c r="C3590" t="b">
        <v>0</v>
      </c>
      <c r="D3590" s="1">
        <v>40909</v>
      </c>
      <c r="E3590">
        <v>5</v>
      </c>
      <c r="F3590"/>
      <c r="G3590"/>
      <c r="H3590"/>
      <c r="I3590"/>
      <c r="J3590"/>
      <c r="K3590"/>
      <c r="L3590"/>
      <c r="M3590"/>
      <c r="N3590"/>
      <c r="O3590"/>
    </row>
    <row r="3591" spans="1:15" hidden="1" x14ac:dyDescent="0.25">
      <c r="A3591" t="s">
        <v>56</v>
      </c>
      <c r="B3591" t="s">
        <v>115</v>
      </c>
      <c r="C3591" t="b">
        <v>0</v>
      </c>
      <c r="D3591" s="1">
        <v>40909</v>
      </c>
      <c r="E3591">
        <v>5</v>
      </c>
      <c r="F3591"/>
      <c r="G3591"/>
      <c r="H3591"/>
      <c r="I3591"/>
      <c r="J3591"/>
      <c r="K3591"/>
      <c r="L3591"/>
      <c r="M3591"/>
      <c r="N3591"/>
      <c r="O3591"/>
    </row>
    <row r="3592" spans="1:15" hidden="1" x14ac:dyDescent="0.25">
      <c r="A3592" t="s">
        <v>57</v>
      </c>
      <c r="B3592" t="s">
        <v>115</v>
      </c>
      <c r="C3592" t="b">
        <v>0</v>
      </c>
      <c r="D3592" s="1">
        <v>40909</v>
      </c>
      <c r="E3592">
        <v>5</v>
      </c>
      <c r="F3592"/>
      <c r="G3592"/>
      <c r="H3592"/>
      <c r="I3592"/>
      <c r="J3592"/>
      <c r="K3592"/>
      <c r="L3592"/>
      <c r="M3592"/>
      <c r="N3592"/>
      <c r="O3592"/>
    </row>
    <row r="3593" spans="1:15" hidden="1" x14ac:dyDescent="0.25">
      <c r="A3593" t="s">
        <v>68</v>
      </c>
      <c r="B3593" t="s">
        <v>115</v>
      </c>
      <c r="C3593" t="b">
        <v>0</v>
      </c>
      <c r="D3593" s="1">
        <v>40909</v>
      </c>
      <c r="E3593">
        <v>5</v>
      </c>
      <c r="F3593"/>
      <c r="G3593"/>
      <c r="H3593"/>
      <c r="I3593"/>
      <c r="J3593"/>
      <c r="K3593"/>
      <c r="L3593"/>
      <c r="M3593"/>
      <c r="N3593"/>
      <c r="O3593"/>
    </row>
    <row r="3594" spans="1:15" hidden="1" x14ac:dyDescent="0.25">
      <c r="A3594" t="s">
        <v>69</v>
      </c>
      <c r="B3594" t="s">
        <v>115</v>
      </c>
      <c r="C3594" t="b">
        <v>0</v>
      </c>
      <c r="D3594" s="1">
        <v>40909</v>
      </c>
      <c r="E3594">
        <v>5</v>
      </c>
      <c r="F3594"/>
      <c r="G3594"/>
      <c r="H3594"/>
      <c r="I3594"/>
      <c r="J3594"/>
      <c r="K3594"/>
      <c r="L3594"/>
      <c r="M3594"/>
      <c r="N3594"/>
      <c r="O3594"/>
    </row>
    <row r="3595" spans="1:15" hidden="1" x14ac:dyDescent="0.25">
      <c r="A3595" t="s">
        <v>76</v>
      </c>
      <c r="B3595" t="s">
        <v>115</v>
      </c>
      <c r="C3595" t="b">
        <v>0</v>
      </c>
      <c r="D3595" s="1">
        <v>40909</v>
      </c>
      <c r="E3595">
        <v>1E-3</v>
      </c>
      <c r="F3595"/>
      <c r="G3595"/>
      <c r="H3595"/>
      <c r="I3595"/>
      <c r="J3595"/>
      <c r="K3595"/>
      <c r="L3595"/>
      <c r="M3595"/>
      <c r="N3595"/>
      <c r="O3595"/>
    </row>
    <row r="3596" spans="1:15" hidden="1" x14ac:dyDescent="0.25">
      <c r="A3596" t="s">
        <v>86</v>
      </c>
      <c r="B3596" t="s">
        <v>115</v>
      </c>
      <c r="C3596" t="b">
        <v>0</v>
      </c>
      <c r="D3596" s="1">
        <v>40909</v>
      </c>
      <c r="E3596">
        <v>5</v>
      </c>
      <c r="F3596"/>
      <c r="G3596"/>
      <c r="H3596"/>
      <c r="I3596"/>
      <c r="J3596"/>
      <c r="K3596"/>
      <c r="L3596"/>
      <c r="M3596"/>
      <c r="N3596"/>
      <c r="O3596"/>
    </row>
    <row r="3597" spans="1:15" hidden="1" x14ac:dyDescent="0.25">
      <c r="A3597" t="s">
        <v>88</v>
      </c>
      <c r="B3597" t="s">
        <v>115</v>
      </c>
      <c r="C3597" t="b">
        <v>0</v>
      </c>
      <c r="D3597" s="1">
        <v>40909</v>
      </c>
      <c r="E3597">
        <v>5</v>
      </c>
      <c r="F3597"/>
      <c r="G3597"/>
      <c r="H3597"/>
      <c r="I3597"/>
      <c r="J3597"/>
      <c r="K3597"/>
      <c r="L3597"/>
      <c r="M3597"/>
      <c r="N3597"/>
      <c r="O3597"/>
    </row>
    <row r="3598" spans="1:15" hidden="1" x14ac:dyDescent="0.25">
      <c r="A3598" t="s">
        <v>89</v>
      </c>
      <c r="B3598" t="s">
        <v>115</v>
      </c>
      <c r="C3598" t="b">
        <v>0</v>
      </c>
      <c r="D3598" s="1">
        <v>40909</v>
      </c>
      <c r="E3598">
        <v>5</v>
      </c>
      <c r="F3598"/>
      <c r="G3598"/>
      <c r="H3598"/>
      <c r="I3598"/>
      <c r="J3598"/>
      <c r="K3598"/>
      <c r="L3598"/>
      <c r="M3598"/>
      <c r="N3598"/>
      <c r="O3598"/>
    </row>
    <row r="3599" spans="1:15" hidden="1" x14ac:dyDescent="0.25">
      <c r="A3599" t="s">
        <v>95</v>
      </c>
      <c r="B3599" t="s">
        <v>115</v>
      </c>
      <c r="C3599" t="b">
        <v>0</v>
      </c>
      <c r="D3599" s="1">
        <v>40909</v>
      </c>
      <c r="E3599">
        <v>5</v>
      </c>
      <c r="F3599"/>
      <c r="G3599"/>
      <c r="H3599"/>
      <c r="I3599"/>
      <c r="J3599"/>
      <c r="K3599"/>
      <c r="L3599"/>
      <c r="M3599"/>
      <c r="N3599"/>
      <c r="O3599"/>
    </row>
    <row r="3600" spans="1:15" hidden="1" x14ac:dyDescent="0.25">
      <c r="A3600" t="s">
        <v>99</v>
      </c>
      <c r="B3600" t="s">
        <v>114</v>
      </c>
      <c r="C3600" t="b">
        <v>0</v>
      </c>
      <c r="D3600" s="1">
        <v>40909</v>
      </c>
      <c r="E3600">
        <v>4.1900000000000004</v>
      </c>
      <c r="F3600"/>
      <c r="G3600"/>
      <c r="H3600"/>
      <c r="I3600"/>
      <c r="J3600"/>
      <c r="K3600"/>
      <c r="L3600"/>
      <c r="M3600"/>
      <c r="N3600"/>
      <c r="O3600"/>
    </row>
    <row r="3601" spans="1:15" hidden="1" x14ac:dyDescent="0.25">
      <c r="A3601" t="s">
        <v>100</v>
      </c>
      <c r="B3601" t="s">
        <v>117</v>
      </c>
      <c r="C3601" t="b">
        <v>0</v>
      </c>
      <c r="D3601" s="1">
        <v>40940</v>
      </c>
      <c r="E3601" s="2">
        <v>-51.96</v>
      </c>
      <c r="F3601"/>
      <c r="G3601"/>
      <c r="H3601"/>
      <c r="I3601"/>
      <c r="J3601"/>
      <c r="K3601"/>
      <c r="L3601"/>
      <c r="M3601"/>
      <c r="N3601"/>
      <c r="O3601"/>
    </row>
    <row r="3602" spans="1:15" hidden="1" x14ac:dyDescent="0.25">
      <c r="A3602" t="s">
        <v>104</v>
      </c>
      <c r="B3602" t="s">
        <v>117</v>
      </c>
      <c r="C3602" t="b">
        <v>0</v>
      </c>
      <c r="D3602" s="1">
        <v>40940</v>
      </c>
      <c r="E3602" s="2">
        <v>-16.27</v>
      </c>
      <c r="F3602"/>
      <c r="G3602"/>
      <c r="H3602"/>
      <c r="I3602"/>
      <c r="J3602"/>
      <c r="K3602"/>
      <c r="L3602"/>
      <c r="M3602"/>
      <c r="N3602"/>
      <c r="O3602"/>
    </row>
    <row r="3603" spans="1:15" hidden="1" x14ac:dyDescent="0.25">
      <c r="A3603" t="s">
        <v>102</v>
      </c>
      <c r="B3603" t="s">
        <v>117</v>
      </c>
      <c r="C3603" t="b">
        <v>0</v>
      </c>
      <c r="D3603" s="1">
        <v>40940</v>
      </c>
      <c r="E3603" s="2">
        <v>-31.07</v>
      </c>
      <c r="F3603"/>
      <c r="G3603"/>
      <c r="H3603"/>
      <c r="I3603"/>
      <c r="J3603"/>
      <c r="K3603"/>
      <c r="L3603"/>
      <c r="M3603"/>
      <c r="N3603"/>
      <c r="O3603"/>
    </row>
    <row r="3604" spans="1:15" hidden="1" x14ac:dyDescent="0.25">
      <c r="A3604" t="s">
        <v>103</v>
      </c>
      <c r="B3604" t="s">
        <v>117</v>
      </c>
      <c r="C3604" t="b">
        <v>0</v>
      </c>
      <c r="D3604" s="1">
        <v>40940</v>
      </c>
      <c r="E3604" s="2">
        <v>-3.49</v>
      </c>
      <c r="F3604"/>
      <c r="G3604"/>
      <c r="H3604"/>
      <c r="I3604"/>
      <c r="J3604"/>
      <c r="K3604"/>
      <c r="L3604"/>
      <c r="M3604"/>
      <c r="N3604"/>
      <c r="O3604"/>
    </row>
    <row r="3605" spans="1:15" hidden="1" x14ac:dyDescent="0.25">
      <c r="A3605" t="s">
        <v>25</v>
      </c>
      <c r="B3605" t="s">
        <v>115</v>
      </c>
      <c r="C3605" t="b">
        <v>0</v>
      </c>
      <c r="D3605" s="1">
        <v>40940</v>
      </c>
      <c r="E3605">
        <v>5</v>
      </c>
      <c r="F3605"/>
      <c r="G3605"/>
      <c r="H3605"/>
      <c r="I3605"/>
      <c r="J3605"/>
      <c r="K3605"/>
      <c r="L3605"/>
      <c r="M3605"/>
      <c r="N3605"/>
      <c r="O3605"/>
    </row>
    <row r="3606" spans="1:15" hidden="1" x14ac:dyDescent="0.25">
      <c r="A3606" t="s">
        <v>43</v>
      </c>
      <c r="B3606" t="s">
        <v>115</v>
      </c>
      <c r="C3606" t="b">
        <v>0</v>
      </c>
      <c r="D3606" s="1">
        <v>40940</v>
      </c>
      <c r="E3606">
        <v>5</v>
      </c>
      <c r="F3606"/>
      <c r="G3606"/>
      <c r="H3606"/>
      <c r="I3606"/>
      <c r="J3606"/>
      <c r="K3606"/>
      <c r="L3606"/>
      <c r="M3606"/>
      <c r="N3606"/>
      <c r="O3606"/>
    </row>
    <row r="3607" spans="1:15" hidden="1" x14ac:dyDescent="0.25">
      <c r="A3607" t="s">
        <v>44</v>
      </c>
      <c r="B3607" t="s">
        <v>115</v>
      </c>
      <c r="C3607" t="b">
        <v>0</v>
      </c>
      <c r="D3607" s="1">
        <v>40940</v>
      </c>
      <c r="E3607">
        <v>5</v>
      </c>
      <c r="F3607"/>
      <c r="G3607"/>
      <c r="H3607"/>
      <c r="I3607"/>
      <c r="J3607"/>
      <c r="K3607"/>
      <c r="L3607"/>
      <c r="M3607"/>
      <c r="N3607"/>
      <c r="O3607"/>
    </row>
    <row r="3608" spans="1:15" hidden="1" x14ac:dyDescent="0.25">
      <c r="A3608" t="s">
        <v>50</v>
      </c>
      <c r="B3608" t="s">
        <v>115</v>
      </c>
      <c r="C3608" t="b">
        <v>0</v>
      </c>
      <c r="D3608" s="1">
        <v>40940</v>
      </c>
      <c r="E3608">
        <v>5</v>
      </c>
      <c r="F3608"/>
      <c r="G3608"/>
      <c r="H3608"/>
      <c r="I3608"/>
      <c r="J3608"/>
      <c r="K3608"/>
      <c r="L3608"/>
      <c r="M3608"/>
      <c r="N3608"/>
      <c r="O3608"/>
    </row>
    <row r="3609" spans="1:15" hidden="1" x14ac:dyDescent="0.25">
      <c r="A3609" t="s">
        <v>54</v>
      </c>
      <c r="B3609" t="s">
        <v>115</v>
      </c>
      <c r="C3609" t="b">
        <v>0</v>
      </c>
      <c r="D3609" s="1">
        <v>40940</v>
      </c>
      <c r="E3609">
        <v>5</v>
      </c>
      <c r="F3609"/>
      <c r="G3609"/>
      <c r="H3609"/>
      <c r="I3609"/>
      <c r="J3609"/>
      <c r="K3609"/>
      <c r="L3609"/>
      <c r="M3609"/>
      <c r="N3609"/>
      <c r="O3609"/>
    </row>
    <row r="3610" spans="1:15" hidden="1" x14ac:dyDescent="0.25">
      <c r="A3610" t="s">
        <v>55</v>
      </c>
      <c r="B3610" t="s">
        <v>115</v>
      </c>
      <c r="C3610" t="b">
        <v>0</v>
      </c>
      <c r="D3610" s="1">
        <v>40940</v>
      </c>
      <c r="E3610">
        <v>5</v>
      </c>
      <c r="F3610"/>
      <c r="G3610"/>
      <c r="H3610"/>
      <c r="I3610"/>
      <c r="J3610"/>
      <c r="K3610"/>
      <c r="L3610"/>
      <c r="M3610"/>
      <c r="N3610"/>
      <c r="O3610"/>
    </row>
    <row r="3611" spans="1:15" hidden="1" x14ac:dyDescent="0.25">
      <c r="A3611" t="s">
        <v>56</v>
      </c>
      <c r="B3611" t="s">
        <v>115</v>
      </c>
      <c r="C3611" t="b">
        <v>0</v>
      </c>
      <c r="D3611" s="1">
        <v>40940</v>
      </c>
      <c r="E3611">
        <v>5</v>
      </c>
      <c r="F3611"/>
      <c r="G3611"/>
      <c r="H3611"/>
      <c r="I3611"/>
      <c r="J3611"/>
      <c r="K3611"/>
      <c r="L3611"/>
      <c r="M3611"/>
      <c r="N3611"/>
      <c r="O3611"/>
    </row>
    <row r="3612" spans="1:15" hidden="1" x14ac:dyDescent="0.25">
      <c r="A3612" t="s">
        <v>57</v>
      </c>
      <c r="B3612" t="s">
        <v>115</v>
      </c>
      <c r="C3612" t="b">
        <v>0</v>
      </c>
      <c r="D3612" s="1">
        <v>40940</v>
      </c>
      <c r="E3612">
        <v>5</v>
      </c>
      <c r="F3612"/>
      <c r="G3612"/>
      <c r="H3612"/>
      <c r="I3612"/>
      <c r="J3612"/>
      <c r="K3612"/>
      <c r="L3612"/>
      <c r="M3612"/>
      <c r="N3612"/>
      <c r="O3612"/>
    </row>
    <row r="3613" spans="1:15" hidden="1" x14ac:dyDescent="0.25">
      <c r="A3613" t="s">
        <v>68</v>
      </c>
      <c r="B3613" t="s">
        <v>115</v>
      </c>
      <c r="C3613" t="b">
        <v>0</v>
      </c>
      <c r="D3613" s="1">
        <v>40940</v>
      </c>
      <c r="E3613">
        <v>5</v>
      </c>
      <c r="F3613"/>
      <c r="G3613"/>
      <c r="H3613"/>
      <c r="I3613"/>
      <c r="J3613"/>
      <c r="K3613"/>
      <c r="L3613"/>
      <c r="M3613"/>
      <c r="N3613"/>
      <c r="O3613"/>
    </row>
    <row r="3614" spans="1:15" hidden="1" x14ac:dyDescent="0.25">
      <c r="A3614" t="s">
        <v>69</v>
      </c>
      <c r="B3614" t="s">
        <v>115</v>
      </c>
      <c r="C3614" t="b">
        <v>0</v>
      </c>
      <c r="D3614" s="1">
        <v>40940</v>
      </c>
      <c r="E3614">
        <v>1.0000000000000001E-5</v>
      </c>
      <c r="F3614"/>
      <c r="G3614"/>
      <c r="H3614"/>
      <c r="I3614"/>
      <c r="J3614"/>
      <c r="K3614"/>
      <c r="L3614"/>
      <c r="M3614"/>
      <c r="N3614"/>
      <c r="O3614"/>
    </row>
    <row r="3615" spans="1:15" hidden="1" x14ac:dyDescent="0.25">
      <c r="A3615" t="s">
        <v>76</v>
      </c>
      <c r="B3615" t="s">
        <v>115</v>
      </c>
      <c r="C3615" t="b">
        <v>0</v>
      </c>
      <c r="D3615" s="1">
        <v>40940</v>
      </c>
      <c r="E3615">
        <v>1E-3</v>
      </c>
      <c r="F3615"/>
      <c r="G3615"/>
      <c r="H3615"/>
      <c r="I3615"/>
      <c r="J3615"/>
      <c r="K3615"/>
      <c r="L3615"/>
      <c r="M3615"/>
      <c r="N3615"/>
      <c r="O3615"/>
    </row>
    <row r="3616" spans="1:15" hidden="1" x14ac:dyDescent="0.25">
      <c r="A3616" t="s">
        <v>84</v>
      </c>
      <c r="B3616" t="s">
        <v>115</v>
      </c>
      <c r="C3616" t="b">
        <v>0</v>
      </c>
      <c r="D3616" s="1">
        <v>40940</v>
      </c>
      <c r="E3616">
        <v>5</v>
      </c>
      <c r="F3616"/>
      <c r="G3616"/>
      <c r="H3616"/>
      <c r="I3616"/>
      <c r="J3616"/>
      <c r="K3616"/>
      <c r="L3616"/>
      <c r="M3616"/>
      <c r="N3616"/>
      <c r="O3616"/>
    </row>
    <row r="3617" spans="1:15" hidden="1" x14ac:dyDescent="0.25">
      <c r="A3617" t="s">
        <v>86</v>
      </c>
      <c r="B3617" t="s">
        <v>115</v>
      </c>
      <c r="C3617" t="b">
        <v>0</v>
      </c>
      <c r="D3617" s="1">
        <v>40940</v>
      </c>
      <c r="E3617">
        <v>5</v>
      </c>
      <c r="F3617"/>
      <c r="G3617"/>
      <c r="H3617"/>
      <c r="I3617"/>
      <c r="J3617"/>
      <c r="K3617"/>
      <c r="L3617"/>
      <c r="M3617"/>
      <c r="N3617"/>
      <c r="O3617"/>
    </row>
    <row r="3618" spans="1:15" hidden="1" x14ac:dyDescent="0.25">
      <c r="A3618" t="s">
        <v>88</v>
      </c>
      <c r="B3618" t="s">
        <v>115</v>
      </c>
      <c r="C3618" t="b">
        <v>0</v>
      </c>
      <c r="D3618" s="1">
        <v>40940</v>
      </c>
      <c r="E3618">
        <v>5</v>
      </c>
      <c r="F3618"/>
      <c r="G3618"/>
      <c r="H3618"/>
      <c r="I3618"/>
      <c r="J3618"/>
      <c r="K3618"/>
      <c r="L3618"/>
      <c r="M3618"/>
      <c r="N3618"/>
      <c r="O3618"/>
    </row>
    <row r="3619" spans="1:15" hidden="1" x14ac:dyDescent="0.25">
      <c r="A3619" t="s">
        <v>89</v>
      </c>
      <c r="B3619" t="s">
        <v>115</v>
      </c>
      <c r="C3619" t="b">
        <v>0</v>
      </c>
      <c r="D3619" s="1">
        <v>40940</v>
      </c>
      <c r="E3619">
        <v>5</v>
      </c>
      <c r="F3619"/>
      <c r="G3619"/>
      <c r="H3619"/>
      <c r="I3619"/>
      <c r="J3619"/>
      <c r="K3619"/>
      <c r="L3619"/>
      <c r="M3619"/>
      <c r="N3619"/>
      <c r="O3619"/>
    </row>
    <row r="3620" spans="1:15" hidden="1" x14ac:dyDescent="0.25">
      <c r="A3620" t="s">
        <v>92</v>
      </c>
      <c r="B3620" t="s">
        <v>115</v>
      </c>
      <c r="C3620" t="b">
        <v>0</v>
      </c>
      <c r="D3620" s="1">
        <v>40940</v>
      </c>
      <c r="E3620">
        <v>5</v>
      </c>
      <c r="F3620"/>
      <c r="G3620"/>
      <c r="H3620"/>
      <c r="I3620"/>
      <c r="J3620"/>
      <c r="K3620"/>
      <c r="L3620"/>
      <c r="M3620"/>
      <c r="N3620"/>
      <c r="O3620"/>
    </row>
    <row r="3621" spans="1:15" hidden="1" x14ac:dyDescent="0.25">
      <c r="A3621" t="s">
        <v>95</v>
      </c>
      <c r="B3621" t="s">
        <v>115</v>
      </c>
      <c r="C3621" t="b">
        <v>0</v>
      </c>
      <c r="D3621" s="1">
        <v>40940</v>
      </c>
      <c r="E3621">
        <v>5</v>
      </c>
      <c r="F3621"/>
      <c r="G3621"/>
      <c r="H3621"/>
      <c r="I3621"/>
      <c r="J3621"/>
      <c r="K3621"/>
      <c r="L3621"/>
      <c r="M3621"/>
      <c r="N3621"/>
      <c r="O3621"/>
    </row>
    <row r="3622" spans="1:15" hidden="1" x14ac:dyDescent="0.25">
      <c r="A3622" t="s">
        <v>96</v>
      </c>
      <c r="B3622" t="s">
        <v>115</v>
      </c>
      <c r="C3622" t="b">
        <v>0</v>
      </c>
      <c r="D3622" s="1">
        <v>40940</v>
      </c>
      <c r="E3622">
        <v>5</v>
      </c>
      <c r="F3622"/>
      <c r="G3622"/>
      <c r="H3622"/>
      <c r="I3622"/>
      <c r="J3622"/>
      <c r="K3622"/>
      <c r="L3622"/>
      <c r="M3622"/>
      <c r="N3622"/>
      <c r="O3622"/>
    </row>
    <row r="3623" spans="1:15" hidden="1" x14ac:dyDescent="0.25">
      <c r="A3623" t="s">
        <v>99</v>
      </c>
      <c r="B3623" t="s">
        <v>114</v>
      </c>
      <c r="C3623" t="b">
        <v>0</v>
      </c>
      <c r="D3623" s="1">
        <v>40940</v>
      </c>
      <c r="E3623">
        <v>12.78</v>
      </c>
      <c r="F3623"/>
      <c r="G3623"/>
      <c r="H3623"/>
      <c r="I3623"/>
      <c r="J3623"/>
      <c r="K3623"/>
      <c r="L3623"/>
      <c r="M3623"/>
      <c r="N3623"/>
      <c r="O3623"/>
    </row>
    <row r="3624" spans="1:15" hidden="1" x14ac:dyDescent="0.25">
      <c r="A3624" t="s">
        <v>100</v>
      </c>
      <c r="B3624" t="s">
        <v>117</v>
      </c>
      <c r="C3624" t="b">
        <v>0</v>
      </c>
      <c r="D3624" s="1">
        <v>40969</v>
      </c>
      <c r="E3624" s="2">
        <v>-51.96</v>
      </c>
      <c r="F3624"/>
      <c r="G3624"/>
      <c r="H3624"/>
      <c r="I3624"/>
      <c r="J3624"/>
      <c r="K3624"/>
      <c r="L3624"/>
      <c r="M3624"/>
      <c r="N3624"/>
      <c r="O3624"/>
    </row>
    <row r="3625" spans="1:15" hidden="1" x14ac:dyDescent="0.25">
      <c r="A3625" t="s">
        <v>102</v>
      </c>
      <c r="B3625" t="s">
        <v>117</v>
      </c>
      <c r="C3625" t="b">
        <v>0</v>
      </c>
      <c r="D3625" s="1">
        <v>40969</v>
      </c>
      <c r="E3625" s="2">
        <v>-29.680000000000003</v>
      </c>
      <c r="F3625"/>
      <c r="G3625"/>
      <c r="H3625"/>
      <c r="I3625"/>
      <c r="J3625"/>
      <c r="K3625"/>
      <c r="L3625"/>
      <c r="M3625"/>
      <c r="N3625"/>
      <c r="O3625"/>
    </row>
    <row r="3626" spans="1:15" hidden="1" x14ac:dyDescent="0.25">
      <c r="A3626" t="s">
        <v>103</v>
      </c>
      <c r="B3626" t="s">
        <v>117</v>
      </c>
      <c r="C3626" t="b">
        <v>0</v>
      </c>
      <c r="D3626" s="1">
        <v>40969</v>
      </c>
      <c r="E3626" s="2">
        <v>-19.240000000000002</v>
      </c>
      <c r="F3626"/>
      <c r="G3626"/>
      <c r="H3626"/>
      <c r="I3626"/>
      <c r="J3626"/>
      <c r="K3626"/>
      <c r="L3626"/>
      <c r="M3626"/>
      <c r="N3626"/>
      <c r="O3626"/>
    </row>
    <row r="3627" spans="1:15" hidden="1" x14ac:dyDescent="0.25">
      <c r="A3627" t="s">
        <v>101</v>
      </c>
      <c r="B3627" t="s">
        <v>117</v>
      </c>
      <c r="C3627" t="b">
        <v>0</v>
      </c>
      <c r="D3627" s="1">
        <v>40969</v>
      </c>
      <c r="E3627" s="2">
        <v>-16.79</v>
      </c>
      <c r="F3627"/>
      <c r="G3627"/>
      <c r="H3627"/>
      <c r="I3627"/>
      <c r="J3627"/>
      <c r="K3627"/>
      <c r="L3627"/>
      <c r="M3627"/>
      <c r="N3627"/>
      <c r="O3627"/>
    </row>
    <row r="3628" spans="1:15" hidden="1" x14ac:dyDescent="0.25">
      <c r="A3628" t="s">
        <v>25</v>
      </c>
      <c r="B3628" t="s">
        <v>115</v>
      </c>
      <c r="C3628" t="b">
        <v>0</v>
      </c>
      <c r="D3628" s="1">
        <v>40969</v>
      </c>
      <c r="E3628">
        <v>5</v>
      </c>
      <c r="F3628"/>
      <c r="G3628"/>
      <c r="H3628"/>
      <c r="I3628"/>
      <c r="J3628"/>
      <c r="K3628"/>
      <c r="L3628"/>
      <c r="M3628"/>
      <c r="N3628"/>
      <c r="O3628"/>
    </row>
    <row r="3629" spans="1:15" hidden="1" x14ac:dyDescent="0.25">
      <c r="A3629" t="s">
        <v>43</v>
      </c>
      <c r="B3629" t="s">
        <v>115</v>
      </c>
      <c r="C3629" t="b">
        <v>0</v>
      </c>
      <c r="D3629" s="1">
        <v>40969</v>
      </c>
      <c r="E3629">
        <v>5</v>
      </c>
      <c r="F3629"/>
      <c r="G3629"/>
      <c r="H3629"/>
      <c r="I3629"/>
      <c r="J3629"/>
      <c r="K3629"/>
      <c r="L3629"/>
      <c r="M3629"/>
      <c r="N3629"/>
      <c r="O3629"/>
    </row>
    <row r="3630" spans="1:15" hidden="1" x14ac:dyDescent="0.25">
      <c r="A3630" t="s">
        <v>44</v>
      </c>
      <c r="B3630" t="s">
        <v>115</v>
      </c>
      <c r="C3630" t="b">
        <v>0</v>
      </c>
      <c r="D3630" s="1">
        <v>40969</v>
      </c>
      <c r="E3630">
        <v>5</v>
      </c>
      <c r="F3630"/>
      <c r="G3630"/>
      <c r="H3630"/>
      <c r="I3630"/>
      <c r="J3630"/>
      <c r="K3630"/>
      <c r="L3630"/>
      <c r="M3630"/>
      <c r="N3630"/>
      <c r="O3630"/>
    </row>
    <row r="3631" spans="1:15" hidden="1" x14ac:dyDescent="0.25">
      <c r="A3631" t="s">
        <v>46</v>
      </c>
      <c r="B3631" t="s">
        <v>115</v>
      </c>
      <c r="C3631" t="b">
        <v>0</v>
      </c>
      <c r="D3631" s="1">
        <v>40969</v>
      </c>
      <c r="E3631">
        <v>5</v>
      </c>
      <c r="F3631"/>
      <c r="G3631"/>
      <c r="H3631"/>
      <c r="I3631"/>
      <c r="J3631"/>
      <c r="K3631"/>
      <c r="L3631"/>
      <c r="M3631"/>
      <c r="N3631"/>
      <c r="O3631"/>
    </row>
    <row r="3632" spans="1:15" hidden="1" x14ac:dyDescent="0.25">
      <c r="A3632" t="s">
        <v>50</v>
      </c>
      <c r="B3632" t="s">
        <v>115</v>
      </c>
      <c r="C3632" t="b">
        <v>0</v>
      </c>
      <c r="D3632" s="1">
        <v>40969</v>
      </c>
      <c r="E3632">
        <v>5</v>
      </c>
      <c r="F3632"/>
      <c r="G3632"/>
      <c r="H3632"/>
      <c r="I3632"/>
      <c r="J3632"/>
      <c r="K3632"/>
      <c r="L3632"/>
      <c r="M3632"/>
      <c r="N3632"/>
      <c r="O3632"/>
    </row>
    <row r="3633" spans="1:15" hidden="1" x14ac:dyDescent="0.25">
      <c r="A3633" t="s">
        <v>54</v>
      </c>
      <c r="B3633" t="s">
        <v>115</v>
      </c>
      <c r="C3633" t="b">
        <v>0</v>
      </c>
      <c r="D3633" s="1">
        <v>40969</v>
      </c>
      <c r="E3633">
        <v>5</v>
      </c>
      <c r="F3633"/>
      <c r="G3633"/>
      <c r="H3633"/>
      <c r="I3633"/>
      <c r="J3633"/>
      <c r="K3633"/>
      <c r="L3633"/>
      <c r="M3633"/>
      <c r="N3633"/>
      <c r="O3633"/>
    </row>
    <row r="3634" spans="1:15" hidden="1" x14ac:dyDescent="0.25">
      <c r="A3634" t="s">
        <v>55</v>
      </c>
      <c r="B3634" t="s">
        <v>115</v>
      </c>
      <c r="C3634" t="b">
        <v>0</v>
      </c>
      <c r="D3634" s="1">
        <v>40969</v>
      </c>
      <c r="E3634">
        <v>5</v>
      </c>
      <c r="F3634"/>
      <c r="G3634"/>
      <c r="H3634"/>
      <c r="I3634"/>
      <c r="J3634"/>
      <c r="K3634"/>
      <c r="L3634"/>
      <c r="M3634"/>
      <c r="N3634"/>
      <c r="O3634"/>
    </row>
    <row r="3635" spans="1:15" hidden="1" x14ac:dyDescent="0.25">
      <c r="A3635" t="s">
        <v>56</v>
      </c>
      <c r="B3635" t="s">
        <v>115</v>
      </c>
      <c r="C3635" t="b">
        <v>0</v>
      </c>
      <c r="D3635" s="1">
        <v>40969</v>
      </c>
      <c r="E3635">
        <v>5</v>
      </c>
      <c r="F3635"/>
      <c r="G3635"/>
      <c r="H3635"/>
      <c r="I3635"/>
      <c r="J3635"/>
      <c r="K3635"/>
      <c r="L3635"/>
      <c r="M3635"/>
      <c r="N3635"/>
      <c r="O3635"/>
    </row>
    <row r="3636" spans="1:15" hidden="1" x14ac:dyDescent="0.25">
      <c r="A3636" t="s">
        <v>57</v>
      </c>
      <c r="B3636" t="s">
        <v>115</v>
      </c>
      <c r="C3636" t="b">
        <v>0</v>
      </c>
      <c r="D3636" s="1">
        <v>40969</v>
      </c>
      <c r="E3636">
        <v>5</v>
      </c>
      <c r="F3636"/>
      <c r="G3636"/>
      <c r="H3636"/>
      <c r="I3636"/>
      <c r="J3636"/>
      <c r="K3636"/>
      <c r="L3636"/>
      <c r="M3636"/>
      <c r="N3636"/>
      <c r="O3636"/>
    </row>
    <row r="3637" spans="1:15" hidden="1" x14ac:dyDescent="0.25">
      <c r="A3637" t="s">
        <v>68</v>
      </c>
      <c r="B3637" t="s">
        <v>115</v>
      </c>
      <c r="C3637" t="b">
        <v>0</v>
      </c>
      <c r="D3637" s="1">
        <v>40969</v>
      </c>
      <c r="E3637">
        <v>5</v>
      </c>
      <c r="F3637"/>
      <c r="G3637"/>
      <c r="H3637"/>
      <c r="I3637"/>
      <c r="J3637"/>
      <c r="K3637"/>
      <c r="L3637"/>
      <c r="M3637"/>
      <c r="N3637"/>
      <c r="O3637"/>
    </row>
    <row r="3638" spans="1:15" hidden="1" x14ac:dyDescent="0.25">
      <c r="A3638" t="s">
        <v>69</v>
      </c>
      <c r="B3638" t="s">
        <v>115</v>
      </c>
      <c r="C3638" t="b">
        <v>0</v>
      </c>
      <c r="D3638" s="1">
        <v>40969</v>
      </c>
      <c r="E3638">
        <v>5</v>
      </c>
      <c r="F3638"/>
      <c r="G3638"/>
      <c r="H3638"/>
      <c r="I3638"/>
      <c r="J3638"/>
      <c r="K3638"/>
      <c r="L3638"/>
      <c r="M3638"/>
      <c r="N3638"/>
      <c r="O3638"/>
    </row>
    <row r="3639" spans="1:15" hidden="1" x14ac:dyDescent="0.25">
      <c r="A3639" t="s">
        <v>76</v>
      </c>
      <c r="B3639" t="s">
        <v>115</v>
      </c>
      <c r="C3639" t="b">
        <v>0</v>
      </c>
      <c r="D3639" s="1">
        <v>40969</v>
      </c>
      <c r="E3639">
        <v>1E-3</v>
      </c>
      <c r="F3639"/>
      <c r="G3639"/>
      <c r="H3639"/>
      <c r="I3639"/>
      <c r="J3639"/>
      <c r="K3639"/>
      <c r="L3639"/>
      <c r="M3639"/>
      <c r="N3639"/>
      <c r="O3639"/>
    </row>
    <row r="3640" spans="1:15" hidden="1" x14ac:dyDescent="0.25">
      <c r="A3640" t="s">
        <v>84</v>
      </c>
      <c r="B3640" t="s">
        <v>115</v>
      </c>
      <c r="C3640" t="b">
        <v>0</v>
      </c>
      <c r="D3640" s="1">
        <v>40969</v>
      </c>
      <c r="E3640">
        <v>5</v>
      </c>
      <c r="F3640"/>
      <c r="G3640"/>
      <c r="H3640"/>
      <c r="I3640"/>
      <c r="J3640"/>
      <c r="K3640"/>
      <c r="L3640"/>
      <c r="M3640"/>
      <c r="N3640"/>
      <c r="O3640"/>
    </row>
    <row r="3641" spans="1:15" hidden="1" x14ac:dyDescent="0.25">
      <c r="A3641" t="s">
        <v>86</v>
      </c>
      <c r="B3641" t="s">
        <v>115</v>
      </c>
      <c r="C3641" t="b">
        <v>0</v>
      </c>
      <c r="D3641" s="1">
        <v>40969</v>
      </c>
      <c r="E3641">
        <v>5</v>
      </c>
      <c r="F3641"/>
      <c r="G3641"/>
      <c r="H3641"/>
      <c r="I3641"/>
      <c r="J3641"/>
      <c r="K3641"/>
      <c r="L3641"/>
      <c r="M3641"/>
      <c r="N3641"/>
      <c r="O3641"/>
    </row>
    <row r="3642" spans="1:15" hidden="1" x14ac:dyDescent="0.25">
      <c r="A3642" t="s">
        <v>88</v>
      </c>
      <c r="B3642" t="s">
        <v>115</v>
      </c>
      <c r="C3642" t="b">
        <v>0</v>
      </c>
      <c r="D3642" s="1">
        <v>40969</v>
      </c>
      <c r="E3642">
        <v>5</v>
      </c>
      <c r="F3642"/>
      <c r="G3642"/>
      <c r="H3642"/>
      <c r="I3642"/>
      <c r="J3642"/>
      <c r="K3642"/>
      <c r="L3642"/>
      <c r="M3642"/>
      <c r="N3642"/>
      <c r="O3642"/>
    </row>
    <row r="3643" spans="1:15" hidden="1" x14ac:dyDescent="0.25">
      <c r="A3643" t="s">
        <v>89</v>
      </c>
      <c r="B3643" t="s">
        <v>115</v>
      </c>
      <c r="C3643" t="b">
        <v>0</v>
      </c>
      <c r="D3643" s="1">
        <v>40969</v>
      </c>
      <c r="E3643">
        <v>5</v>
      </c>
      <c r="F3643"/>
      <c r="G3643"/>
      <c r="H3643"/>
      <c r="I3643"/>
      <c r="J3643"/>
      <c r="K3643"/>
      <c r="L3643"/>
      <c r="M3643"/>
      <c r="N3643"/>
      <c r="O3643"/>
    </row>
    <row r="3644" spans="1:15" hidden="1" x14ac:dyDescent="0.25">
      <c r="A3644" t="s">
        <v>92</v>
      </c>
      <c r="B3644" t="s">
        <v>115</v>
      </c>
      <c r="C3644" t="b">
        <v>0</v>
      </c>
      <c r="D3644" s="1">
        <v>40969</v>
      </c>
      <c r="E3644">
        <v>5</v>
      </c>
      <c r="F3644"/>
      <c r="G3644"/>
      <c r="H3644"/>
      <c r="I3644"/>
      <c r="J3644"/>
      <c r="K3644"/>
      <c r="L3644"/>
      <c r="M3644"/>
      <c r="N3644"/>
      <c r="O3644"/>
    </row>
    <row r="3645" spans="1:15" hidden="1" x14ac:dyDescent="0.25">
      <c r="A3645" t="s">
        <v>95</v>
      </c>
      <c r="B3645" t="s">
        <v>115</v>
      </c>
      <c r="C3645" t="b">
        <v>0</v>
      </c>
      <c r="D3645" s="1">
        <v>40969</v>
      </c>
      <c r="E3645">
        <v>5</v>
      </c>
      <c r="F3645"/>
      <c r="G3645"/>
      <c r="H3645"/>
      <c r="I3645"/>
      <c r="J3645"/>
      <c r="K3645"/>
      <c r="L3645"/>
      <c r="M3645"/>
      <c r="N3645"/>
      <c r="O3645"/>
    </row>
    <row r="3646" spans="1:15" hidden="1" x14ac:dyDescent="0.25">
      <c r="A3646" t="s">
        <v>96</v>
      </c>
      <c r="B3646" t="s">
        <v>115</v>
      </c>
      <c r="C3646" t="b">
        <v>0</v>
      </c>
      <c r="D3646" s="1">
        <v>40969</v>
      </c>
      <c r="E3646">
        <v>5</v>
      </c>
      <c r="F3646"/>
      <c r="G3646"/>
      <c r="H3646"/>
      <c r="I3646"/>
      <c r="J3646"/>
      <c r="K3646"/>
      <c r="L3646"/>
      <c r="M3646"/>
      <c r="N3646"/>
      <c r="O3646"/>
    </row>
    <row r="3647" spans="1:15" hidden="1" x14ac:dyDescent="0.25">
      <c r="A3647" t="s">
        <v>99</v>
      </c>
      <c r="B3647" t="s">
        <v>114</v>
      </c>
      <c r="C3647" t="b">
        <v>0</v>
      </c>
      <c r="D3647" s="1">
        <v>40969</v>
      </c>
      <c r="E3647">
        <v>8.76</v>
      </c>
      <c r="F3647"/>
      <c r="G3647"/>
      <c r="H3647"/>
      <c r="I3647"/>
      <c r="J3647"/>
      <c r="K3647"/>
      <c r="L3647"/>
      <c r="M3647"/>
      <c r="N3647"/>
      <c r="O3647"/>
    </row>
    <row r="3648" spans="1:15" hidden="1" x14ac:dyDescent="0.25">
      <c r="A3648" t="s">
        <v>100</v>
      </c>
      <c r="B3648" t="s">
        <v>117</v>
      </c>
      <c r="C3648" t="b">
        <v>0</v>
      </c>
      <c r="D3648" s="1">
        <v>41000</v>
      </c>
      <c r="E3648" s="2">
        <v>-51.96</v>
      </c>
      <c r="F3648"/>
      <c r="G3648"/>
      <c r="H3648"/>
      <c r="I3648"/>
      <c r="J3648"/>
      <c r="K3648"/>
      <c r="L3648"/>
      <c r="M3648"/>
      <c r="N3648"/>
      <c r="O3648"/>
    </row>
    <row r="3649" spans="1:15" hidden="1" x14ac:dyDescent="0.25">
      <c r="A3649" t="s">
        <v>102</v>
      </c>
      <c r="B3649" t="s">
        <v>117</v>
      </c>
      <c r="C3649" t="b">
        <v>0</v>
      </c>
      <c r="D3649" s="1">
        <v>41000</v>
      </c>
      <c r="E3649" s="2">
        <v>-34.36</v>
      </c>
      <c r="F3649"/>
      <c r="G3649"/>
      <c r="H3649"/>
      <c r="I3649"/>
      <c r="J3649"/>
      <c r="K3649"/>
      <c r="L3649"/>
      <c r="M3649"/>
      <c r="N3649"/>
      <c r="O3649"/>
    </row>
    <row r="3650" spans="1:15" hidden="1" x14ac:dyDescent="0.25">
      <c r="A3650" t="s">
        <v>103</v>
      </c>
      <c r="B3650" t="s">
        <v>117</v>
      </c>
      <c r="C3650" t="b">
        <v>0</v>
      </c>
      <c r="D3650" s="1">
        <v>41000</v>
      </c>
      <c r="E3650" s="2">
        <v>-5</v>
      </c>
      <c r="F3650"/>
      <c r="G3650"/>
      <c r="H3650"/>
      <c r="I3650"/>
      <c r="J3650"/>
      <c r="K3650"/>
      <c r="L3650"/>
      <c r="M3650"/>
      <c r="N3650"/>
      <c r="O3650"/>
    </row>
    <row r="3651" spans="1:15" hidden="1" x14ac:dyDescent="0.25">
      <c r="A3651" t="s">
        <v>25</v>
      </c>
      <c r="B3651" t="s">
        <v>115</v>
      </c>
      <c r="C3651" t="b">
        <v>0</v>
      </c>
      <c r="D3651" s="1">
        <v>41000</v>
      </c>
      <c r="E3651">
        <v>5</v>
      </c>
      <c r="F3651"/>
      <c r="G3651"/>
      <c r="H3651"/>
      <c r="I3651"/>
      <c r="J3651"/>
      <c r="K3651"/>
      <c r="L3651"/>
      <c r="M3651"/>
      <c r="N3651"/>
      <c r="O3651"/>
    </row>
    <row r="3652" spans="1:15" hidden="1" x14ac:dyDescent="0.25">
      <c r="A3652" t="s">
        <v>43</v>
      </c>
      <c r="B3652" t="s">
        <v>115</v>
      </c>
      <c r="C3652" t="b">
        <v>0</v>
      </c>
      <c r="D3652" s="1">
        <v>41000</v>
      </c>
      <c r="E3652">
        <v>5</v>
      </c>
      <c r="F3652"/>
      <c r="G3652"/>
      <c r="H3652"/>
      <c r="I3652"/>
      <c r="J3652"/>
      <c r="K3652"/>
      <c r="L3652"/>
      <c r="M3652"/>
      <c r="N3652"/>
      <c r="O3652"/>
    </row>
    <row r="3653" spans="1:15" hidden="1" x14ac:dyDescent="0.25">
      <c r="A3653" t="s">
        <v>44</v>
      </c>
      <c r="B3653" t="s">
        <v>115</v>
      </c>
      <c r="C3653" t="b">
        <v>0</v>
      </c>
      <c r="D3653" s="1">
        <v>41000</v>
      </c>
      <c r="E3653">
        <v>5</v>
      </c>
      <c r="F3653"/>
      <c r="G3653"/>
      <c r="H3653"/>
      <c r="I3653"/>
      <c r="J3653"/>
      <c r="K3653"/>
      <c r="L3653"/>
      <c r="M3653"/>
      <c r="N3653"/>
      <c r="O3653"/>
    </row>
    <row r="3654" spans="1:15" hidden="1" x14ac:dyDescent="0.25">
      <c r="A3654" t="s">
        <v>46</v>
      </c>
      <c r="B3654" t="s">
        <v>115</v>
      </c>
      <c r="C3654" t="b">
        <v>0</v>
      </c>
      <c r="D3654" s="1">
        <v>41000</v>
      </c>
      <c r="E3654">
        <v>5</v>
      </c>
      <c r="F3654"/>
      <c r="G3654"/>
      <c r="H3654"/>
      <c r="I3654"/>
      <c r="J3654"/>
      <c r="K3654"/>
      <c r="L3654"/>
      <c r="M3654"/>
      <c r="N3654"/>
      <c r="O3654"/>
    </row>
    <row r="3655" spans="1:15" hidden="1" x14ac:dyDescent="0.25">
      <c r="A3655" t="s">
        <v>50</v>
      </c>
      <c r="B3655" t="s">
        <v>115</v>
      </c>
      <c r="C3655" t="b">
        <v>0</v>
      </c>
      <c r="D3655" s="1">
        <v>41000</v>
      </c>
      <c r="E3655">
        <v>5</v>
      </c>
      <c r="F3655"/>
      <c r="G3655"/>
      <c r="H3655"/>
      <c r="I3655"/>
      <c r="J3655"/>
      <c r="K3655"/>
      <c r="L3655"/>
      <c r="M3655"/>
      <c r="N3655"/>
      <c r="O3655"/>
    </row>
    <row r="3656" spans="1:15" hidden="1" x14ac:dyDescent="0.25">
      <c r="A3656" t="s">
        <v>54</v>
      </c>
      <c r="B3656" t="s">
        <v>115</v>
      </c>
      <c r="C3656" t="b">
        <v>0</v>
      </c>
      <c r="D3656" s="1">
        <v>41000</v>
      </c>
      <c r="E3656">
        <v>5</v>
      </c>
      <c r="F3656"/>
      <c r="G3656"/>
      <c r="H3656"/>
      <c r="I3656"/>
      <c r="J3656"/>
      <c r="K3656"/>
      <c r="L3656"/>
      <c r="M3656"/>
      <c r="N3656"/>
      <c r="O3656"/>
    </row>
    <row r="3657" spans="1:15" hidden="1" x14ac:dyDescent="0.25">
      <c r="A3657" t="s">
        <v>55</v>
      </c>
      <c r="B3657" t="s">
        <v>115</v>
      </c>
      <c r="C3657" t="b">
        <v>0</v>
      </c>
      <c r="D3657" s="1">
        <v>41000</v>
      </c>
      <c r="E3657">
        <v>5</v>
      </c>
      <c r="F3657"/>
      <c r="G3657"/>
      <c r="H3657"/>
      <c r="I3657"/>
      <c r="J3657"/>
      <c r="K3657"/>
      <c r="L3657"/>
      <c r="M3657"/>
      <c r="N3657"/>
      <c r="O3657"/>
    </row>
    <row r="3658" spans="1:15" hidden="1" x14ac:dyDescent="0.25">
      <c r="A3658" t="s">
        <v>56</v>
      </c>
      <c r="B3658" t="s">
        <v>115</v>
      </c>
      <c r="C3658" t="b">
        <v>0</v>
      </c>
      <c r="D3658" s="1">
        <v>41000</v>
      </c>
      <c r="E3658">
        <v>5</v>
      </c>
      <c r="F3658"/>
      <c r="G3658"/>
      <c r="H3658"/>
      <c r="I3658"/>
      <c r="J3658"/>
      <c r="K3658"/>
      <c r="L3658"/>
      <c r="M3658"/>
      <c r="N3658"/>
      <c r="O3658"/>
    </row>
    <row r="3659" spans="1:15" hidden="1" x14ac:dyDescent="0.25">
      <c r="A3659" t="s">
        <v>57</v>
      </c>
      <c r="B3659" t="s">
        <v>115</v>
      </c>
      <c r="C3659" t="b">
        <v>0</v>
      </c>
      <c r="D3659" s="1">
        <v>41000</v>
      </c>
      <c r="E3659">
        <v>5</v>
      </c>
      <c r="F3659"/>
      <c r="G3659"/>
      <c r="H3659"/>
      <c r="I3659"/>
      <c r="J3659"/>
      <c r="K3659"/>
      <c r="L3659"/>
      <c r="M3659"/>
      <c r="N3659"/>
      <c r="O3659"/>
    </row>
    <row r="3660" spans="1:15" hidden="1" x14ac:dyDescent="0.25">
      <c r="A3660" t="s">
        <v>68</v>
      </c>
      <c r="B3660" t="s">
        <v>115</v>
      </c>
      <c r="C3660" t="b">
        <v>0</v>
      </c>
      <c r="D3660" s="1">
        <v>41000</v>
      </c>
      <c r="E3660">
        <v>5</v>
      </c>
      <c r="F3660"/>
      <c r="G3660"/>
      <c r="H3660"/>
      <c r="I3660"/>
      <c r="J3660"/>
      <c r="K3660"/>
      <c r="L3660"/>
      <c r="M3660"/>
      <c r="N3660"/>
      <c r="O3660"/>
    </row>
    <row r="3661" spans="1:15" hidden="1" x14ac:dyDescent="0.25">
      <c r="A3661" t="s">
        <v>69</v>
      </c>
      <c r="B3661" t="s">
        <v>115</v>
      </c>
      <c r="C3661" t="b">
        <v>0</v>
      </c>
      <c r="D3661" s="1">
        <v>41000</v>
      </c>
      <c r="E3661">
        <v>5</v>
      </c>
      <c r="F3661"/>
      <c r="G3661"/>
      <c r="H3661"/>
      <c r="I3661"/>
      <c r="J3661"/>
      <c r="K3661"/>
      <c r="L3661"/>
      <c r="M3661"/>
      <c r="N3661"/>
      <c r="O3661"/>
    </row>
    <row r="3662" spans="1:15" hidden="1" x14ac:dyDescent="0.25">
      <c r="A3662" t="s">
        <v>76</v>
      </c>
      <c r="B3662" t="s">
        <v>115</v>
      </c>
      <c r="C3662" t="b">
        <v>0</v>
      </c>
      <c r="D3662" s="1">
        <v>41000</v>
      </c>
      <c r="E3662">
        <v>1E-3</v>
      </c>
      <c r="F3662"/>
      <c r="G3662"/>
      <c r="H3662"/>
      <c r="I3662"/>
      <c r="J3662"/>
      <c r="K3662"/>
      <c r="L3662"/>
      <c r="M3662"/>
      <c r="N3662"/>
      <c r="O3662"/>
    </row>
    <row r="3663" spans="1:15" hidden="1" x14ac:dyDescent="0.25">
      <c r="A3663" t="s">
        <v>84</v>
      </c>
      <c r="B3663" t="s">
        <v>115</v>
      </c>
      <c r="C3663" t="b">
        <v>0</v>
      </c>
      <c r="D3663" s="1">
        <v>41000</v>
      </c>
      <c r="E3663">
        <v>5</v>
      </c>
      <c r="F3663"/>
      <c r="G3663"/>
      <c r="H3663"/>
      <c r="I3663"/>
      <c r="J3663"/>
      <c r="K3663"/>
      <c r="L3663"/>
      <c r="M3663"/>
      <c r="N3663"/>
      <c r="O3663"/>
    </row>
    <row r="3664" spans="1:15" hidden="1" x14ac:dyDescent="0.25">
      <c r="A3664" t="s">
        <v>86</v>
      </c>
      <c r="B3664" t="s">
        <v>115</v>
      </c>
      <c r="C3664" t="b">
        <v>0</v>
      </c>
      <c r="D3664" s="1">
        <v>41000</v>
      </c>
      <c r="E3664">
        <v>5</v>
      </c>
      <c r="F3664"/>
      <c r="G3664"/>
      <c r="H3664"/>
      <c r="I3664"/>
      <c r="J3664"/>
      <c r="K3664"/>
      <c r="L3664"/>
      <c r="M3664"/>
      <c r="N3664"/>
      <c r="O3664"/>
    </row>
    <row r="3665" spans="1:15" hidden="1" x14ac:dyDescent="0.25">
      <c r="A3665" t="s">
        <v>88</v>
      </c>
      <c r="B3665" t="s">
        <v>115</v>
      </c>
      <c r="C3665" t="b">
        <v>0</v>
      </c>
      <c r="D3665" s="1">
        <v>41000</v>
      </c>
      <c r="E3665">
        <v>5</v>
      </c>
      <c r="F3665"/>
      <c r="G3665"/>
      <c r="H3665"/>
      <c r="I3665"/>
      <c r="J3665"/>
      <c r="K3665"/>
      <c r="L3665"/>
      <c r="M3665"/>
      <c r="N3665"/>
      <c r="O3665"/>
    </row>
    <row r="3666" spans="1:15" hidden="1" x14ac:dyDescent="0.25">
      <c r="A3666" t="s">
        <v>89</v>
      </c>
      <c r="B3666" t="s">
        <v>115</v>
      </c>
      <c r="C3666" t="b">
        <v>0</v>
      </c>
      <c r="D3666" s="1">
        <v>41000</v>
      </c>
      <c r="E3666">
        <v>5</v>
      </c>
      <c r="F3666"/>
      <c r="G3666"/>
      <c r="H3666"/>
      <c r="I3666"/>
      <c r="J3666"/>
      <c r="K3666"/>
      <c r="L3666"/>
      <c r="M3666"/>
      <c r="N3666"/>
      <c r="O3666"/>
    </row>
    <row r="3667" spans="1:15" hidden="1" x14ac:dyDescent="0.25">
      <c r="A3667" t="s">
        <v>92</v>
      </c>
      <c r="B3667" t="s">
        <v>115</v>
      </c>
      <c r="C3667" t="b">
        <v>0</v>
      </c>
      <c r="D3667" s="1">
        <v>41000</v>
      </c>
      <c r="E3667">
        <v>5</v>
      </c>
      <c r="F3667"/>
      <c r="G3667"/>
      <c r="H3667"/>
      <c r="I3667"/>
      <c r="J3667"/>
      <c r="K3667"/>
      <c r="L3667"/>
      <c r="M3667"/>
      <c r="N3667"/>
      <c r="O3667"/>
    </row>
    <row r="3668" spans="1:15" hidden="1" x14ac:dyDescent="0.25">
      <c r="A3668" t="s">
        <v>95</v>
      </c>
      <c r="B3668" t="s">
        <v>115</v>
      </c>
      <c r="C3668" t="b">
        <v>0</v>
      </c>
      <c r="D3668" s="1">
        <v>41000</v>
      </c>
      <c r="E3668">
        <v>5</v>
      </c>
      <c r="F3668"/>
      <c r="G3668"/>
      <c r="H3668"/>
      <c r="I3668"/>
      <c r="J3668"/>
      <c r="K3668"/>
      <c r="L3668"/>
      <c r="M3668"/>
      <c r="N3668"/>
      <c r="O3668"/>
    </row>
    <row r="3669" spans="1:15" hidden="1" x14ac:dyDescent="0.25">
      <c r="A3669" t="s">
        <v>96</v>
      </c>
      <c r="B3669" t="s">
        <v>115</v>
      </c>
      <c r="C3669" t="b">
        <v>0</v>
      </c>
      <c r="D3669" s="1">
        <v>41000</v>
      </c>
      <c r="E3669">
        <v>5</v>
      </c>
      <c r="F3669"/>
      <c r="G3669"/>
      <c r="H3669"/>
      <c r="I3669"/>
      <c r="J3669"/>
      <c r="K3669"/>
      <c r="L3669"/>
      <c r="M3669"/>
      <c r="N3669"/>
      <c r="O3669"/>
    </row>
    <row r="3670" spans="1:15" hidden="1" x14ac:dyDescent="0.25">
      <c r="A3670" t="s">
        <v>99</v>
      </c>
      <c r="B3670" t="s">
        <v>114</v>
      </c>
      <c r="C3670" t="b">
        <v>0</v>
      </c>
      <c r="D3670" s="1">
        <v>41000</v>
      </c>
      <c r="E3670">
        <v>18.850000000000001</v>
      </c>
      <c r="F3670"/>
      <c r="G3670"/>
      <c r="H3670"/>
      <c r="I3670"/>
      <c r="J3670"/>
      <c r="K3670"/>
      <c r="L3670"/>
      <c r="M3670"/>
      <c r="N3670"/>
      <c r="O3670"/>
    </row>
    <row r="3671" spans="1:15" hidden="1" x14ac:dyDescent="0.25">
      <c r="A3671" t="s">
        <v>100</v>
      </c>
      <c r="B3671" t="s">
        <v>117</v>
      </c>
      <c r="C3671" t="b">
        <v>0</v>
      </c>
      <c r="D3671" s="1">
        <v>41030</v>
      </c>
      <c r="E3671" s="2">
        <v>-51.96</v>
      </c>
      <c r="F3671"/>
      <c r="G3671"/>
      <c r="H3671"/>
      <c r="I3671"/>
      <c r="J3671"/>
      <c r="K3671"/>
      <c r="L3671"/>
      <c r="M3671"/>
      <c r="N3671"/>
      <c r="O3671"/>
    </row>
    <row r="3672" spans="1:15" hidden="1" x14ac:dyDescent="0.25">
      <c r="A3672" t="s">
        <v>102</v>
      </c>
      <c r="B3672" t="s">
        <v>117</v>
      </c>
      <c r="C3672" t="b">
        <v>0</v>
      </c>
      <c r="D3672" s="1">
        <v>41030</v>
      </c>
      <c r="E3672" s="2">
        <v>-38.42</v>
      </c>
      <c r="F3672"/>
      <c r="G3672"/>
      <c r="H3672"/>
      <c r="I3672"/>
      <c r="J3672"/>
      <c r="K3672"/>
      <c r="L3672"/>
      <c r="M3672"/>
      <c r="N3672"/>
      <c r="O3672"/>
    </row>
    <row r="3673" spans="1:15" hidden="1" x14ac:dyDescent="0.25">
      <c r="A3673" t="s">
        <v>103</v>
      </c>
      <c r="B3673" t="s">
        <v>117</v>
      </c>
      <c r="C3673" t="b">
        <v>0</v>
      </c>
      <c r="D3673" s="1">
        <v>41030</v>
      </c>
      <c r="E3673" s="2">
        <v>-3.25</v>
      </c>
      <c r="F3673"/>
      <c r="G3673"/>
      <c r="H3673"/>
      <c r="I3673"/>
      <c r="J3673"/>
      <c r="K3673"/>
      <c r="L3673"/>
      <c r="M3673"/>
      <c r="N3673"/>
      <c r="O3673"/>
    </row>
    <row r="3674" spans="1:15" hidden="1" x14ac:dyDescent="0.25">
      <c r="A3674" t="s">
        <v>101</v>
      </c>
      <c r="B3674" t="s">
        <v>117</v>
      </c>
      <c r="C3674" t="b">
        <v>0</v>
      </c>
      <c r="D3674" s="1">
        <v>41030</v>
      </c>
      <c r="E3674" s="2">
        <v>-7.79</v>
      </c>
      <c r="F3674"/>
      <c r="G3674"/>
      <c r="H3674"/>
      <c r="I3674"/>
      <c r="J3674"/>
      <c r="K3674"/>
      <c r="L3674"/>
      <c r="M3674"/>
      <c r="N3674"/>
      <c r="O3674"/>
    </row>
    <row r="3675" spans="1:15" hidden="1" x14ac:dyDescent="0.25">
      <c r="A3675" t="s">
        <v>25</v>
      </c>
      <c r="B3675" t="s">
        <v>115</v>
      </c>
      <c r="C3675" t="b">
        <v>0</v>
      </c>
      <c r="D3675" s="1">
        <v>41030</v>
      </c>
      <c r="E3675">
        <v>5</v>
      </c>
      <c r="F3675"/>
      <c r="G3675"/>
      <c r="H3675"/>
      <c r="I3675"/>
      <c r="J3675"/>
      <c r="K3675"/>
      <c r="L3675"/>
      <c r="M3675"/>
      <c r="N3675"/>
      <c r="O3675"/>
    </row>
    <row r="3676" spans="1:15" hidden="1" x14ac:dyDescent="0.25">
      <c r="A3676" t="s">
        <v>42</v>
      </c>
      <c r="B3676" t="s">
        <v>115</v>
      </c>
      <c r="C3676" t="b">
        <v>0</v>
      </c>
      <c r="D3676" s="1">
        <v>41030</v>
      </c>
      <c r="E3676">
        <v>5</v>
      </c>
      <c r="F3676"/>
      <c r="G3676"/>
      <c r="H3676"/>
      <c r="I3676"/>
      <c r="J3676"/>
      <c r="K3676"/>
      <c r="L3676"/>
      <c r="M3676"/>
      <c r="N3676"/>
      <c r="O3676"/>
    </row>
    <row r="3677" spans="1:15" hidden="1" x14ac:dyDescent="0.25">
      <c r="A3677" t="s">
        <v>43</v>
      </c>
      <c r="B3677" t="s">
        <v>115</v>
      </c>
      <c r="C3677" t="b">
        <v>0</v>
      </c>
      <c r="D3677" s="1">
        <v>41030</v>
      </c>
      <c r="E3677">
        <v>5</v>
      </c>
      <c r="F3677"/>
      <c r="G3677"/>
      <c r="H3677"/>
      <c r="I3677"/>
      <c r="J3677"/>
      <c r="K3677"/>
      <c r="L3677"/>
      <c r="M3677"/>
      <c r="N3677"/>
      <c r="O3677"/>
    </row>
    <row r="3678" spans="1:15" hidden="1" x14ac:dyDescent="0.25">
      <c r="A3678" t="s">
        <v>44</v>
      </c>
      <c r="B3678" t="s">
        <v>115</v>
      </c>
      <c r="C3678" t="b">
        <v>0</v>
      </c>
      <c r="D3678" s="1">
        <v>41030</v>
      </c>
      <c r="E3678">
        <v>5</v>
      </c>
      <c r="F3678"/>
      <c r="G3678"/>
      <c r="H3678"/>
      <c r="I3678"/>
      <c r="J3678"/>
      <c r="K3678"/>
      <c r="L3678"/>
      <c r="M3678"/>
      <c r="N3678"/>
      <c r="O3678"/>
    </row>
    <row r="3679" spans="1:15" hidden="1" x14ac:dyDescent="0.25">
      <c r="A3679" t="s">
        <v>46</v>
      </c>
      <c r="B3679" t="s">
        <v>115</v>
      </c>
      <c r="C3679" t="b">
        <v>0</v>
      </c>
      <c r="D3679" s="1">
        <v>41030</v>
      </c>
      <c r="E3679">
        <v>5</v>
      </c>
      <c r="F3679"/>
      <c r="G3679"/>
      <c r="H3679"/>
      <c r="I3679"/>
      <c r="J3679"/>
      <c r="K3679"/>
      <c r="L3679"/>
      <c r="M3679"/>
      <c r="N3679"/>
      <c r="O3679"/>
    </row>
    <row r="3680" spans="1:15" hidden="1" x14ac:dyDescent="0.25">
      <c r="A3680" t="s">
        <v>50</v>
      </c>
      <c r="B3680" t="s">
        <v>115</v>
      </c>
      <c r="C3680" t="b">
        <v>0</v>
      </c>
      <c r="D3680" s="1">
        <v>41030</v>
      </c>
      <c r="E3680">
        <v>5</v>
      </c>
      <c r="F3680"/>
      <c r="G3680"/>
      <c r="H3680"/>
      <c r="I3680"/>
      <c r="J3680"/>
      <c r="K3680"/>
      <c r="L3680"/>
      <c r="M3680"/>
      <c r="N3680"/>
      <c r="O3680"/>
    </row>
    <row r="3681" spans="1:15" hidden="1" x14ac:dyDescent="0.25">
      <c r="A3681" t="s">
        <v>54</v>
      </c>
      <c r="B3681" t="s">
        <v>115</v>
      </c>
      <c r="C3681" t="b">
        <v>0</v>
      </c>
      <c r="D3681" s="1">
        <v>41030</v>
      </c>
      <c r="E3681">
        <v>5</v>
      </c>
      <c r="F3681"/>
      <c r="G3681"/>
      <c r="H3681"/>
      <c r="I3681"/>
      <c r="J3681"/>
      <c r="K3681"/>
      <c r="L3681"/>
      <c r="M3681"/>
      <c r="N3681"/>
      <c r="O3681"/>
    </row>
    <row r="3682" spans="1:15" hidden="1" x14ac:dyDescent="0.25">
      <c r="A3682" t="s">
        <v>55</v>
      </c>
      <c r="B3682" t="s">
        <v>115</v>
      </c>
      <c r="C3682" t="b">
        <v>0</v>
      </c>
      <c r="D3682" s="1">
        <v>41030</v>
      </c>
      <c r="E3682">
        <v>5</v>
      </c>
      <c r="F3682"/>
      <c r="G3682"/>
      <c r="H3682"/>
      <c r="I3682"/>
      <c r="J3682"/>
      <c r="K3682"/>
      <c r="L3682"/>
      <c r="M3682"/>
      <c r="N3682"/>
      <c r="O3682"/>
    </row>
    <row r="3683" spans="1:15" hidden="1" x14ac:dyDescent="0.25">
      <c r="A3683" t="s">
        <v>56</v>
      </c>
      <c r="B3683" t="s">
        <v>115</v>
      </c>
      <c r="C3683" t="b">
        <v>0</v>
      </c>
      <c r="D3683" s="1">
        <v>41030</v>
      </c>
      <c r="E3683">
        <v>5</v>
      </c>
      <c r="F3683"/>
      <c r="G3683"/>
      <c r="H3683"/>
      <c r="I3683"/>
      <c r="J3683"/>
      <c r="K3683"/>
      <c r="L3683"/>
      <c r="M3683"/>
      <c r="N3683"/>
      <c r="O3683"/>
    </row>
    <row r="3684" spans="1:15" hidden="1" x14ac:dyDescent="0.25">
      <c r="A3684" t="s">
        <v>57</v>
      </c>
      <c r="B3684" t="s">
        <v>115</v>
      </c>
      <c r="C3684" t="b">
        <v>0</v>
      </c>
      <c r="D3684" s="1">
        <v>41030</v>
      </c>
      <c r="E3684">
        <v>5</v>
      </c>
      <c r="F3684"/>
      <c r="G3684"/>
      <c r="H3684"/>
      <c r="I3684"/>
      <c r="J3684"/>
      <c r="K3684"/>
      <c r="L3684"/>
      <c r="M3684"/>
      <c r="N3684"/>
      <c r="O3684"/>
    </row>
    <row r="3685" spans="1:15" hidden="1" x14ac:dyDescent="0.25">
      <c r="A3685" t="s">
        <v>68</v>
      </c>
      <c r="B3685" t="s">
        <v>115</v>
      </c>
      <c r="C3685" t="b">
        <v>0</v>
      </c>
      <c r="D3685" s="1">
        <v>41030</v>
      </c>
      <c r="E3685">
        <v>5</v>
      </c>
      <c r="F3685"/>
      <c r="G3685"/>
      <c r="H3685"/>
      <c r="I3685"/>
      <c r="J3685"/>
      <c r="K3685"/>
      <c r="L3685"/>
      <c r="M3685"/>
      <c r="N3685"/>
      <c r="O3685"/>
    </row>
    <row r="3686" spans="1:15" hidden="1" x14ac:dyDescent="0.25">
      <c r="A3686" t="s">
        <v>69</v>
      </c>
      <c r="B3686" t="s">
        <v>115</v>
      </c>
      <c r="C3686" t="b">
        <v>0</v>
      </c>
      <c r="D3686" s="1">
        <v>41030</v>
      </c>
      <c r="E3686">
        <v>5</v>
      </c>
      <c r="F3686"/>
      <c r="G3686"/>
      <c r="H3686"/>
      <c r="I3686"/>
      <c r="J3686"/>
      <c r="K3686"/>
      <c r="L3686"/>
      <c r="M3686"/>
      <c r="N3686"/>
      <c r="O3686"/>
    </row>
    <row r="3687" spans="1:15" hidden="1" x14ac:dyDescent="0.25">
      <c r="A3687" t="s">
        <v>76</v>
      </c>
      <c r="B3687" t="s">
        <v>115</v>
      </c>
      <c r="C3687" t="b">
        <v>0</v>
      </c>
      <c r="D3687" s="1">
        <v>41030</v>
      </c>
      <c r="E3687">
        <v>1E-3</v>
      </c>
      <c r="F3687"/>
      <c r="G3687"/>
      <c r="H3687"/>
      <c r="I3687"/>
      <c r="J3687"/>
      <c r="K3687"/>
      <c r="L3687"/>
      <c r="M3687"/>
      <c r="N3687"/>
      <c r="O3687"/>
    </row>
    <row r="3688" spans="1:15" hidden="1" x14ac:dyDescent="0.25">
      <c r="A3688" t="s">
        <v>84</v>
      </c>
      <c r="B3688" t="s">
        <v>115</v>
      </c>
      <c r="C3688" t="b">
        <v>0</v>
      </c>
      <c r="D3688" s="1">
        <v>41030</v>
      </c>
      <c r="E3688">
        <v>5</v>
      </c>
      <c r="F3688"/>
      <c r="G3688"/>
      <c r="H3688"/>
      <c r="I3688"/>
      <c r="J3688"/>
      <c r="K3688"/>
      <c r="L3688"/>
      <c r="M3688"/>
      <c r="N3688"/>
      <c r="O3688"/>
    </row>
    <row r="3689" spans="1:15" hidden="1" x14ac:dyDescent="0.25">
      <c r="A3689" t="s">
        <v>86</v>
      </c>
      <c r="B3689" t="s">
        <v>115</v>
      </c>
      <c r="C3689" t="b">
        <v>0</v>
      </c>
      <c r="D3689" s="1">
        <v>41030</v>
      </c>
      <c r="E3689">
        <v>5</v>
      </c>
      <c r="F3689"/>
      <c r="G3689"/>
      <c r="H3689"/>
      <c r="I3689"/>
      <c r="J3689"/>
      <c r="K3689"/>
      <c r="L3689"/>
      <c r="M3689"/>
      <c r="N3689"/>
      <c r="O3689"/>
    </row>
    <row r="3690" spans="1:15" hidden="1" x14ac:dyDescent="0.25">
      <c r="A3690" t="s">
        <v>88</v>
      </c>
      <c r="B3690" t="s">
        <v>115</v>
      </c>
      <c r="C3690" t="b">
        <v>0</v>
      </c>
      <c r="D3690" s="1">
        <v>41030</v>
      </c>
      <c r="E3690">
        <v>5</v>
      </c>
      <c r="F3690"/>
      <c r="G3690"/>
      <c r="H3690"/>
      <c r="I3690"/>
      <c r="J3690"/>
      <c r="K3690"/>
      <c r="L3690"/>
      <c r="M3690"/>
      <c r="N3690"/>
      <c r="O3690"/>
    </row>
    <row r="3691" spans="1:15" hidden="1" x14ac:dyDescent="0.25">
      <c r="A3691" t="s">
        <v>89</v>
      </c>
      <c r="B3691" t="s">
        <v>115</v>
      </c>
      <c r="C3691" t="b">
        <v>0</v>
      </c>
      <c r="D3691" s="1">
        <v>41030</v>
      </c>
      <c r="E3691">
        <v>5</v>
      </c>
      <c r="F3691"/>
      <c r="G3691"/>
      <c r="H3691"/>
      <c r="I3691"/>
      <c r="J3691"/>
      <c r="K3691"/>
      <c r="L3691"/>
      <c r="M3691"/>
      <c r="N3691"/>
      <c r="O3691"/>
    </row>
    <row r="3692" spans="1:15" hidden="1" x14ac:dyDescent="0.25">
      <c r="A3692" t="s">
        <v>92</v>
      </c>
      <c r="B3692" t="s">
        <v>115</v>
      </c>
      <c r="C3692" t="b">
        <v>0</v>
      </c>
      <c r="D3692" s="1">
        <v>41030</v>
      </c>
      <c r="E3692">
        <v>5</v>
      </c>
      <c r="F3692"/>
      <c r="G3692"/>
      <c r="H3692"/>
      <c r="I3692"/>
      <c r="J3692"/>
      <c r="K3692"/>
      <c r="L3692"/>
      <c r="M3692"/>
      <c r="N3692"/>
      <c r="O3692"/>
    </row>
    <row r="3693" spans="1:15" hidden="1" x14ac:dyDescent="0.25">
      <c r="A3693" t="s">
        <v>95</v>
      </c>
      <c r="B3693" t="s">
        <v>115</v>
      </c>
      <c r="C3693" t="b">
        <v>0</v>
      </c>
      <c r="D3693" s="1">
        <v>41030</v>
      </c>
      <c r="E3693">
        <v>5</v>
      </c>
      <c r="F3693"/>
      <c r="G3693"/>
      <c r="H3693"/>
      <c r="I3693"/>
      <c r="J3693"/>
      <c r="K3693"/>
      <c r="L3693"/>
      <c r="M3693"/>
      <c r="N3693"/>
      <c r="O3693"/>
    </row>
    <row r="3694" spans="1:15" hidden="1" x14ac:dyDescent="0.25">
      <c r="A3694" t="s">
        <v>96</v>
      </c>
      <c r="B3694" t="s">
        <v>115</v>
      </c>
      <c r="C3694" t="b">
        <v>0</v>
      </c>
      <c r="D3694" s="1">
        <v>41030</v>
      </c>
      <c r="E3694">
        <v>5</v>
      </c>
      <c r="F3694"/>
      <c r="G3694"/>
      <c r="H3694"/>
      <c r="I3694"/>
      <c r="J3694"/>
      <c r="K3694"/>
      <c r="L3694"/>
      <c r="M3694"/>
      <c r="N3694"/>
      <c r="O3694"/>
    </row>
    <row r="3695" spans="1:15" hidden="1" x14ac:dyDescent="0.25">
      <c r="A3695" t="s">
        <v>99</v>
      </c>
      <c r="B3695" t="s">
        <v>114</v>
      </c>
      <c r="C3695" t="b">
        <v>0</v>
      </c>
      <c r="D3695" s="1">
        <v>41030</v>
      </c>
      <c r="E3695">
        <v>12.49</v>
      </c>
      <c r="F3695"/>
      <c r="G3695"/>
      <c r="H3695"/>
      <c r="I3695"/>
      <c r="J3695"/>
      <c r="K3695"/>
      <c r="L3695"/>
      <c r="M3695"/>
      <c r="N3695"/>
      <c r="O3695"/>
    </row>
    <row r="3696" spans="1:15" hidden="1" x14ac:dyDescent="0.25">
      <c r="A3696" t="s">
        <v>100</v>
      </c>
      <c r="B3696" t="s">
        <v>117</v>
      </c>
      <c r="C3696" t="b">
        <v>0</v>
      </c>
      <c r="D3696" s="1">
        <v>41061</v>
      </c>
      <c r="E3696" s="2">
        <v>-51.96</v>
      </c>
      <c r="F3696"/>
      <c r="G3696"/>
      <c r="H3696"/>
      <c r="I3696"/>
      <c r="J3696"/>
      <c r="K3696"/>
      <c r="L3696"/>
      <c r="M3696"/>
      <c r="N3696"/>
      <c r="O3696"/>
    </row>
    <row r="3697" spans="1:15" hidden="1" x14ac:dyDescent="0.25">
      <c r="A3697" t="s">
        <v>102</v>
      </c>
      <c r="B3697" t="s">
        <v>117</v>
      </c>
      <c r="C3697" t="b">
        <v>0</v>
      </c>
      <c r="D3697" s="1">
        <v>41061</v>
      </c>
      <c r="E3697" s="2">
        <v>-16.78</v>
      </c>
      <c r="F3697"/>
      <c r="G3697"/>
      <c r="H3697"/>
      <c r="I3697"/>
      <c r="J3697"/>
      <c r="K3697"/>
      <c r="L3697"/>
      <c r="M3697"/>
      <c r="N3697"/>
      <c r="O3697"/>
    </row>
    <row r="3698" spans="1:15" hidden="1" x14ac:dyDescent="0.25">
      <c r="A3698" t="s">
        <v>103</v>
      </c>
      <c r="B3698" t="s">
        <v>117</v>
      </c>
      <c r="C3698" t="b">
        <v>0</v>
      </c>
      <c r="D3698" s="1">
        <v>41061</v>
      </c>
      <c r="E3698" s="2">
        <v>-25.96</v>
      </c>
      <c r="F3698"/>
      <c r="G3698"/>
      <c r="H3698"/>
      <c r="I3698"/>
      <c r="J3698"/>
      <c r="K3698"/>
      <c r="L3698"/>
      <c r="M3698"/>
      <c r="N3698"/>
      <c r="O3698"/>
    </row>
    <row r="3699" spans="1:15" hidden="1" x14ac:dyDescent="0.25">
      <c r="A3699" t="s">
        <v>25</v>
      </c>
      <c r="B3699" t="s">
        <v>115</v>
      </c>
      <c r="C3699" t="b">
        <v>0</v>
      </c>
      <c r="D3699" s="1">
        <v>41061</v>
      </c>
      <c r="E3699">
        <v>5</v>
      </c>
      <c r="F3699"/>
      <c r="G3699"/>
      <c r="H3699"/>
      <c r="I3699"/>
      <c r="J3699"/>
      <c r="K3699"/>
      <c r="L3699"/>
      <c r="M3699"/>
      <c r="N3699"/>
      <c r="O3699"/>
    </row>
    <row r="3700" spans="1:15" hidden="1" x14ac:dyDescent="0.25">
      <c r="A3700" t="s">
        <v>43</v>
      </c>
      <c r="B3700" t="s">
        <v>115</v>
      </c>
      <c r="C3700" t="b">
        <v>0</v>
      </c>
      <c r="D3700" s="1">
        <v>41061</v>
      </c>
      <c r="E3700">
        <v>5</v>
      </c>
      <c r="F3700"/>
      <c r="G3700"/>
      <c r="H3700"/>
      <c r="I3700"/>
      <c r="J3700"/>
      <c r="K3700"/>
      <c r="L3700"/>
      <c r="M3700"/>
      <c r="N3700"/>
      <c r="O3700"/>
    </row>
    <row r="3701" spans="1:15" hidden="1" x14ac:dyDescent="0.25">
      <c r="A3701" t="s">
        <v>44</v>
      </c>
      <c r="B3701" t="s">
        <v>115</v>
      </c>
      <c r="C3701" t="b">
        <v>0</v>
      </c>
      <c r="D3701" s="1">
        <v>41061</v>
      </c>
      <c r="E3701">
        <v>5</v>
      </c>
      <c r="F3701"/>
      <c r="G3701"/>
      <c r="H3701"/>
      <c r="I3701"/>
      <c r="J3701"/>
      <c r="K3701"/>
      <c r="L3701"/>
      <c r="M3701"/>
      <c r="N3701"/>
      <c r="O3701"/>
    </row>
    <row r="3702" spans="1:15" hidden="1" x14ac:dyDescent="0.25">
      <c r="A3702" t="s">
        <v>46</v>
      </c>
      <c r="B3702" t="s">
        <v>115</v>
      </c>
      <c r="C3702" t="b">
        <v>0</v>
      </c>
      <c r="D3702" s="1">
        <v>41061</v>
      </c>
      <c r="E3702">
        <v>5</v>
      </c>
      <c r="F3702"/>
      <c r="G3702"/>
      <c r="H3702"/>
      <c r="I3702"/>
      <c r="J3702"/>
      <c r="K3702"/>
      <c r="L3702"/>
      <c r="M3702"/>
      <c r="N3702"/>
      <c r="O3702"/>
    </row>
    <row r="3703" spans="1:15" hidden="1" x14ac:dyDescent="0.25">
      <c r="A3703" t="s">
        <v>50</v>
      </c>
      <c r="B3703" t="s">
        <v>115</v>
      </c>
      <c r="C3703" t="b">
        <v>0</v>
      </c>
      <c r="D3703" s="1">
        <v>41061</v>
      </c>
      <c r="E3703">
        <v>5</v>
      </c>
      <c r="F3703"/>
      <c r="G3703"/>
      <c r="H3703"/>
      <c r="I3703"/>
      <c r="J3703"/>
      <c r="K3703"/>
      <c r="L3703"/>
      <c r="M3703"/>
      <c r="N3703"/>
      <c r="O3703"/>
    </row>
    <row r="3704" spans="1:15" hidden="1" x14ac:dyDescent="0.25">
      <c r="A3704" t="s">
        <v>54</v>
      </c>
      <c r="B3704" t="s">
        <v>115</v>
      </c>
      <c r="C3704" t="b">
        <v>0</v>
      </c>
      <c r="D3704" s="1">
        <v>41061</v>
      </c>
      <c r="E3704">
        <v>5</v>
      </c>
      <c r="F3704"/>
      <c r="G3704"/>
      <c r="H3704"/>
      <c r="I3704"/>
      <c r="J3704"/>
      <c r="K3704"/>
      <c r="L3704"/>
      <c r="M3704"/>
      <c r="N3704"/>
      <c r="O3704"/>
    </row>
    <row r="3705" spans="1:15" hidden="1" x14ac:dyDescent="0.25">
      <c r="A3705" t="s">
        <v>55</v>
      </c>
      <c r="B3705" t="s">
        <v>115</v>
      </c>
      <c r="C3705" t="b">
        <v>0</v>
      </c>
      <c r="D3705" s="1">
        <v>41061</v>
      </c>
      <c r="E3705">
        <v>5</v>
      </c>
      <c r="F3705"/>
      <c r="G3705"/>
      <c r="H3705"/>
      <c r="I3705"/>
      <c r="J3705"/>
      <c r="K3705"/>
      <c r="L3705"/>
      <c r="M3705"/>
      <c r="N3705"/>
      <c r="O3705"/>
    </row>
    <row r="3706" spans="1:15" hidden="1" x14ac:dyDescent="0.25">
      <c r="A3706" t="s">
        <v>56</v>
      </c>
      <c r="B3706" t="s">
        <v>115</v>
      </c>
      <c r="C3706" t="b">
        <v>0</v>
      </c>
      <c r="D3706" s="1">
        <v>41061</v>
      </c>
      <c r="E3706">
        <v>5</v>
      </c>
      <c r="F3706"/>
      <c r="G3706"/>
      <c r="H3706"/>
      <c r="I3706"/>
      <c r="J3706"/>
      <c r="K3706"/>
      <c r="L3706"/>
      <c r="M3706"/>
      <c r="N3706"/>
      <c r="O3706"/>
    </row>
    <row r="3707" spans="1:15" hidden="1" x14ac:dyDescent="0.25">
      <c r="A3707" t="s">
        <v>57</v>
      </c>
      <c r="B3707" t="s">
        <v>115</v>
      </c>
      <c r="C3707" t="b">
        <v>0</v>
      </c>
      <c r="D3707" s="1">
        <v>41061</v>
      </c>
      <c r="E3707">
        <v>5</v>
      </c>
      <c r="F3707"/>
      <c r="G3707"/>
      <c r="H3707"/>
      <c r="I3707"/>
      <c r="J3707"/>
      <c r="K3707"/>
      <c r="L3707"/>
      <c r="M3707"/>
      <c r="N3707"/>
      <c r="O3707"/>
    </row>
    <row r="3708" spans="1:15" hidden="1" x14ac:dyDescent="0.25">
      <c r="A3708" t="s">
        <v>68</v>
      </c>
      <c r="B3708" t="s">
        <v>115</v>
      </c>
      <c r="C3708" t="b">
        <v>0</v>
      </c>
      <c r="D3708" s="1">
        <v>41061</v>
      </c>
      <c r="E3708">
        <v>5</v>
      </c>
      <c r="F3708"/>
      <c r="G3708"/>
      <c r="H3708"/>
      <c r="I3708"/>
      <c r="J3708"/>
      <c r="K3708"/>
      <c r="L3708"/>
      <c r="M3708"/>
      <c r="N3708"/>
      <c r="O3708"/>
    </row>
    <row r="3709" spans="1:15" hidden="1" x14ac:dyDescent="0.25">
      <c r="A3709" t="s">
        <v>69</v>
      </c>
      <c r="B3709" t="s">
        <v>115</v>
      </c>
      <c r="C3709" t="b">
        <v>0</v>
      </c>
      <c r="D3709" s="1">
        <v>41061</v>
      </c>
      <c r="E3709">
        <v>5</v>
      </c>
      <c r="F3709"/>
      <c r="G3709"/>
      <c r="H3709"/>
      <c r="I3709"/>
      <c r="J3709"/>
      <c r="K3709"/>
      <c r="L3709"/>
      <c r="M3709"/>
      <c r="N3709"/>
      <c r="O3709"/>
    </row>
    <row r="3710" spans="1:15" hidden="1" x14ac:dyDescent="0.25">
      <c r="A3710" t="s">
        <v>76</v>
      </c>
      <c r="B3710" t="s">
        <v>115</v>
      </c>
      <c r="C3710" t="b">
        <v>0</v>
      </c>
      <c r="D3710" s="1">
        <v>41061</v>
      </c>
      <c r="E3710">
        <v>1E-3</v>
      </c>
      <c r="F3710"/>
      <c r="G3710"/>
      <c r="H3710"/>
      <c r="I3710"/>
      <c r="J3710"/>
      <c r="K3710"/>
      <c r="L3710"/>
      <c r="M3710"/>
      <c r="N3710"/>
      <c r="O3710"/>
    </row>
    <row r="3711" spans="1:15" hidden="1" x14ac:dyDescent="0.25">
      <c r="A3711" t="s">
        <v>84</v>
      </c>
      <c r="B3711" t="s">
        <v>115</v>
      </c>
      <c r="C3711" t="b">
        <v>0</v>
      </c>
      <c r="D3711" s="1">
        <v>41061</v>
      </c>
      <c r="E3711">
        <v>5</v>
      </c>
      <c r="F3711"/>
      <c r="G3711"/>
      <c r="H3711"/>
      <c r="I3711"/>
      <c r="J3711"/>
      <c r="K3711"/>
      <c r="L3711"/>
      <c r="M3711"/>
      <c r="N3711"/>
      <c r="O3711"/>
    </row>
    <row r="3712" spans="1:15" hidden="1" x14ac:dyDescent="0.25">
      <c r="A3712" t="s">
        <v>86</v>
      </c>
      <c r="B3712" t="s">
        <v>115</v>
      </c>
      <c r="C3712" t="b">
        <v>0</v>
      </c>
      <c r="D3712" s="1">
        <v>41061</v>
      </c>
      <c r="E3712">
        <v>5</v>
      </c>
      <c r="F3712"/>
      <c r="G3712"/>
      <c r="H3712"/>
      <c r="I3712"/>
      <c r="J3712"/>
      <c r="K3712"/>
      <c r="L3712"/>
      <c r="M3712"/>
      <c r="N3712"/>
      <c r="O3712"/>
    </row>
    <row r="3713" spans="1:15" hidden="1" x14ac:dyDescent="0.25">
      <c r="A3713" t="s">
        <v>88</v>
      </c>
      <c r="B3713" t="s">
        <v>115</v>
      </c>
      <c r="C3713" t="b">
        <v>0</v>
      </c>
      <c r="D3713" s="1">
        <v>41061</v>
      </c>
      <c r="E3713">
        <v>5</v>
      </c>
      <c r="F3713"/>
      <c r="G3713"/>
      <c r="H3713"/>
      <c r="I3713"/>
      <c r="J3713"/>
      <c r="K3713"/>
      <c r="L3713"/>
      <c r="M3713"/>
      <c r="N3713"/>
      <c r="O3713"/>
    </row>
    <row r="3714" spans="1:15" hidden="1" x14ac:dyDescent="0.25">
      <c r="A3714" t="s">
        <v>89</v>
      </c>
      <c r="B3714" t="s">
        <v>115</v>
      </c>
      <c r="C3714" t="b">
        <v>0</v>
      </c>
      <c r="D3714" s="1">
        <v>41061</v>
      </c>
      <c r="E3714">
        <v>0</v>
      </c>
      <c r="F3714"/>
      <c r="G3714"/>
      <c r="H3714"/>
      <c r="I3714"/>
      <c r="J3714"/>
      <c r="K3714"/>
      <c r="L3714"/>
      <c r="M3714"/>
      <c r="N3714"/>
      <c r="O3714"/>
    </row>
    <row r="3715" spans="1:15" hidden="1" x14ac:dyDescent="0.25">
      <c r="A3715" t="s">
        <v>92</v>
      </c>
      <c r="B3715" t="s">
        <v>115</v>
      </c>
      <c r="C3715" t="b">
        <v>0</v>
      </c>
      <c r="D3715" s="1">
        <v>41061</v>
      </c>
      <c r="E3715">
        <v>5</v>
      </c>
      <c r="F3715"/>
      <c r="G3715"/>
      <c r="H3715"/>
      <c r="I3715"/>
      <c r="J3715"/>
      <c r="K3715"/>
      <c r="L3715"/>
      <c r="M3715"/>
      <c r="N3715"/>
      <c r="O3715"/>
    </row>
    <row r="3716" spans="1:15" hidden="1" x14ac:dyDescent="0.25">
      <c r="A3716" t="s">
        <v>95</v>
      </c>
      <c r="B3716" t="s">
        <v>115</v>
      </c>
      <c r="C3716" t="b">
        <v>0</v>
      </c>
      <c r="D3716" s="1">
        <v>41061</v>
      </c>
      <c r="E3716">
        <v>5</v>
      </c>
      <c r="F3716"/>
      <c r="G3716"/>
      <c r="H3716"/>
      <c r="I3716"/>
      <c r="J3716"/>
      <c r="K3716"/>
      <c r="L3716"/>
      <c r="M3716"/>
      <c r="N3716"/>
      <c r="O3716"/>
    </row>
    <row r="3717" spans="1:15" hidden="1" x14ac:dyDescent="0.25">
      <c r="A3717" t="s">
        <v>96</v>
      </c>
      <c r="B3717" t="s">
        <v>115</v>
      </c>
      <c r="C3717" t="b">
        <v>0</v>
      </c>
      <c r="D3717" s="1">
        <v>41061</v>
      </c>
      <c r="E3717">
        <v>5</v>
      </c>
      <c r="F3717"/>
      <c r="G3717"/>
      <c r="H3717"/>
      <c r="I3717"/>
      <c r="J3717"/>
      <c r="K3717"/>
      <c r="L3717"/>
      <c r="M3717"/>
      <c r="N3717"/>
      <c r="O3717"/>
    </row>
    <row r="3718" spans="1:15" hidden="1" x14ac:dyDescent="0.25">
      <c r="A3718" t="s">
        <v>99</v>
      </c>
      <c r="B3718" t="s">
        <v>114</v>
      </c>
      <c r="C3718" t="b">
        <v>0</v>
      </c>
      <c r="D3718" s="1">
        <v>41061</v>
      </c>
      <c r="E3718">
        <v>13.5</v>
      </c>
      <c r="F3718"/>
      <c r="G3718"/>
      <c r="H3718"/>
      <c r="I3718"/>
      <c r="J3718"/>
      <c r="K3718"/>
      <c r="L3718"/>
      <c r="M3718"/>
      <c r="N3718"/>
      <c r="O3718"/>
    </row>
    <row r="3719" spans="1:15" hidden="1" x14ac:dyDescent="0.25">
      <c r="A3719" t="s">
        <v>100</v>
      </c>
      <c r="B3719" t="s">
        <v>117</v>
      </c>
      <c r="C3719" t="b">
        <v>0</v>
      </c>
      <c r="D3719" s="1">
        <v>41091</v>
      </c>
      <c r="E3719" s="2">
        <v>-51.96</v>
      </c>
      <c r="F3719"/>
      <c r="G3719"/>
      <c r="H3719"/>
      <c r="I3719"/>
      <c r="J3719"/>
      <c r="K3719"/>
      <c r="L3719"/>
      <c r="M3719"/>
      <c r="N3719"/>
      <c r="O3719"/>
    </row>
    <row r="3720" spans="1:15" hidden="1" x14ac:dyDescent="0.25">
      <c r="A3720" t="s">
        <v>104</v>
      </c>
      <c r="B3720" t="s">
        <v>117</v>
      </c>
      <c r="C3720" t="b">
        <v>0</v>
      </c>
      <c r="D3720" s="1">
        <v>41091</v>
      </c>
      <c r="E3720" s="2">
        <v>-1.5</v>
      </c>
      <c r="F3720"/>
      <c r="G3720"/>
      <c r="H3720"/>
      <c r="I3720"/>
      <c r="J3720"/>
      <c r="K3720"/>
      <c r="L3720"/>
      <c r="M3720"/>
      <c r="N3720"/>
      <c r="O3720"/>
    </row>
    <row r="3721" spans="1:15" hidden="1" x14ac:dyDescent="0.25">
      <c r="A3721" t="s">
        <v>102</v>
      </c>
      <c r="B3721" t="s">
        <v>117</v>
      </c>
      <c r="C3721" t="b">
        <v>0</v>
      </c>
      <c r="D3721" s="1">
        <v>41091</v>
      </c>
      <c r="E3721" s="2">
        <v>-35.650000000000006</v>
      </c>
      <c r="F3721"/>
      <c r="G3721"/>
      <c r="H3721"/>
      <c r="I3721"/>
      <c r="J3721"/>
      <c r="K3721"/>
      <c r="L3721"/>
      <c r="M3721"/>
      <c r="N3721"/>
      <c r="O3721"/>
    </row>
    <row r="3722" spans="1:15" hidden="1" x14ac:dyDescent="0.25">
      <c r="A3722" t="s">
        <v>103</v>
      </c>
      <c r="B3722" t="s">
        <v>117</v>
      </c>
      <c r="C3722" t="b">
        <v>0</v>
      </c>
      <c r="D3722" s="1">
        <v>41091</v>
      </c>
      <c r="E3722" s="2">
        <v>-3.5</v>
      </c>
      <c r="F3722"/>
      <c r="G3722"/>
      <c r="H3722"/>
      <c r="I3722"/>
      <c r="J3722"/>
      <c r="K3722"/>
      <c r="L3722"/>
      <c r="M3722"/>
      <c r="N3722"/>
      <c r="O3722"/>
    </row>
    <row r="3723" spans="1:15" hidden="1" x14ac:dyDescent="0.25">
      <c r="A3723" t="s">
        <v>25</v>
      </c>
      <c r="B3723" t="s">
        <v>115</v>
      </c>
      <c r="C3723" t="b">
        <v>0</v>
      </c>
      <c r="D3723" s="1">
        <v>41091</v>
      </c>
      <c r="E3723">
        <v>5</v>
      </c>
      <c r="F3723"/>
      <c r="G3723"/>
      <c r="H3723"/>
      <c r="I3723"/>
      <c r="J3723"/>
      <c r="K3723"/>
      <c r="L3723"/>
      <c r="M3723"/>
      <c r="N3723"/>
      <c r="O3723"/>
    </row>
    <row r="3724" spans="1:15" hidden="1" x14ac:dyDescent="0.25">
      <c r="A3724" t="s">
        <v>42</v>
      </c>
      <c r="B3724" t="s">
        <v>115</v>
      </c>
      <c r="C3724" t="b">
        <v>0</v>
      </c>
      <c r="D3724" s="1">
        <v>41091</v>
      </c>
      <c r="E3724">
        <v>5</v>
      </c>
      <c r="F3724"/>
      <c r="G3724"/>
      <c r="H3724"/>
      <c r="I3724"/>
      <c r="J3724"/>
      <c r="K3724"/>
      <c r="L3724"/>
      <c r="M3724"/>
      <c r="N3724"/>
      <c r="O3724"/>
    </row>
    <row r="3725" spans="1:15" hidden="1" x14ac:dyDescent="0.25">
      <c r="A3725" t="s">
        <v>43</v>
      </c>
      <c r="B3725" t="s">
        <v>115</v>
      </c>
      <c r="C3725" t="b">
        <v>0</v>
      </c>
      <c r="D3725" s="1">
        <v>41091</v>
      </c>
      <c r="E3725">
        <v>5</v>
      </c>
      <c r="F3725"/>
      <c r="G3725"/>
      <c r="H3725"/>
      <c r="I3725"/>
      <c r="J3725"/>
      <c r="K3725"/>
      <c r="L3725"/>
      <c r="M3725"/>
      <c r="N3725"/>
      <c r="O3725"/>
    </row>
    <row r="3726" spans="1:15" hidden="1" x14ac:dyDescent="0.25">
      <c r="A3726" t="s">
        <v>44</v>
      </c>
      <c r="B3726" t="s">
        <v>115</v>
      </c>
      <c r="C3726" t="b">
        <v>0</v>
      </c>
      <c r="D3726" s="1">
        <v>41091</v>
      </c>
      <c r="E3726">
        <v>5</v>
      </c>
      <c r="F3726"/>
      <c r="G3726"/>
      <c r="H3726"/>
      <c r="I3726"/>
      <c r="J3726"/>
      <c r="K3726"/>
      <c r="L3726"/>
      <c r="M3726"/>
      <c r="N3726"/>
      <c r="O3726"/>
    </row>
    <row r="3727" spans="1:15" hidden="1" x14ac:dyDescent="0.25">
      <c r="A3727" t="s">
        <v>46</v>
      </c>
      <c r="B3727" t="s">
        <v>115</v>
      </c>
      <c r="C3727" t="b">
        <v>0</v>
      </c>
      <c r="D3727" s="1">
        <v>41091</v>
      </c>
      <c r="E3727">
        <v>5</v>
      </c>
      <c r="F3727"/>
      <c r="G3727"/>
      <c r="H3727"/>
      <c r="I3727"/>
      <c r="J3727"/>
      <c r="K3727"/>
      <c r="L3727"/>
      <c r="M3727"/>
      <c r="N3727"/>
      <c r="O3727"/>
    </row>
    <row r="3728" spans="1:15" hidden="1" x14ac:dyDescent="0.25">
      <c r="A3728" t="s">
        <v>50</v>
      </c>
      <c r="B3728" t="s">
        <v>115</v>
      </c>
      <c r="C3728" t="b">
        <v>0</v>
      </c>
      <c r="D3728" s="1">
        <v>41091</v>
      </c>
      <c r="E3728">
        <v>5</v>
      </c>
      <c r="F3728"/>
      <c r="G3728"/>
      <c r="H3728"/>
      <c r="I3728"/>
      <c r="J3728"/>
      <c r="K3728"/>
      <c r="L3728"/>
      <c r="M3728"/>
      <c r="N3728"/>
      <c r="O3728"/>
    </row>
    <row r="3729" spans="1:15" hidden="1" x14ac:dyDescent="0.25">
      <c r="A3729" t="s">
        <v>54</v>
      </c>
      <c r="B3729" t="s">
        <v>115</v>
      </c>
      <c r="C3729" t="b">
        <v>0</v>
      </c>
      <c r="D3729" s="1">
        <v>41091</v>
      </c>
      <c r="E3729">
        <v>5</v>
      </c>
      <c r="F3729"/>
      <c r="G3729"/>
      <c r="H3729"/>
      <c r="I3729"/>
      <c r="J3729"/>
      <c r="K3729"/>
      <c r="L3729"/>
      <c r="M3729"/>
      <c r="N3729"/>
      <c r="O3729"/>
    </row>
    <row r="3730" spans="1:15" hidden="1" x14ac:dyDescent="0.25">
      <c r="A3730" t="s">
        <v>55</v>
      </c>
      <c r="B3730" t="s">
        <v>115</v>
      </c>
      <c r="C3730" t="b">
        <v>0</v>
      </c>
      <c r="D3730" s="1">
        <v>41091</v>
      </c>
      <c r="E3730">
        <v>5</v>
      </c>
      <c r="F3730"/>
      <c r="G3730"/>
      <c r="H3730"/>
      <c r="I3730"/>
      <c r="J3730"/>
      <c r="K3730"/>
      <c r="L3730"/>
      <c r="M3730"/>
      <c r="N3730"/>
      <c r="O3730"/>
    </row>
    <row r="3731" spans="1:15" hidden="1" x14ac:dyDescent="0.25">
      <c r="A3731" t="s">
        <v>56</v>
      </c>
      <c r="B3731" t="s">
        <v>115</v>
      </c>
      <c r="C3731" t="b">
        <v>0</v>
      </c>
      <c r="D3731" s="1">
        <v>41091</v>
      </c>
      <c r="E3731">
        <v>5</v>
      </c>
      <c r="F3731"/>
      <c r="G3731"/>
      <c r="H3731"/>
      <c r="I3731"/>
      <c r="J3731"/>
      <c r="K3731"/>
      <c r="L3731"/>
      <c r="M3731"/>
      <c r="N3731"/>
      <c r="O3731"/>
    </row>
    <row r="3732" spans="1:15" hidden="1" x14ac:dyDescent="0.25">
      <c r="A3732" t="s">
        <v>57</v>
      </c>
      <c r="B3732" t="s">
        <v>115</v>
      </c>
      <c r="C3732" t="b">
        <v>0</v>
      </c>
      <c r="D3732" s="1">
        <v>41091</v>
      </c>
      <c r="E3732">
        <v>5</v>
      </c>
      <c r="F3732"/>
      <c r="G3732"/>
      <c r="H3732"/>
      <c r="I3732"/>
      <c r="J3732"/>
      <c r="K3732"/>
      <c r="L3732"/>
      <c r="M3732"/>
      <c r="N3732"/>
      <c r="O3732"/>
    </row>
    <row r="3733" spans="1:15" hidden="1" x14ac:dyDescent="0.25">
      <c r="A3733" t="s">
        <v>68</v>
      </c>
      <c r="B3733" t="s">
        <v>115</v>
      </c>
      <c r="C3733" t="b">
        <v>0</v>
      </c>
      <c r="D3733" s="1">
        <v>41091</v>
      </c>
      <c r="E3733">
        <v>5</v>
      </c>
      <c r="F3733"/>
      <c r="G3733"/>
      <c r="H3733"/>
      <c r="I3733"/>
      <c r="J3733"/>
      <c r="K3733"/>
      <c r="L3733"/>
      <c r="M3733"/>
      <c r="N3733"/>
      <c r="O3733"/>
    </row>
    <row r="3734" spans="1:15" hidden="1" x14ac:dyDescent="0.25">
      <c r="A3734" t="s">
        <v>69</v>
      </c>
      <c r="B3734" t="s">
        <v>115</v>
      </c>
      <c r="C3734" t="b">
        <v>0</v>
      </c>
      <c r="D3734" s="1">
        <v>41091</v>
      </c>
      <c r="E3734">
        <v>5</v>
      </c>
      <c r="F3734"/>
      <c r="G3734"/>
      <c r="H3734"/>
      <c r="I3734"/>
      <c r="J3734"/>
      <c r="K3734"/>
      <c r="L3734"/>
      <c r="M3734"/>
      <c r="N3734"/>
      <c r="O3734"/>
    </row>
    <row r="3735" spans="1:15" hidden="1" x14ac:dyDescent="0.25">
      <c r="A3735" t="s">
        <v>76</v>
      </c>
      <c r="B3735" t="s">
        <v>115</v>
      </c>
      <c r="C3735" t="b">
        <v>0</v>
      </c>
      <c r="D3735" s="1">
        <v>41091</v>
      </c>
      <c r="E3735">
        <v>1E-3</v>
      </c>
      <c r="F3735"/>
      <c r="G3735"/>
      <c r="H3735"/>
      <c r="I3735"/>
      <c r="J3735"/>
      <c r="K3735"/>
      <c r="L3735"/>
      <c r="M3735"/>
      <c r="N3735"/>
      <c r="O3735"/>
    </row>
    <row r="3736" spans="1:15" hidden="1" x14ac:dyDescent="0.25">
      <c r="A3736" t="s">
        <v>84</v>
      </c>
      <c r="B3736" t="s">
        <v>115</v>
      </c>
      <c r="C3736" t="b">
        <v>0</v>
      </c>
      <c r="D3736" s="1">
        <v>41091</v>
      </c>
      <c r="E3736">
        <v>5</v>
      </c>
      <c r="F3736"/>
      <c r="G3736"/>
      <c r="H3736"/>
      <c r="I3736"/>
      <c r="J3736"/>
      <c r="K3736"/>
      <c r="L3736"/>
      <c r="M3736"/>
      <c r="N3736"/>
      <c r="O3736"/>
    </row>
    <row r="3737" spans="1:15" hidden="1" x14ac:dyDescent="0.25">
      <c r="A3737" t="s">
        <v>86</v>
      </c>
      <c r="B3737" t="s">
        <v>115</v>
      </c>
      <c r="C3737" t="b">
        <v>0</v>
      </c>
      <c r="D3737" s="1">
        <v>41091</v>
      </c>
      <c r="E3737">
        <v>5</v>
      </c>
      <c r="F3737"/>
      <c r="G3737"/>
      <c r="H3737"/>
      <c r="I3737"/>
      <c r="J3737"/>
      <c r="K3737"/>
      <c r="L3737"/>
      <c r="M3737"/>
      <c r="N3737"/>
      <c r="O3737"/>
    </row>
    <row r="3738" spans="1:15" hidden="1" x14ac:dyDescent="0.25">
      <c r="A3738" t="s">
        <v>88</v>
      </c>
      <c r="B3738" t="s">
        <v>115</v>
      </c>
      <c r="C3738" t="b">
        <v>0</v>
      </c>
      <c r="D3738" s="1">
        <v>41091</v>
      </c>
      <c r="E3738">
        <v>5</v>
      </c>
      <c r="F3738"/>
      <c r="G3738"/>
      <c r="H3738"/>
      <c r="I3738"/>
      <c r="J3738"/>
      <c r="K3738"/>
      <c r="L3738"/>
      <c r="M3738"/>
      <c r="N3738"/>
      <c r="O3738"/>
    </row>
    <row r="3739" spans="1:15" hidden="1" x14ac:dyDescent="0.25">
      <c r="A3739" t="s">
        <v>92</v>
      </c>
      <c r="B3739" t="s">
        <v>115</v>
      </c>
      <c r="C3739" t="b">
        <v>0</v>
      </c>
      <c r="D3739" s="1">
        <v>41091</v>
      </c>
      <c r="E3739">
        <v>5</v>
      </c>
      <c r="F3739"/>
      <c r="G3739"/>
      <c r="H3739"/>
      <c r="I3739"/>
      <c r="J3739"/>
      <c r="K3739"/>
      <c r="L3739"/>
      <c r="M3739"/>
      <c r="N3739"/>
      <c r="O3739"/>
    </row>
    <row r="3740" spans="1:15" hidden="1" x14ac:dyDescent="0.25">
      <c r="A3740" t="s">
        <v>95</v>
      </c>
      <c r="B3740" t="s">
        <v>115</v>
      </c>
      <c r="C3740" t="b">
        <v>0</v>
      </c>
      <c r="D3740" s="1">
        <v>41091</v>
      </c>
      <c r="E3740">
        <v>5</v>
      </c>
      <c r="F3740"/>
      <c r="G3740"/>
      <c r="H3740"/>
      <c r="I3740"/>
      <c r="J3740"/>
      <c r="K3740"/>
      <c r="L3740"/>
      <c r="M3740"/>
      <c r="N3740"/>
      <c r="O3740"/>
    </row>
    <row r="3741" spans="1:15" hidden="1" x14ac:dyDescent="0.25">
      <c r="A3741" t="s">
        <v>96</v>
      </c>
      <c r="B3741" t="s">
        <v>115</v>
      </c>
      <c r="C3741" t="b">
        <v>0</v>
      </c>
      <c r="D3741" s="1">
        <v>41091</v>
      </c>
      <c r="E3741">
        <v>5</v>
      </c>
      <c r="F3741"/>
      <c r="G3741"/>
      <c r="H3741"/>
      <c r="I3741"/>
      <c r="J3741"/>
      <c r="K3741"/>
      <c r="L3741"/>
      <c r="M3741"/>
      <c r="N3741"/>
      <c r="O3741"/>
    </row>
    <row r="3742" spans="1:15" hidden="1" x14ac:dyDescent="0.25">
      <c r="A3742" t="s">
        <v>99</v>
      </c>
      <c r="B3742" t="s">
        <v>114</v>
      </c>
      <c r="C3742" t="b">
        <v>0</v>
      </c>
      <c r="D3742" s="1">
        <v>41091</v>
      </c>
      <c r="E3742">
        <v>7.63</v>
      </c>
      <c r="F3742"/>
      <c r="G3742"/>
      <c r="H3742"/>
      <c r="I3742"/>
      <c r="J3742"/>
      <c r="K3742"/>
      <c r="L3742"/>
      <c r="M3742"/>
      <c r="N3742"/>
      <c r="O3742"/>
    </row>
    <row r="3743" spans="1:15" hidden="1" x14ac:dyDescent="0.25">
      <c r="A3743" t="s">
        <v>100</v>
      </c>
      <c r="B3743" t="s">
        <v>117</v>
      </c>
      <c r="C3743" t="b">
        <v>0</v>
      </c>
      <c r="D3743" s="1">
        <v>41122</v>
      </c>
      <c r="E3743" s="2">
        <v>-51.96</v>
      </c>
      <c r="F3743"/>
      <c r="G3743"/>
      <c r="H3743"/>
      <c r="I3743"/>
      <c r="J3743"/>
      <c r="K3743"/>
      <c r="L3743"/>
      <c r="M3743"/>
      <c r="N3743"/>
      <c r="O3743"/>
    </row>
    <row r="3744" spans="1:15" hidden="1" x14ac:dyDescent="0.25">
      <c r="A3744" t="s">
        <v>104</v>
      </c>
      <c r="B3744" t="s">
        <v>117</v>
      </c>
      <c r="C3744" t="b">
        <v>0</v>
      </c>
      <c r="D3744" s="1">
        <v>41122</v>
      </c>
      <c r="E3744" s="2">
        <v>-11.094999999999999</v>
      </c>
      <c r="F3744"/>
      <c r="G3744"/>
      <c r="H3744"/>
      <c r="I3744"/>
      <c r="J3744"/>
      <c r="K3744"/>
      <c r="L3744"/>
      <c r="M3744"/>
      <c r="N3744"/>
      <c r="O3744"/>
    </row>
    <row r="3745" spans="1:15" hidden="1" x14ac:dyDescent="0.25">
      <c r="A3745" t="s">
        <v>102</v>
      </c>
      <c r="B3745" t="s">
        <v>117</v>
      </c>
      <c r="C3745" t="b">
        <v>0</v>
      </c>
      <c r="D3745" s="1">
        <v>41122</v>
      </c>
      <c r="E3745" s="2">
        <v>-35.650000000000006</v>
      </c>
      <c r="F3745"/>
      <c r="G3745"/>
      <c r="H3745"/>
      <c r="I3745"/>
      <c r="J3745"/>
      <c r="K3745"/>
      <c r="L3745"/>
      <c r="M3745"/>
      <c r="N3745"/>
      <c r="O3745"/>
    </row>
    <row r="3746" spans="1:15" hidden="1" x14ac:dyDescent="0.25">
      <c r="A3746" t="s">
        <v>103</v>
      </c>
      <c r="B3746" t="s">
        <v>117</v>
      </c>
      <c r="C3746" t="b">
        <v>0</v>
      </c>
      <c r="D3746" s="1">
        <v>41122</v>
      </c>
      <c r="E3746" s="2">
        <v>-3.5</v>
      </c>
      <c r="F3746"/>
      <c r="G3746"/>
      <c r="H3746"/>
      <c r="I3746"/>
      <c r="J3746"/>
      <c r="K3746"/>
      <c r="L3746"/>
      <c r="M3746"/>
      <c r="N3746"/>
      <c r="O3746"/>
    </row>
    <row r="3747" spans="1:15" hidden="1" x14ac:dyDescent="0.25">
      <c r="A3747" t="s">
        <v>101</v>
      </c>
      <c r="B3747" t="s">
        <v>117</v>
      </c>
      <c r="C3747" t="b">
        <v>0</v>
      </c>
      <c r="D3747" s="1">
        <v>41122</v>
      </c>
      <c r="E3747" s="2">
        <v>-7.79</v>
      </c>
      <c r="F3747"/>
      <c r="G3747"/>
      <c r="H3747"/>
      <c r="I3747"/>
      <c r="J3747"/>
      <c r="K3747"/>
      <c r="L3747"/>
      <c r="M3747"/>
      <c r="N3747"/>
      <c r="O3747"/>
    </row>
    <row r="3748" spans="1:15" hidden="1" x14ac:dyDescent="0.25">
      <c r="A3748" t="s">
        <v>25</v>
      </c>
      <c r="B3748" t="s">
        <v>115</v>
      </c>
      <c r="C3748" t="b">
        <v>0</v>
      </c>
      <c r="D3748" s="1">
        <v>41122</v>
      </c>
      <c r="E3748">
        <v>5</v>
      </c>
      <c r="F3748"/>
      <c r="G3748"/>
      <c r="H3748"/>
      <c r="I3748"/>
      <c r="J3748"/>
      <c r="K3748"/>
      <c r="L3748"/>
      <c r="M3748"/>
      <c r="N3748"/>
      <c r="O3748"/>
    </row>
    <row r="3749" spans="1:15" hidden="1" x14ac:dyDescent="0.25">
      <c r="A3749" t="s">
        <v>42</v>
      </c>
      <c r="B3749" t="s">
        <v>115</v>
      </c>
      <c r="C3749" t="b">
        <v>0</v>
      </c>
      <c r="D3749" s="1">
        <v>41122</v>
      </c>
      <c r="E3749">
        <v>5</v>
      </c>
      <c r="F3749"/>
      <c r="G3749"/>
      <c r="H3749"/>
      <c r="I3749"/>
      <c r="J3749"/>
      <c r="K3749"/>
      <c r="L3749"/>
      <c r="M3749"/>
      <c r="N3749"/>
      <c r="O3749"/>
    </row>
    <row r="3750" spans="1:15" hidden="1" x14ac:dyDescent="0.25">
      <c r="A3750" t="s">
        <v>43</v>
      </c>
      <c r="B3750" t="s">
        <v>115</v>
      </c>
      <c r="C3750" t="b">
        <v>0</v>
      </c>
      <c r="D3750" s="1">
        <v>41122</v>
      </c>
      <c r="E3750">
        <v>5</v>
      </c>
      <c r="F3750"/>
      <c r="G3750"/>
      <c r="H3750"/>
      <c r="I3750"/>
      <c r="J3750"/>
      <c r="K3750"/>
      <c r="L3750"/>
      <c r="M3750"/>
      <c r="N3750"/>
      <c r="O3750"/>
    </row>
    <row r="3751" spans="1:15" hidden="1" x14ac:dyDescent="0.25">
      <c r="A3751" t="s">
        <v>44</v>
      </c>
      <c r="B3751" t="s">
        <v>115</v>
      </c>
      <c r="C3751" t="b">
        <v>0</v>
      </c>
      <c r="D3751" s="1">
        <v>41122</v>
      </c>
      <c r="E3751">
        <v>5</v>
      </c>
      <c r="F3751"/>
      <c r="G3751"/>
      <c r="H3751"/>
      <c r="I3751"/>
      <c r="J3751"/>
      <c r="K3751"/>
      <c r="L3751"/>
      <c r="M3751"/>
      <c r="N3751"/>
      <c r="O3751"/>
    </row>
    <row r="3752" spans="1:15" hidden="1" x14ac:dyDescent="0.25">
      <c r="A3752" t="s">
        <v>46</v>
      </c>
      <c r="B3752" t="s">
        <v>115</v>
      </c>
      <c r="C3752" t="b">
        <v>0</v>
      </c>
      <c r="D3752" s="1">
        <v>41122</v>
      </c>
      <c r="E3752">
        <v>5</v>
      </c>
      <c r="F3752"/>
      <c r="G3752"/>
      <c r="H3752"/>
      <c r="I3752"/>
      <c r="J3752"/>
      <c r="K3752"/>
      <c r="L3752"/>
      <c r="M3752"/>
      <c r="N3752"/>
      <c r="O3752"/>
    </row>
    <row r="3753" spans="1:15" hidden="1" x14ac:dyDescent="0.25">
      <c r="A3753" t="s">
        <v>50</v>
      </c>
      <c r="B3753" t="s">
        <v>115</v>
      </c>
      <c r="C3753" t="b">
        <v>0</v>
      </c>
      <c r="D3753" s="1">
        <v>41122</v>
      </c>
      <c r="E3753">
        <v>5</v>
      </c>
      <c r="F3753"/>
      <c r="G3753"/>
      <c r="H3753"/>
      <c r="I3753"/>
      <c r="J3753"/>
      <c r="K3753"/>
      <c r="L3753"/>
      <c r="M3753"/>
      <c r="N3753"/>
      <c r="O3753"/>
    </row>
    <row r="3754" spans="1:15" hidden="1" x14ac:dyDescent="0.25">
      <c r="A3754" t="s">
        <v>54</v>
      </c>
      <c r="B3754" t="s">
        <v>115</v>
      </c>
      <c r="C3754" t="b">
        <v>0</v>
      </c>
      <c r="D3754" s="1">
        <v>41122</v>
      </c>
      <c r="E3754">
        <v>5</v>
      </c>
      <c r="F3754"/>
      <c r="G3754"/>
      <c r="H3754"/>
      <c r="I3754"/>
      <c r="J3754"/>
      <c r="K3754"/>
      <c r="L3754"/>
      <c r="M3754"/>
      <c r="N3754"/>
      <c r="O3754"/>
    </row>
    <row r="3755" spans="1:15" hidden="1" x14ac:dyDescent="0.25">
      <c r="A3755" t="s">
        <v>55</v>
      </c>
      <c r="B3755" t="s">
        <v>115</v>
      </c>
      <c r="C3755" t="b">
        <v>0</v>
      </c>
      <c r="D3755" s="1">
        <v>41122</v>
      </c>
      <c r="E3755">
        <v>5</v>
      </c>
      <c r="F3755"/>
      <c r="G3755"/>
      <c r="H3755"/>
      <c r="I3755"/>
      <c r="J3755"/>
      <c r="K3755"/>
      <c r="L3755"/>
      <c r="M3755"/>
      <c r="N3755"/>
      <c r="O3755"/>
    </row>
    <row r="3756" spans="1:15" hidden="1" x14ac:dyDescent="0.25">
      <c r="A3756" t="s">
        <v>56</v>
      </c>
      <c r="B3756" t="s">
        <v>115</v>
      </c>
      <c r="C3756" t="b">
        <v>0</v>
      </c>
      <c r="D3756" s="1">
        <v>41122</v>
      </c>
      <c r="E3756">
        <v>5</v>
      </c>
      <c r="F3756"/>
      <c r="G3756"/>
      <c r="H3756"/>
      <c r="I3756"/>
      <c r="J3756"/>
      <c r="K3756"/>
      <c r="L3756"/>
      <c r="M3756"/>
      <c r="N3756"/>
      <c r="O3756"/>
    </row>
    <row r="3757" spans="1:15" hidden="1" x14ac:dyDescent="0.25">
      <c r="A3757" t="s">
        <v>57</v>
      </c>
      <c r="B3757" t="s">
        <v>115</v>
      </c>
      <c r="C3757" t="b">
        <v>0</v>
      </c>
      <c r="D3757" s="1">
        <v>41122</v>
      </c>
      <c r="E3757">
        <v>5</v>
      </c>
      <c r="F3757"/>
      <c r="G3757"/>
      <c r="H3757"/>
      <c r="I3757"/>
      <c r="J3757"/>
      <c r="K3757"/>
      <c r="L3757"/>
      <c r="M3757"/>
      <c r="N3757"/>
      <c r="O3757"/>
    </row>
    <row r="3758" spans="1:15" hidden="1" x14ac:dyDescent="0.25">
      <c r="A3758" t="s">
        <v>68</v>
      </c>
      <c r="B3758" t="s">
        <v>115</v>
      </c>
      <c r="C3758" t="b">
        <v>0</v>
      </c>
      <c r="D3758" s="1">
        <v>41122</v>
      </c>
      <c r="E3758">
        <v>5</v>
      </c>
      <c r="F3758"/>
      <c r="G3758"/>
      <c r="H3758"/>
      <c r="I3758"/>
      <c r="J3758"/>
      <c r="K3758"/>
      <c r="L3758"/>
      <c r="M3758"/>
      <c r="N3758"/>
      <c r="O3758"/>
    </row>
    <row r="3759" spans="1:15" hidden="1" x14ac:dyDescent="0.25">
      <c r="A3759" t="s">
        <v>69</v>
      </c>
      <c r="B3759" t="s">
        <v>115</v>
      </c>
      <c r="C3759" t="b">
        <v>0</v>
      </c>
      <c r="D3759" s="1">
        <v>41122</v>
      </c>
      <c r="E3759">
        <v>5</v>
      </c>
      <c r="F3759"/>
      <c r="G3759"/>
      <c r="H3759"/>
      <c r="I3759"/>
      <c r="J3759"/>
      <c r="K3759"/>
      <c r="L3759"/>
      <c r="M3759"/>
      <c r="N3759"/>
      <c r="O3759"/>
    </row>
    <row r="3760" spans="1:15" hidden="1" x14ac:dyDescent="0.25">
      <c r="A3760" t="s">
        <v>76</v>
      </c>
      <c r="B3760" t="s">
        <v>115</v>
      </c>
      <c r="C3760" t="b">
        <v>0</v>
      </c>
      <c r="D3760" s="1">
        <v>41122</v>
      </c>
      <c r="E3760">
        <v>1E-3</v>
      </c>
      <c r="F3760"/>
      <c r="G3760"/>
      <c r="H3760"/>
      <c r="I3760"/>
      <c r="J3760"/>
      <c r="K3760"/>
      <c r="L3760"/>
      <c r="M3760"/>
      <c r="N3760"/>
      <c r="O3760"/>
    </row>
    <row r="3761" spans="1:15" hidden="1" x14ac:dyDescent="0.25">
      <c r="A3761" t="s">
        <v>84</v>
      </c>
      <c r="B3761" t="s">
        <v>115</v>
      </c>
      <c r="C3761" t="b">
        <v>0</v>
      </c>
      <c r="D3761" s="1">
        <v>41122</v>
      </c>
      <c r="E3761">
        <v>5</v>
      </c>
      <c r="F3761"/>
      <c r="G3761"/>
      <c r="H3761"/>
      <c r="I3761"/>
      <c r="J3761"/>
      <c r="K3761"/>
      <c r="L3761"/>
      <c r="M3761"/>
      <c r="N3761"/>
      <c r="O3761"/>
    </row>
    <row r="3762" spans="1:15" hidden="1" x14ac:dyDescent="0.25">
      <c r="A3762" t="s">
        <v>86</v>
      </c>
      <c r="B3762" t="s">
        <v>115</v>
      </c>
      <c r="C3762" t="b">
        <v>0</v>
      </c>
      <c r="D3762" s="1">
        <v>41122</v>
      </c>
      <c r="E3762">
        <v>5</v>
      </c>
      <c r="F3762"/>
      <c r="G3762"/>
      <c r="H3762"/>
      <c r="I3762"/>
      <c r="J3762"/>
      <c r="K3762"/>
      <c r="L3762"/>
      <c r="M3762"/>
      <c r="N3762"/>
      <c r="O3762"/>
    </row>
    <row r="3763" spans="1:15" hidden="1" x14ac:dyDescent="0.25">
      <c r="A3763" t="s">
        <v>88</v>
      </c>
      <c r="B3763" t="s">
        <v>115</v>
      </c>
      <c r="C3763" t="b">
        <v>0</v>
      </c>
      <c r="D3763" s="1">
        <v>41122</v>
      </c>
      <c r="E3763">
        <v>5</v>
      </c>
      <c r="F3763"/>
      <c r="G3763"/>
      <c r="H3763"/>
      <c r="I3763"/>
      <c r="J3763"/>
      <c r="K3763"/>
      <c r="L3763"/>
      <c r="M3763"/>
      <c r="N3763"/>
      <c r="O3763"/>
    </row>
    <row r="3764" spans="1:15" hidden="1" x14ac:dyDescent="0.25">
      <c r="A3764" t="s">
        <v>92</v>
      </c>
      <c r="B3764" t="s">
        <v>115</v>
      </c>
      <c r="C3764" t="b">
        <v>0</v>
      </c>
      <c r="D3764" s="1">
        <v>41122</v>
      </c>
      <c r="E3764">
        <v>5</v>
      </c>
      <c r="F3764"/>
      <c r="G3764"/>
      <c r="H3764"/>
      <c r="I3764"/>
      <c r="J3764"/>
      <c r="K3764"/>
      <c r="L3764"/>
      <c r="M3764"/>
      <c r="N3764"/>
      <c r="O3764"/>
    </row>
    <row r="3765" spans="1:15" hidden="1" x14ac:dyDescent="0.25">
      <c r="A3765" t="s">
        <v>95</v>
      </c>
      <c r="B3765" t="s">
        <v>115</v>
      </c>
      <c r="C3765" t="b">
        <v>0</v>
      </c>
      <c r="D3765" s="1">
        <v>41122</v>
      </c>
      <c r="E3765">
        <v>5</v>
      </c>
      <c r="F3765"/>
      <c r="G3765"/>
      <c r="H3765"/>
      <c r="I3765"/>
      <c r="J3765"/>
      <c r="K3765"/>
      <c r="L3765"/>
      <c r="M3765"/>
      <c r="N3765"/>
      <c r="O3765"/>
    </row>
    <row r="3766" spans="1:15" hidden="1" x14ac:dyDescent="0.25">
      <c r="A3766" t="s">
        <v>96</v>
      </c>
      <c r="B3766" t="s">
        <v>115</v>
      </c>
      <c r="C3766" t="b">
        <v>0</v>
      </c>
      <c r="D3766" s="1">
        <v>41122</v>
      </c>
      <c r="E3766">
        <v>5</v>
      </c>
      <c r="F3766"/>
      <c r="G3766"/>
      <c r="H3766"/>
      <c r="I3766"/>
      <c r="J3766"/>
      <c r="K3766"/>
      <c r="L3766"/>
      <c r="M3766"/>
      <c r="N3766"/>
      <c r="O3766"/>
    </row>
    <row r="3767" spans="1:15" hidden="1" x14ac:dyDescent="0.25">
      <c r="A3767" t="s">
        <v>99</v>
      </c>
      <c r="B3767" t="s">
        <v>114</v>
      </c>
      <c r="C3767" t="b">
        <v>0</v>
      </c>
      <c r="D3767" s="1">
        <v>41122</v>
      </c>
      <c r="E3767">
        <v>11.49</v>
      </c>
      <c r="F3767"/>
      <c r="G3767"/>
      <c r="H3767"/>
      <c r="I3767"/>
      <c r="J3767"/>
      <c r="K3767"/>
      <c r="L3767"/>
      <c r="M3767"/>
      <c r="N3767"/>
      <c r="O3767"/>
    </row>
    <row r="3768" spans="1:15" hidden="1" x14ac:dyDescent="0.25">
      <c r="A3768" t="s">
        <v>100</v>
      </c>
      <c r="B3768" t="s">
        <v>117</v>
      </c>
      <c r="C3768" t="b">
        <v>0</v>
      </c>
      <c r="D3768" s="1">
        <v>41153</v>
      </c>
      <c r="E3768" s="2">
        <v>-77.94</v>
      </c>
      <c r="F3768"/>
      <c r="G3768"/>
      <c r="H3768"/>
      <c r="I3768"/>
      <c r="J3768"/>
      <c r="K3768"/>
      <c r="L3768"/>
      <c r="M3768"/>
      <c r="N3768"/>
      <c r="O3768"/>
    </row>
    <row r="3769" spans="1:15" hidden="1" x14ac:dyDescent="0.25">
      <c r="A3769" t="s">
        <v>102</v>
      </c>
      <c r="B3769" t="s">
        <v>117</v>
      </c>
      <c r="C3769" t="b">
        <v>0</v>
      </c>
      <c r="D3769" s="1">
        <v>41153</v>
      </c>
      <c r="E3769" s="2">
        <v>-42.84</v>
      </c>
      <c r="F3769"/>
      <c r="G3769"/>
      <c r="H3769"/>
      <c r="I3769"/>
      <c r="J3769"/>
      <c r="K3769"/>
      <c r="L3769"/>
      <c r="M3769"/>
      <c r="N3769"/>
      <c r="O3769"/>
    </row>
    <row r="3770" spans="1:15" hidden="1" x14ac:dyDescent="0.25">
      <c r="A3770" t="s">
        <v>103</v>
      </c>
      <c r="B3770" t="s">
        <v>117</v>
      </c>
      <c r="C3770" t="b">
        <v>0</v>
      </c>
      <c r="D3770" s="1">
        <v>41153</v>
      </c>
      <c r="E3770" s="2">
        <v>-3.5</v>
      </c>
      <c r="F3770"/>
      <c r="G3770"/>
      <c r="H3770"/>
      <c r="I3770"/>
      <c r="J3770"/>
      <c r="K3770"/>
      <c r="L3770"/>
      <c r="M3770"/>
      <c r="N3770"/>
      <c r="O3770"/>
    </row>
    <row r="3771" spans="1:15" hidden="1" x14ac:dyDescent="0.25">
      <c r="A3771" t="s">
        <v>43</v>
      </c>
      <c r="B3771" t="s">
        <v>115</v>
      </c>
      <c r="C3771" t="b">
        <v>0</v>
      </c>
      <c r="D3771" s="1">
        <v>41153</v>
      </c>
      <c r="E3771">
        <v>5</v>
      </c>
      <c r="F3771"/>
      <c r="G3771"/>
      <c r="H3771"/>
      <c r="I3771"/>
      <c r="J3771"/>
      <c r="K3771"/>
      <c r="L3771"/>
      <c r="M3771"/>
      <c r="N3771"/>
      <c r="O3771"/>
    </row>
    <row r="3772" spans="1:15" hidden="1" x14ac:dyDescent="0.25">
      <c r="A3772" t="s">
        <v>44</v>
      </c>
      <c r="B3772" t="s">
        <v>115</v>
      </c>
      <c r="C3772" t="b">
        <v>0</v>
      </c>
      <c r="D3772" s="1">
        <v>41153</v>
      </c>
      <c r="E3772">
        <v>5</v>
      </c>
      <c r="F3772"/>
      <c r="G3772"/>
      <c r="H3772"/>
      <c r="I3772"/>
      <c r="J3772"/>
      <c r="K3772"/>
      <c r="L3772"/>
      <c r="M3772"/>
      <c r="N3772"/>
      <c r="O3772"/>
    </row>
    <row r="3773" spans="1:15" hidden="1" x14ac:dyDescent="0.25">
      <c r="A3773" t="s">
        <v>45</v>
      </c>
      <c r="B3773" t="s">
        <v>115</v>
      </c>
      <c r="C3773" t="b">
        <v>0</v>
      </c>
      <c r="D3773" s="1">
        <v>41153</v>
      </c>
      <c r="E3773">
        <v>5</v>
      </c>
      <c r="F3773"/>
      <c r="G3773"/>
      <c r="H3773"/>
      <c r="I3773"/>
      <c r="J3773"/>
      <c r="K3773"/>
      <c r="L3773"/>
      <c r="M3773"/>
      <c r="N3773"/>
      <c r="O3773"/>
    </row>
    <row r="3774" spans="1:15" hidden="1" x14ac:dyDescent="0.25">
      <c r="A3774" t="s">
        <v>46</v>
      </c>
      <c r="B3774" t="s">
        <v>115</v>
      </c>
      <c r="C3774" t="b">
        <v>0</v>
      </c>
      <c r="D3774" s="1">
        <v>41153</v>
      </c>
      <c r="E3774">
        <v>5</v>
      </c>
      <c r="F3774"/>
      <c r="G3774"/>
      <c r="H3774"/>
      <c r="I3774"/>
      <c r="J3774"/>
      <c r="K3774"/>
      <c r="L3774"/>
      <c r="M3774"/>
      <c r="N3774"/>
      <c r="O3774"/>
    </row>
    <row r="3775" spans="1:15" hidden="1" x14ac:dyDescent="0.25">
      <c r="A3775" t="s">
        <v>50</v>
      </c>
      <c r="B3775" t="s">
        <v>115</v>
      </c>
      <c r="C3775" t="b">
        <v>0</v>
      </c>
      <c r="D3775" s="1">
        <v>41153</v>
      </c>
      <c r="E3775">
        <v>5</v>
      </c>
      <c r="F3775"/>
      <c r="G3775"/>
      <c r="H3775"/>
      <c r="I3775"/>
      <c r="J3775"/>
      <c r="K3775"/>
      <c r="L3775"/>
      <c r="M3775"/>
      <c r="N3775"/>
      <c r="O3775"/>
    </row>
    <row r="3776" spans="1:15" hidden="1" x14ac:dyDescent="0.25">
      <c r="A3776" t="s">
        <v>54</v>
      </c>
      <c r="B3776" t="s">
        <v>115</v>
      </c>
      <c r="C3776" t="b">
        <v>0</v>
      </c>
      <c r="D3776" s="1">
        <v>41153</v>
      </c>
      <c r="E3776">
        <v>5</v>
      </c>
      <c r="F3776"/>
      <c r="G3776"/>
      <c r="H3776"/>
      <c r="I3776"/>
      <c r="J3776"/>
      <c r="K3776"/>
      <c r="L3776"/>
      <c r="M3776"/>
      <c r="N3776"/>
      <c r="O3776"/>
    </row>
    <row r="3777" spans="1:15" hidden="1" x14ac:dyDescent="0.25">
      <c r="A3777" t="s">
        <v>55</v>
      </c>
      <c r="B3777" t="s">
        <v>115</v>
      </c>
      <c r="C3777" t="b">
        <v>0</v>
      </c>
      <c r="D3777" s="1">
        <v>41153</v>
      </c>
      <c r="E3777">
        <v>5</v>
      </c>
      <c r="F3777"/>
      <c r="G3777"/>
      <c r="H3777"/>
      <c r="I3777"/>
      <c r="J3777"/>
      <c r="K3777"/>
      <c r="L3777"/>
      <c r="M3777"/>
      <c r="N3777"/>
      <c r="O3777"/>
    </row>
    <row r="3778" spans="1:15" hidden="1" x14ac:dyDescent="0.25">
      <c r="A3778" t="s">
        <v>57</v>
      </c>
      <c r="B3778" t="s">
        <v>115</v>
      </c>
      <c r="C3778" t="b">
        <v>0</v>
      </c>
      <c r="D3778" s="1">
        <v>41153</v>
      </c>
      <c r="E3778">
        <v>5</v>
      </c>
      <c r="F3778"/>
      <c r="G3778"/>
      <c r="H3778"/>
      <c r="I3778"/>
      <c r="J3778"/>
      <c r="K3778"/>
      <c r="L3778"/>
      <c r="M3778"/>
      <c r="N3778"/>
      <c r="O3778"/>
    </row>
    <row r="3779" spans="1:15" hidden="1" x14ac:dyDescent="0.25">
      <c r="A3779" t="s">
        <v>68</v>
      </c>
      <c r="B3779" t="s">
        <v>115</v>
      </c>
      <c r="C3779" t="b">
        <v>0</v>
      </c>
      <c r="D3779" s="1">
        <v>41153</v>
      </c>
      <c r="E3779">
        <v>5</v>
      </c>
      <c r="F3779"/>
      <c r="G3779"/>
      <c r="H3779"/>
      <c r="I3779"/>
      <c r="J3779"/>
      <c r="K3779"/>
      <c r="L3779"/>
      <c r="M3779"/>
      <c r="N3779"/>
      <c r="O3779"/>
    </row>
    <row r="3780" spans="1:15" hidden="1" x14ac:dyDescent="0.25">
      <c r="A3780" t="s">
        <v>69</v>
      </c>
      <c r="B3780" t="s">
        <v>115</v>
      </c>
      <c r="C3780" t="b">
        <v>0</v>
      </c>
      <c r="D3780" s="1">
        <v>41153</v>
      </c>
      <c r="E3780">
        <v>5</v>
      </c>
      <c r="F3780"/>
      <c r="G3780"/>
      <c r="H3780"/>
      <c r="I3780"/>
      <c r="J3780"/>
      <c r="K3780"/>
      <c r="L3780"/>
      <c r="M3780"/>
      <c r="N3780"/>
      <c r="O3780"/>
    </row>
    <row r="3781" spans="1:15" hidden="1" x14ac:dyDescent="0.25">
      <c r="A3781" t="s">
        <v>76</v>
      </c>
      <c r="B3781" t="s">
        <v>115</v>
      </c>
      <c r="C3781" t="b">
        <v>0</v>
      </c>
      <c r="D3781" s="1">
        <v>41153</v>
      </c>
      <c r="E3781">
        <v>1E-3</v>
      </c>
      <c r="F3781"/>
      <c r="G3781"/>
      <c r="H3781"/>
      <c r="I3781"/>
      <c r="J3781"/>
      <c r="K3781"/>
      <c r="L3781"/>
      <c r="M3781"/>
      <c r="N3781"/>
      <c r="O3781"/>
    </row>
    <row r="3782" spans="1:15" hidden="1" x14ac:dyDescent="0.25">
      <c r="A3782" t="s">
        <v>84</v>
      </c>
      <c r="B3782" t="s">
        <v>115</v>
      </c>
      <c r="C3782" t="b">
        <v>0</v>
      </c>
      <c r="D3782" s="1">
        <v>41153</v>
      </c>
      <c r="E3782">
        <v>5</v>
      </c>
      <c r="F3782"/>
      <c r="G3782"/>
      <c r="H3782"/>
      <c r="I3782"/>
      <c r="J3782"/>
      <c r="K3782"/>
      <c r="L3782"/>
      <c r="M3782"/>
      <c r="N3782"/>
      <c r="O3782"/>
    </row>
    <row r="3783" spans="1:15" hidden="1" x14ac:dyDescent="0.25">
      <c r="A3783" t="s">
        <v>86</v>
      </c>
      <c r="B3783" t="s">
        <v>115</v>
      </c>
      <c r="C3783" t="b">
        <v>0</v>
      </c>
      <c r="D3783" s="1">
        <v>41153</v>
      </c>
      <c r="E3783">
        <v>5</v>
      </c>
      <c r="F3783"/>
      <c r="G3783"/>
      <c r="H3783"/>
      <c r="I3783"/>
      <c r="J3783"/>
      <c r="K3783"/>
      <c r="L3783"/>
      <c r="M3783"/>
      <c r="N3783"/>
      <c r="O3783"/>
    </row>
    <row r="3784" spans="1:15" hidden="1" x14ac:dyDescent="0.25">
      <c r="A3784" t="s">
        <v>88</v>
      </c>
      <c r="B3784" t="s">
        <v>115</v>
      </c>
      <c r="C3784" t="b">
        <v>0</v>
      </c>
      <c r="D3784" s="1">
        <v>41153</v>
      </c>
      <c r="E3784">
        <v>5</v>
      </c>
      <c r="F3784"/>
      <c r="G3784"/>
      <c r="H3784"/>
      <c r="I3784"/>
      <c r="J3784"/>
      <c r="K3784"/>
      <c r="L3784"/>
      <c r="M3784"/>
      <c r="N3784"/>
      <c r="O3784"/>
    </row>
    <row r="3785" spans="1:15" hidden="1" x14ac:dyDescent="0.25">
      <c r="A3785" t="s">
        <v>92</v>
      </c>
      <c r="B3785" t="s">
        <v>115</v>
      </c>
      <c r="C3785" t="b">
        <v>0</v>
      </c>
      <c r="D3785" s="1">
        <v>41153</v>
      </c>
      <c r="E3785">
        <v>5</v>
      </c>
      <c r="F3785"/>
      <c r="G3785"/>
      <c r="H3785"/>
      <c r="I3785"/>
      <c r="J3785"/>
      <c r="K3785"/>
      <c r="L3785"/>
      <c r="M3785"/>
      <c r="N3785"/>
      <c r="O3785"/>
    </row>
    <row r="3786" spans="1:15" hidden="1" x14ac:dyDescent="0.25">
      <c r="A3786" t="s">
        <v>95</v>
      </c>
      <c r="B3786" t="s">
        <v>115</v>
      </c>
      <c r="C3786" t="b">
        <v>0</v>
      </c>
      <c r="D3786" s="1">
        <v>41153</v>
      </c>
      <c r="E3786">
        <v>5</v>
      </c>
      <c r="F3786"/>
      <c r="G3786"/>
      <c r="H3786"/>
      <c r="I3786"/>
      <c r="J3786"/>
      <c r="K3786"/>
      <c r="L3786"/>
      <c r="M3786"/>
      <c r="N3786"/>
      <c r="O3786"/>
    </row>
    <row r="3787" spans="1:15" hidden="1" x14ac:dyDescent="0.25">
      <c r="A3787" t="s">
        <v>96</v>
      </c>
      <c r="B3787" t="s">
        <v>115</v>
      </c>
      <c r="C3787" t="b">
        <v>0</v>
      </c>
      <c r="D3787" s="1">
        <v>41153</v>
      </c>
      <c r="E3787">
        <v>5</v>
      </c>
      <c r="F3787"/>
      <c r="G3787"/>
      <c r="H3787"/>
      <c r="I3787"/>
      <c r="J3787"/>
      <c r="K3787"/>
      <c r="L3787"/>
      <c r="M3787"/>
      <c r="N3787"/>
      <c r="O3787"/>
    </row>
    <row r="3788" spans="1:15" hidden="1" x14ac:dyDescent="0.25">
      <c r="A3788" t="s">
        <v>99</v>
      </c>
      <c r="B3788" t="s">
        <v>114</v>
      </c>
      <c r="C3788" t="b">
        <v>0</v>
      </c>
      <c r="D3788" s="1">
        <v>41153</v>
      </c>
      <c r="E3788">
        <v>24.08</v>
      </c>
      <c r="F3788"/>
      <c r="G3788"/>
      <c r="H3788"/>
      <c r="I3788"/>
      <c r="J3788"/>
      <c r="K3788"/>
      <c r="L3788"/>
      <c r="M3788"/>
      <c r="N3788"/>
      <c r="O3788"/>
    </row>
    <row r="3789" spans="1:15" hidden="1" x14ac:dyDescent="0.25">
      <c r="A3789" t="s">
        <v>100</v>
      </c>
      <c r="B3789" t="s">
        <v>117</v>
      </c>
      <c r="C3789" t="b">
        <v>0</v>
      </c>
      <c r="D3789" s="1">
        <v>41183</v>
      </c>
      <c r="E3789" s="2">
        <v>-64.95</v>
      </c>
      <c r="F3789"/>
      <c r="G3789"/>
      <c r="H3789"/>
      <c r="I3789"/>
      <c r="J3789"/>
      <c r="K3789"/>
      <c r="L3789"/>
      <c r="M3789"/>
      <c r="N3789"/>
      <c r="O3789"/>
    </row>
    <row r="3790" spans="1:15" hidden="1" x14ac:dyDescent="0.25">
      <c r="A3790" t="s">
        <v>102</v>
      </c>
      <c r="B3790" t="s">
        <v>117</v>
      </c>
      <c r="C3790" t="b">
        <v>0</v>
      </c>
      <c r="D3790" s="1">
        <v>41183</v>
      </c>
      <c r="E3790" s="2">
        <v>-28.560000000000002</v>
      </c>
      <c r="F3790"/>
      <c r="G3790"/>
      <c r="H3790"/>
      <c r="I3790"/>
      <c r="J3790"/>
      <c r="K3790"/>
      <c r="L3790"/>
      <c r="M3790"/>
      <c r="N3790"/>
      <c r="O3790"/>
    </row>
    <row r="3791" spans="1:15" hidden="1" x14ac:dyDescent="0.25">
      <c r="A3791" t="s">
        <v>103</v>
      </c>
      <c r="B3791" t="s">
        <v>117</v>
      </c>
      <c r="C3791" t="b">
        <v>0</v>
      </c>
      <c r="D3791" s="1">
        <v>41183</v>
      </c>
      <c r="E3791" s="2">
        <v>-13</v>
      </c>
      <c r="F3791"/>
      <c r="G3791"/>
      <c r="H3791"/>
      <c r="I3791"/>
      <c r="J3791"/>
      <c r="K3791"/>
      <c r="L3791"/>
      <c r="M3791"/>
      <c r="N3791"/>
      <c r="O3791"/>
    </row>
    <row r="3792" spans="1:15" hidden="1" x14ac:dyDescent="0.25">
      <c r="A3792" t="s">
        <v>101</v>
      </c>
      <c r="B3792" t="s">
        <v>117</v>
      </c>
      <c r="C3792" t="b">
        <v>0</v>
      </c>
      <c r="D3792" s="1">
        <v>41183</v>
      </c>
      <c r="E3792" s="2">
        <v>-14.49</v>
      </c>
      <c r="F3792"/>
      <c r="G3792"/>
      <c r="H3792"/>
      <c r="I3792"/>
      <c r="J3792"/>
      <c r="K3792"/>
      <c r="L3792"/>
      <c r="M3792"/>
      <c r="N3792"/>
      <c r="O3792"/>
    </row>
    <row r="3793" spans="1:15" hidden="1" x14ac:dyDescent="0.25">
      <c r="A3793" t="s">
        <v>43</v>
      </c>
      <c r="B3793" t="s">
        <v>115</v>
      </c>
      <c r="C3793" t="b">
        <v>0</v>
      </c>
      <c r="D3793" s="1">
        <v>41183</v>
      </c>
      <c r="E3793">
        <v>5</v>
      </c>
      <c r="F3793"/>
      <c r="G3793"/>
      <c r="H3793"/>
      <c r="I3793"/>
      <c r="J3793"/>
      <c r="K3793"/>
      <c r="L3793"/>
      <c r="M3793"/>
      <c r="N3793"/>
      <c r="O3793"/>
    </row>
    <row r="3794" spans="1:15" hidden="1" x14ac:dyDescent="0.25">
      <c r="A3794" t="s">
        <v>45</v>
      </c>
      <c r="B3794" t="s">
        <v>115</v>
      </c>
      <c r="C3794" t="b">
        <v>0</v>
      </c>
      <c r="D3794" s="1">
        <v>41183</v>
      </c>
      <c r="E3794">
        <v>5</v>
      </c>
      <c r="F3794"/>
      <c r="G3794"/>
      <c r="H3794"/>
      <c r="I3794"/>
      <c r="J3794"/>
      <c r="K3794"/>
      <c r="L3794"/>
      <c r="M3794"/>
      <c r="N3794"/>
      <c r="O3794"/>
    </row>
    <row r="3795" spans="1:15" hidden="1" x14ac:dyDescent="0.25">
      <c r="A3795" t="s">
        <v>46</v>
      </c>
      <c r="B3795" t="s">
        <v>115</v>
      </c>
      <c r="C3795" t="b">
        <v>0</v>
      </c>
      <c r="D3795" s="1">
        <v>41183</v>
      </c>
      <c r="E3795">
        <v>5</v>
      </c>
      <c r="F3795"/>
      <c r="G3795"/>
      <c r="H3795"/>
      <c r="I3795"/>
      <c r="J3795"/>
      <c r="K3795"/>
      <c r="L3795"/>
      <c r="M3795"/>
      <c r="N3795"/>
      <c r="O3795"/>
    </row>
    <row r="3796" spans="1:15" hidden="1" x14ac:dyDescent="0.25">
      <c r="A3796" t="s">
        <v>50</v>
      </c>
      <c r="B3796" t="s">
        <v>115</v>
      </c>
      <c r="C3796" t="b">
        <v>0</v>
      </c>
      <c r="D3796" s="1">
        <v>41183</v>
      </c>
      <c r="E3796">
        <v>5</v>
      </c>
      <c r="F3796"/>
      <c r="G3796"/>
      <c r="H3796"/>
      <c r="I3796"/>
      <c r="J3796"/>
      <c r="K3796"/>
      <c r="L3796"/>
      <c r="M3796"/>
      <c r="N3796"/>
      <c r="O3796"/>
    </row>
    <row r="3797" spans="1:15" hidden="1" x14ac:dyDescent="0.25">
      <c r="A3797" t="s">
        <v>54</v>
      </c>
      <c r="B3797" t="s">
        <v>115</v>
      </c>
      <c r="C3797" t="b">
        <v>0</v>
      </c>
      <c r="D3797" s="1">
        <v>41183</v>
      </c>
      <c r="E3797">
        <v>5</v>
      </c>
      <c r="F3797"/>
      <c r="G3797"/>
      <c r="H3797"/>
      <c r="I3797"/>
      <c r="J3797"/>
      <c r="K3797"/>
      <c r="L3797"/>
      <c r="M3797"/>
      <c r="N3797"/>
      <c r="O3797"/>
    </row>
    <row r="3798" spans="1:15" hidden="1" x14ac:dyDescent="0.25">
      <c r="A3798" t="s">
        <v>55</v>
      </c>
      <c r="B3798" t="s">
        <v>115</v>
      </c>
      <c r="C3798" t="b">
        <v>0</v>
      </c>
      <c r="D3798" s="1">
        <v>41183</v>
      </c>
      <c r="E3798">
        <v>5</v>
      </c>
      <c r="F3798"/>
      <c r="G3798"/>
      <c r="H3798"/>
      <c r="I3798"/>
      <c r="J3798"/>
      <c r="K3798"/>
      <c r="L3798"/>
      <c r="M3798"/>
      <c r="N3798"/>
      <c r="O3798"/>
    </row>
    <row r="3799" spans="1:15" hidden="1" x14ac:dyDescent="0.25">
      <c r="A3799" t="s">
        <v>57</v>
      </c>
      <c r="B3799" t="s">
        <v>115</v>
      </c>
      <c r="C3799" t="b">
        <v>0</v>
      </c>
      <c r="D3799" s="1">
        <v>41183</v>
      </c>
      <c r="E3799">
        <v>5</v>
      </c>
      <c r="F3799"/>
      <c r="G3799"/>
      <c r="H3799"/>
      <c r="I3799"/>
      <c r="J3799"/>
      <c r="K3799"/>
      <c r="L3799"/>
      <c r="M3799"/>
      <c r="N3799"/>
      <c r="O3799"/>
    </row>
    <row r="3800" spans="1:15" hidden="1" x14ac:dyDescent="0.25">
      <c r="A3800" t="s">
        <v>68</v>
      </c>
      <c r="B3800" t="s">
        <v>115</v>
      </c>
      <c r="C3800" t="b">
        <v>0</v>
      </c>
      <c r="D3800" s="1">
        <v>41183</v>
      </c>
      <c r="E3800">
        <v>5</v>
      </c>
      <c r="F3800"/>
      <c r="G3800"/>
      <c r="H3800"/>
      <c r="I3800"/>
      <c r="J3800"/>
      <c r="K3800"/>
      <c r="L3800"/>
      <c r="M3800"/>
      <c r="N3800"/>
      <c r="O3800"/>
    </row>
    <row r="3801" spans="1:15" hidden="1" x14ac:dyDescent="0.25">
      <c r="A3801" t="s">
        <v>69</v>
      </c>
      <c r="B3801" t="s">
        <v>115</v>
      </c>
      <c r="C3801" t="b">
        <v>0</v>
      </c>
      <c r="D3801" s="1">
        <v>41183</v>
      </c>
      <c r="E3801">
        <v>5</v>
      </c>
      <c r="F3801"/>
      <c r="G3801"/>
      <c r="H3801"/>
      <c r="I3801"/>
      <c r="J3801"/>
      <c r="K3801"/>
      <c r="L3801"/>
      <c r="M3801"/>
      <c r="N3801"/>
      <c r="O3801"/>
    </row>
    <row r="3802" spans="1:15" hidden="1" x14ac:dyDescent="0.25">
      <c r="A3802" t="s">
        <v>76</v>
      </c>
      <c r="B3802" t="s">
        <v>115</v>
      </c>
      <c r="C3802" t="b">
        <v>0</v>
      </c>
      <c r="D3802" s="1">
        <v>41183</v>
      </c>
      <c r="E3802">
        <v>1E-3</v>
      </c>
      <c r="F3802"/>
      <c r="G3802"/>
      <c r="H3802"/>
      <c r="I3802"/>
      <c r="J3802"/>
      <c r="K3802"/>
      <c r="L3802"/>
      <c r="M3802"/>
      <c r="N3802"/>
      <c r="O3802"/>
    </row>
    <row r="3803" spans="1:15" hidden="1" x14ac:dyDescent="0.25">
      <c r="A3803" t="s">
        <v>84</v>
      </c>
      <c r="B3803" t="s">
        <v>115</v>
      </c>
      <c r="C3803" t="b">
        <v>0</v>
      </c>
      <c r="D3803" s="1">
        <v>41183</v>
      </c>
      <c r="E3803">
        <v>5</v>
      </c>
      <c r="F3803"/>
      <c r="G3803"/>
      <c r="H3803"/>
      <c r="I3803"/>
      <c r="J3803"/>
      <c r="K3803"/>
      <c r="L3803"/>
      <c r="M3803"/>
      <c r="N3803"/>
      <c r="O3803"/>
    </row>
    <row r="3804" spans="1:15" hidden="1" x14ac:dyDescent="0.25">
      <c r="A3804" t="s">
        <v>86</v>
      </c>
      <c r="B3804" t="s">
        <v>115</v>
      </c>
      <c r="C3804" t="b">
        <v>0</v>
      </c>
      <c r="D3804" s="1">
        <v>41183</v>
      </c>
      <c r="E3804">
        <v>5</v>
      </c>
      <c r="F3804"/>
      <c r="G3804"/>
      <c r="H3804"/>
      <c r="I3804"/>
      <c r="J3804"/>
      <c r="K3804"/>
      <c r="L3804"/>
      <c r="M3804"/>
      <c r="N3804"/>
      <c r="O3804"/>
    </row>
    <row r="3805" spans="1:15" hidden="1" x14ac:dyDescent="0.25">
      <c r="A3805" t="s">
        <v>88</v>
      </c>
      <c r="B3805" t="s">
        <v>115</v>
      </c>
      <c r="C3805" t="b">
        <v>0</v>
      </c>
      <c r="D3805" s="1">
        <v>41183</v>
      </c>
      <c r="E3805">
        <v>5</v>
      </c>
      <c r="F3805"/>
      <c r="G3805"/>
      <c r="H3805"/>
      <c r="I3805"/>
      <c r="J3805"/>
      <c r="K3805"/>
      <c r="L3805"/>
      <c r="M3805"/>
      <c r="N3805"/>
      <c r="O3805"/>
    </row>
    <row r="3806" spans="1:15" hidden="1" x14ac:dyDescent="0.25">
      <c r="A3806" t="s">
        <v>92</v>
      </c>
      <c r="B3806" t="s">
        <v>115</v>
      </c>
      <c r="C3806" t="b">
        <v>0</v>
      </c>
      <c r="D3806" s="1">
        <v>41183</v>
      </c>
      <c r="E3806">
        <v>5</v>
      </c>
      <c r="F3806"/>
      <c r="G3806"/>
      <c r="H3806"/>
      <c r="I3806"/>
      <c r="J3806"/>
      <c r="K3806"/>
      <c r="L3806"/>
      <c r="M3806"/>
      <c r="N3806"/>
      <c r="O3806"/>
    </row>
    <row r="3807" spans="1:15" hidden="1" x14ac:dyDescent="0.25">
      <c r="A3807" t="s">
        <v>95</v>
      </c>
      <c r="B3807" t="s">
        <v>115</v>
      </c>
      <c r="C3807" t="b">
        <v>0</v>
      </c>
      <c r="D3807" s="1">
        <v>41183</v>
      </c>
      <c r="E3807">
        <v>5</v>
      </c>
      <c r="F3807"/>
      <c r="G3807"/>
      <c r="H3807"/>
      <c r="I3807"/>
      <c r="J3807"/>
      <c r="K3807"/>
      <c r="L3807"/>
      <c r="M3807"/>
      <c r="N3807"/>
      <c r="O3807"/>
    </row>
    <row r="3808" spans="1:15" hidden="1" x14ac:dyDescent="0.25">
      <c r="A3808" t="s">
        <v>96</v>
      </c>
      <c r="B3808" t="s">
        <v>115</v>
      </c>
      <c r="C3808" t="b">
        <v>0</v>
      </c>
      <c r="D3808" s="1">
        <v>41183</v>
      </c>
      <c r="E3808">
        <v>5</v>
      </c>
      <c r="F3808"/>
      <c r="G3808"/>
      <c r="H3808"/>
      <c r="I3808"/>
      <c r="J3808"/>
      <c r="K3808"/>
      <c r="L3808"/>
      <c r="M3808"/>
      <c r="N3808"/>
      <c r="O3808"/>
    </row>
    <row r="3809" spans="1:15" hidden="1" x14ac:dyDescent="0.25">
      <c r="A3809" t="s">
        <v>99</v>
      </c>
      <c r="B3809" t="s">
        <v>114</v>
      </c>
      <c r="C3809" t="b">
        <v>0</v>
      </c>
      <c r="D3809" s="1">
        <v>41183</v>
      </c>
      <c r="E3809">
        <v>28.95</v>
      </c>
      <c r="F3809"/>
      <c r="G3809"/>
      <c r="H3809"/>
      <c r="I3809"/>
      <c r="J3809"/>
      <c r="K3809"/>
      <c r="L3809"/>
      <c r="M3809"/>
      <c r="N3809"/>
      <c r="O3809"/>
    </row>
    <row r="3810" spans="1:15" hidden="1" x14ac:dyDescent="0.25">
      <c r="A3810" t="s">
        <v>100</v>
      </c>
      <c r="B3810" t="s">
        <v>117</v>
      </c>
      <c r="C3810" t="b">
        <v>0</v>
      </c>
      <c r="D3810" s="1">
        <v>41214</v>
      </c>
      <c r="E3810" s="2">
        <v>-65.94</v>
      </c>
      <c r="F3810"/>
      <c r="G3810"/>
      <c r="H3810"/>
      <c r="I3810"/>
      <c r="J3810"/>
      <c r="K3810"/>
      <c r="L3810"/>
      <c r="M3810"/>
      <c r="N3810"/>
      <c r="O3810"/>
    </row>
    <row r="3811" spans="1:15" hidden="1" x14ac:dyDescent="0.25">
      <c r="A3811" t="s">
        <v>104</v>
      </c>
      <c r="B3811" t="s">
        <v>117</v>
      </c>
      <c r="C3811" t="b">
        <v>0</v>
      </c>
      <c r="D3811" s="1">
        <v>41214</v>
      </c>
      <c r="E3811" s="2">
        <v>-11.145</v>
      </c>
      <c r="F3811"/>
      <c r="G3811"/>
      <c r="H3811"/>
      <c r="I3811"/>
      <c r="J3811"/>
      <c r="K3811"/>
      <c r="L3811"/>
      <c r="M3811"/>
      <c r="N3811"/>
      <c r="O3811"/>
    </row>
    <row r="3812" spans="1:15" hidden="1" x14ac:dyDescent="0.25">
      <c r="A3812" t="s">
        <v>102</v>
      </c>
      <c r="B3812" t="s">
        <v>117</v>
      </c>
      <c r="C3812" t="b">
        <v>0</v>
      </c>
      <c r="D3812" s="1">
        <v>41214</v>
      </c>
      <c r="E3812" s="2">
        <v>-28.560000000000002</v>
      </c>
      <c r="F3812"/>
      <c r="G3812"/>
      <c r="H3812"/>
      <c r="I3812"/>
      <c r="J3812"/>
      <c r="K3812"/>
      <c r="L3812"/>
      <c r="M3812"/>
      <c r="N3812"/>
      <c r="O3812"/>
    </row>
    <row r="3813" spans="1:15" hidden="1" x14ac:dyDescent="0.25">
      <c r="A3813" t="s">
        <v>103</v>
      </c>
      <c r="B3813" t="s">
        <v>117</v>
      </c>
      <c r="C3813" t="b">
        <v>0</v>
      </c>
      <c r="D3813" s="1">
        <v>41214</v>
      </c>
      <c r="E3813" s="2">
        <v>-11.75</v>
      </c>
      <c r="F3813"/>
      <c r="G3813"/>
      <c r="H3813"/>
      <c r="I3813"/>
      <c r="J3813"/>
      <c r="K3813"/>
      <c r="L3813"/>
      <c r="M3813"/>
      <c r="N3813"/>
      <c r="O3813"/>
    </row>
    <row r="3814" spans="1:15" hidden="1" x14ac:dyDescent="0.25">
      <c r="A3814" t="s">
        <v>101</v>
      </c>
      <c r="B3814" t="s">
        <v>117</v>
      </c>
      <c r="C3814" t="b">
        <v>0</v>
      </c>
      <c r="D3814" s="1">
        <v>41214</v>
      </c>
      <c r="E3814" s="2">
        <v>-2.76</v>
      </c>
      <c r="F3814"/>
      <c r="G3814"/>
      <c r="H3814"/>
      <c r="I3814"/>
      <c r="J3814"/>
      <c r="K3814"/>
      <c r="L3814"/>
      <c r="M3814"/>
      <c r="N3814"/>
      <c r="O3814"/>
    </row>
    <row r="3815" spans="1:15" hidden="1" x14ac:dyDescent="0.25">
      <c r="A3815" t="s">
        <v>43</v>
      </c>
      <c r="B3815" t="s">
        <v>115</v>
      </c>
      <c r="C3815" t="b">
        <v>0</v>
      </c>
      <c r="D3815" s="1">
        <v>41214</v>
      </c>
      <c r="E3815">
        <v>5</v>
      </c>
      <c r="F3815"/>
      <c r="G3815"/>
      <c r="H3815"/>
      <c r="I3815"/>
      <c r="J3815"/>
      <c r="K3815"/>
      <c r="L3815"/>
      <c r="M3815"/>
      <c r="N3815"/>
      <c r="O3815"/>
    </row>
    <row r="3816" spans="1:15" hidden="1" x14ac:dyDescent="0.25">
      <c r="A3816" t="s">
        <v>44</v>
      </c>
      <c r="B3816" t="s">
        <v>115</v>
      </c>
      <c r="C3816" t="b">
        <v>0</v>
      </c>
      <c r="D3816" s="1">
        <v>41214</v>
      </c>
      <c r="E3816">
        <v>5</v>
      </c>
      <c r="F3816"/>
      <c r="G3816"/>
      <c r="H3816"/>
      <c r="I3816"/>
      <c r="J3816"/>
      <c r="K3816"/>
      <c r="L3816"/>
      <c r="M3816"/>
      <c r="N3816"/>
      <c r="O3816"/>
    </row>
    <row r="3817" spans="1:15" hidden="1" x14ac:dyDescent="0.25">
      <c r="A3817" t="s">
        <v>45</v>
      </c>
      <c r="B3817" t="s">
        <v>115</v>
      </c>
      <c r="C3817" t="b">
        <v>0</v>
      </c>
      <c r="D3817" s="1">
        <v>41214</v>
      </c>
      <c r="E3817">
        <v>5</v>
      </c>
      <c r="F3817"/>
      <c r="G3817"/>
      <c r="H3817"/>
      <c r="I3817"/>
      <c r="J3817"/>
      <c r="K3817"/>
      <c r="L3817"/>
      <c r="M3817"/>
      <c r="N3817"/>
      <c r="O3817"/>
    </row>
    <row r="3818" spans="1:15" hidden="1" x14ac:dyDescent="0.25">
      <c r="A3818" t="s">
        <v>46</v>
      </c>
      <c r="B3818" t="s">
        <v>115</v>
      </c>
      <c r="C3818" t="b">
        <v>0</v>
      </c>
      <c r="D3818" s="1">
        <v>41214</v>
      </c>
      <c r="E3818">
        <v>5</v>
      </c>
      <c r="F3818"/>
      <c r="G3818"/>
      <c r="H3818"/>
      <c r="I3818"/>
      <c r="J3818"/>
      <c r="K3818"/>
      <c r="L3818"/>
      <c r="M3818"/>
      <c r="N3818"/>
      <c r="O3818"/>
    </row>
    <row r="3819" spans="1:15" hidden="1" x14ac:dyDescent="0.25">
      <c r="A3819" t="s">
        <v>50</v>
      </c>
      <c r="B3819" t="s">
        <v>115</v>
      </c>
      <c r="C3819" t="b">
        <v>0</v>
      </c>
      <c r="D3819" s="1">
        <v>41214</v>
      </c>
      <c r="E3819">
        <v>5</v>
      </c>
      <c r="F3819"/>
      <c r="G3819"/>
      <c r="H3819"/>
      <c r="I3819"/>
      <c r="J3819"/>
      <c r="K3819"/>
      <c r="L3819"/>
      <c r="M3819"/>
      <c r="N3819"/>
      <c r="O3819"/>
    </row>
    <row r="3820" spans="1:15" hidden="1" x14ac:dyDescent="0.25">
      <c r="A3820" t="s">
        <v>54</v>
      </c>
      <c r="B3820" t="s">
        <v>115</v>
      </c>
      <c r="C3820" t="b">
        <v>0</v>
      </c>
      <c r="D3820" s="1">
        <v>41214</v>
      </c>
      <c r="E3820">
        <v>5</v>
      </c>
      <c r="F3820"/>
      <c r="G3820"/>
      <c r="H3820"/>
      <c r="I3820"/>
      <c r="J3820"/>
      <c r="K3820"/>
      <c r="L3820"/>
      <c r="M3820"/>
      <c r="N3820"/>
      <c r="O3820"/>
    </row>
    <row r="3821" spans="1:15" hidden="1" x14ac:dyDescent="0.25">
      <c r="A3821" t="s">
        <v>55</v>
      </c>
      <c r="B3821" t="s">
        <v>115</v>
      </c>
      <c r="C3821" t="b">
        <v>0</v>
      </c>
      <c r="D3821" s="1">
        <v>41214</v>
      </c>
      <c r="E3821">
        <v>5</v>
      </c>
      <c r="F3821"/>
      <c r="G3821"/>
      <c r="H3821"/>
      <c r="I3821"/>
      <c r="J3821"/>
      <c r="K3821"/>
      <c r="L3821"/>
      <c r="M3821"/>
      <c r="N3821"/>
      <c r="O3821"/>
    </row>
    <row r="3822" spans="1:15" hidden="1" x14ac:dyDescent="0.25">
      <c r="A3822" t="s">
        <v>57</v>
      </c>
      <c r="B3822" t="s">
        <v>115</v>
      </c>
      <c r="C3822" t="b">
        <v>0</v>
      </c>
      <c r="D3822" s="1">
        <v>41214</v>
      </c>
      <c r="E3822">
        <v>5</v>
      </c>
      <c r="F3822"/>
      <c r="G3822"/>
      <c r="H3822"/>
      <c r="I3822"/>
      <c r="J3822"/>
      <c r="K3822"/>
      <c r="L3822"/>
      <c r="M3822"/>
      <c r="N3822"/>
      <c r="O3822"/>
    </row>
    <row r="3823" spans="1:15" hidden="1" x14ac:dyDescent="0.25">
      <c r="A3823" t="s">
        <v>68</v>
      </c>
      <c r="B3823" t="s">
        <v>115</v>
      </c>
      <c r="C3823" t="b">
        <v>0</v>
      </c>
      <c r="D3823" s="1">
        <v>41214</v>
      </c>
      <c r="E3823">
        <v>5</v>
      </c>
      <c r="F3823"/>
      <c r="G3823"/>
      <c r="H3823"/>
      <c r="I3823"/>
      <c r="J3823"/>
      <c r="K3823"/>
      <c r="L3823"/>
      <c r="M3823"/>
      <c r="N3823"/>
      <c r="O3823"/>
    </row>
    <row r="3824" spans="1:15" hidden="1" x14ac:dyDescent="0.25">
      <c r="A3824" t="s">
        <v>69</v>
      </c>
      <c r="B3824" t="s">
        <v>115</v>
      </c>
      <c r="C3824" t="b">
        <v>0</v>
      </c>
      <c r="D3824" s="1">
        <v>41214</v>
      </c>
      <c r="E3824">
        <v>5</v>
      </c>
      <c r="F3824"/>
      <c r="G3824"/>
      <c r="H3824"/>
      <c r="I3824"/>
      <c r="J3824"/>
      <c r="K3824"/>
      <c r="L3824"/>
      <c r="M3824"/>
      <c r="N3824"/>
      <c r="O3824"/>
    </row>
    <row r="3825" spans="1:15" hidden="1" x14ac:dyDescent="0.25">
      <c r="A3825" t="s">
        <v>76</v>
      </c>
      <c r="B3825" t="s">
        <v>115</v>
      </c>
      <c r="C3825" t="b">
        <v>0</v>
      </c>
      <c r="D3825" s="1">
        <v>41214</v>
      </c>
      <c r="E3825">
        <v>1E-3</v>
      </c>
      <c r="F3825"/>
      <c r="G3825"/>
      <c r="H3825"/>
      <c r="I3825"/>
      <c r="J3825"/>
      <c r="K3825"/>
      <c r="L3825"/>
      <c r="M3825"/>
      <c r="N3825"/>
      <c r="O3825"/>
    </row>
    <row r="3826" spans="1:15" hidden="1" x14ac:dyDescent="0.25">
      <c r="A3826" t="s">
        <v>84</v>
      </c>
      <c r="B3826" t="s">
        <v>115</v>
      </c>
      <c r="C3826" t="b">
        <v>0</v>
      </c>
      <c r="D3826" s="1">
        <v>41214</v>
      </c>
      <c r="E3826">
        <v>5</v>
      </c>
      <c r="F3826"/>
      <c r="G3826"/>
      <c r="H3826"/>
      <c r="I3826"/>
      <c r="J3826"/>
      <c r="K3826"/>
      <c r="L3826"/>
      <c r="M3826"/>
      <c r="N3826"/>
      <c r="O3826"/>
    </row>
    <row r="3827" spans="1:15" hidden="1" x14ac:dyDescent="0.25">
      <c r="A3827" t="s">
        <v>86</v>
      </c>
      <c r="B3827" t="s">
        <v>115</v>
      </c>
      <c r="C3827" t="b">
        <v>0</v>
      </c>
      <c r="D3827" s="1">
        <v>41214</v>
      </c>
      <c r="E3827">
        <v>5</v>
      </c>
      <c r="F3827"/>
      <c r="G3827"/>
      <c r="H3827"/>
      <c r="I3827"/>
      <c r="J3827"/>
      <c r="K3827"/>
      <c r="L3827"/>
      <c r="M3827"/>
      <c r="N3827"/>
      <c r="O3827"/>
    </row>
    <row r="3828" spans="1:15" hidden="1" x14ac:dyDescent="0.25">
      <c r="A3828" t="s">
        <v>88</v>
      </c>
      <c r="B3828" t="s">
        <v>115</v>
      </c>
      <c r="C3828" t="b">
        <v>0</v>
      </c>
      <c r="D3828" s="1">
        <v>41214</v>
      </c>
      <c r="E3828">
        <v>5</v>
      </c>
      <c r="F3828"/>
      <c r="G3828"/>
      <c r="H3828"/>
      <c r="I3828"/>
      <c r="J3828"/>
      <c r="K3828"/>
      <c r="L3828"/>
      <c r="M3828"/>
      <c r="N3828"/>
      <c r="O3828"/>
    </row>
    <row r="3829" spans="1:15" hidden="1" x14ac:dyDescent="0.25">
      <c r="A3829" t="s">
        <v>92</v>
      </c>
      <c r="B3829" t="s">
        <v>115</v>
      </c>
      <c r="C3829" t="b">
        <v>0</v>
      </c>
      <c r="D3829" s="1">
        <v>41214</v>
      </c>
      <c r="E3829">
        <v>5</v>
      </c>
      <c r="F3829"/>
      <c r="G3829"/>
      <c r="H3829"/>
      <c r="I3829"/>
      <c r="J3829"/>
      <c r="K3829"/>
      <c r="L3829"/>
      <c r="M3829"/>
      <c r="N3829"/>
      <c r="O3829"/>
    </row>
    <row r="3830" spans="1:15" hidden="1" x14ac:dyDescent="0.25">
      <c r="A3830" t="s">
        <v>95</v>
      </c>
      <c r="B3830" t="s">
        <v>115</v>
      </c>
      <c r="C3830" t="b">
        <v>0</v>
      </c>
      <c r="D3830" s="1">
        <v>41214</v>
      </c>
      <c r="E3830">
        <v>5</v>
      </c>
      <c r="F3830"/>
      <c r="G3830"/>
      <c r="H3830"/>
      <c r="I3830"/>
      <c r="J3830"/>
      <c r="K3830"/>
      <c r="L3830"/>
      <c r="M3830"/>
      <c r="N3830"/>
      <c r="O3830"/>
    </row>
    <row r="3831" spans="1:15" hidden="1" x14ac:dyDescent="0.25">
      <c r="A3831" t="s">
        <v>96</v>
      </c>
      <c r="B3831" t="s">
        <v>115</v>
      </c>
      <c r="C3831" t="b">
        <v>0</v>
      </c>
      <c r="D3831" s="1">
        <v>41214</v>
      </c>
      <c r="E3831">
        <v>5</v>
      </c>
      <c r="F3831"/>
      <c r="G3831"/>
      <c r="H3831"/>
      <c r="I3831"/>
      <c r="J3831"/>
      <c r="K3831"/>
      <c r="L3831"/>
      <c r="M3831"/>
      <c r="N3831"/>
      <c r="O3831"/>
    </row>
    <row r="3832" spans="1:15" hidden="1" x14ac:dyDescent="0.25">
      <c r="A3832" t="s">
        <v>99</v>
      </c>
      <c r="B3832" t="s">
        <v>114</v>
      </c>
      <c r="C3832" t="b">
        <v>0</v>
      </c>
      <c r="D3832" s="1">
        <v>41214</v>
      </c>
      <c r="E3832">
        <v>28.99</v>
      </c>
      <c r="F3832"/>
      <c r="G3832"/>
      <c r="H3832"/>
      <c r="I3832"/>
      <c r="J3832"/>
      <c r="K3832"/>
      <c r="L3832"/>
      <c r="M3832"/>
      <c r="N3832"/>
      <c r="O3832"/>
    </row>
    <row r="3833" spans="1:15" hidden="1" x14ac:dyDescent="0.25">
      <c r="A3833" t="s">
        <v>100</v>
      </c>
      <c r="B3833" t="s">
        <v>117</v>
      </c>
      <c r="C3833" t="b">
        <v>0</v>
      </c>
      <c r="D3833" s="1">
        <v>41244</v>
      </c>
      <c r="E3833" s="2">
        <v>-43.96</v>
      </c>
      <c r="F3833"/>
      <c r="G3833"/>
      <c r="H3833"/>
      <c r="I3833"/>
      <c r="J3833"/>
      <c r="K3833"/>
      <c r="L3833"/>
      <c r="M3833"/>
      <c r="N3833"/>
      <c r="O3833"/>
    </row>
    <row r="3834" spans="1:15" hidden="1" x14ac:dyDescent="0.25">
      <c r="A3834" t="s">
        <v>104</v>
      </c>
      <c r="B3834" t="s">
        <v>117</v>
      </c>
      <c r="C3834" t="b">
        <v>0</v>
      </c>
      <c r="D3834" s="1">
        <v>41244</v>
      </c>
      <c r="E3834" s="2">
        <v>-4.9800000000000004</v>
      </c>
      <c r="F3834"/>
      <c r="G3834"/>
      <c r="H3834"/>
      <c r="I3834"/>
      <c r="J3834"/>
      <c r="K3834"/>
      <c r="L3834"/>
      <c r="M3834"/>
      <c r="N3834"/>
      <c r="O3834"/>
    </row>
    <row r="3835" spans="1:15" hidden="1" x14ac:dyDescent="0.25">
      <c r="A3835" t="s">
        <v>102</v>
      </c>
      <c r="B3835" t="s">
        <v>117</v>
      </c>
      <c r="C3835" t="b">
        <v>0</v>
      </c>
      <c r="D3835" s="1">
        <v>41244</v>
      </c>
      <c r="E3835" s="2">
        <v>-22.78</v>
      </c>
      <c r="F3835"/>
      <c r="G3835"/>
      <c r="H3835"/>
      <c r="I3835"/>
      <c r="J3835"/>
      <c r="K3835"/>
      <c r="L3835"/>
      <c r="M3835"/>
      <c r="N3835"/>
      <c r="O3835"/>
    </row>
    <row r="3836" spans="1:15" hidden="1" x14ac:dyDescent="0.25">
      <c r="A3836" t="s">
        <v>103</v>
      </c>
      <c r="B3836" t="s">
        <v>117</v>
      </c>
      <c r="C3836" t="b">
        <v>0</v>
      </c>
      <c r="D3836" s="1">
        <v>41244</v>
      </c>
      <c r="E3836" s="2">
        <v>-2.25</v>
      </c>
      <c r="F3836"/>
      <c r="G3836"/>
      <c r="H3836"/>
      <c r="I3836"/>
      <c r="J3836"/>
      <c r="K3836"/>
      <c r="L3836"/>
      <c r="M3836"/>
      <c r="N3836"/>
      <c r="O3836"/>
    </row>
    <row r="3837" spans="1:15" hidden="1" x14ac:dyDescent="0.25">
      <c r="A3837" t="s">
        <v>101</v>
      </c>
      <c r="B3837" t="s">
        <v>117</v>
      </c>
      <c r="C3837" t="b">
        <v>0</v>
      </c>
      <c r="D3837" s="1">
        <v>41244</v>
      </c>
      <c r="E3837" s="2">
        <v>-5.58</v>
      </c>
      <c r="F3837"/>
      <c r="G3837"/>
      <c r="H3837"/>
      <c r="I3837"/>
      <c r="J3837"/>
      <c r="K3837"/>
      <c r="L3837"/>
      <c r="M3837"/>
      <c r="N3837"/>
      <c r="O3837"/>
    </row>
    <row r="3838" spans="1:15" hidden="1" x14ac:dyDescent="0.25">
      <c r="A3838" t="s">
        <v>43</v>
      </c>
      <c r="B3838" t="s">
        <v>115</v>
      </c>
      <c r="C3838" t="b">
        <v>0</v>
      </c>
      <c r="D3838" s="1">
        <v>41244</v>
      </c>
      <c r="E3838">
        <v>5</v>
      </c>
      <c r="F3838"/>
      <c r="G3838"/>
      <c r="H3838"/>
      <c r="I3838"/>
      <c r="J3838"/>
      <c r="K3838"/>
      <c r="L3838"/>
      <c r="M3838"/>
      <c r="N3838"/>
      <c r="O3838"/>
    </row>
    <row r="3839" spans="1:15" hidden="1" x14ac:dyDescent="0.25">
      <c r="A3839" t="s">
        <v>44</v>
      </c>
      <c r="B3839" t="s">
        <v>115</v>
      </c>
      <c r="C3839" t="b">
        <v>0</v>
      </c>
      <c r="D3839" s="1">
        <v>41244</v>
      </c>
      <c r="E3839">
        <v>5</v>
      </c>
      <c r="F3839"/>
      <c r="G3839"/>
      <c r="H3839"/>
      <c r="I3839"/>
      <c r="J3839"/>
      <c r="K3839"/>
      <c r="L3839"/>
      <c r="M3839"/>
      <c r="N3839"/>
      <c r="O3839"/>
    </row>
    <row r="3840" spans="1:15" hidden="1" x14ac:dyDescent="0.25">
      <c r="A3840" t="s">
        <v>45</v>
      </c>
      <c r="B3840" t="s">
        <v>115</v>
      </c>
      <c r="C3840" t="b">
        <v>0</v>
      </c>
      <c r="D3840" s="1">
        <v>41244</v>
      </c>
      <c r="E3840">
        <v>5</v>
      </c>
      <c r="F3840"/>
      <c r="G3840"/>
      <c r="H3840"/>
      <c r="I3840"/>
      <c r="J3840"/>
      <c r="K3840"/>
      <c r="L3840"/>
      <c r="M3840"/>
      <c r="N3840"/>
      <c r="O3840"/>
    </row>
    <row r="3841" spans="1:15" hidden="1" x14ac:dyDescent="0.25">
      <c r="A3841" t="s">
        <v>46</v>
      </c>
      <c r="B3841" t="s">
        <v>115</v>
      </c>
      <c r="C3841" t="b">
        <v>0</v>
      </c>
      <c r="D3841" s="1">
        <v>41244</v>
      </c>
      <c r="E3841">
        <v>5</v>
      </c>
      <c r="F3841"/>
      <c r="G3841"/>
      <c r="H3841"/>
      <c r="I3841"/>
      <c r="J3841"/>
      <c r="K3841"/>
      <c r="L3841"/>
      <c r="M3841"/>
      <c r="N3841"/>
      <c r="O3841"/>
    </row>
    <row r="3842" spans="1:15" hidden="1" x14ac:dyDescent="0.25">
      <c r="A3842" t="s">
        <v>50</v>
      </c>
      <c r="B3842" t="s">
        <v>115</v>
      </c>
      <c r="C3842" t="b">
        <v>0</v>
      </c>
      <c r="D3842" s="1">
        <v>41244</v>
      </c>
      <c r="E3842">
        <v>5</v>
      </c>
      <c r="F3842"/>
      <c r="G3842"/>
      <c r="H3842"/>
      <c r="I3842"/>
      <c r="J3842"/>
      <c r="K3842"/>
      <c r="L3842"/>
      <c r="M3842"/>
      <c r="N3842"/>
      <c r="O3842"/>
    </row>
    <row r="3843" spans="1:15" hidden="1" x14ac:dyDescent="0.25">
      <c r="A3843" t="s">
        <v>54</v>
      </c>
      <c r="B3843" t="s">
        <v>115</v>
      </c>
      <c r="C3843" t="b">
        <v>0</v>
      </c>
      <c r="D3843" s="1">
        <v>41244</v>
      </c>
      <c r="E3843">
        <v>5</v>
      </c>
      <c r="F3843"/>
      <c r="G3843"/>
      <c r="H3843"/>
      <c r="I3843"/>
      <c r="J3843"/>
      <c r="K3843"/>
      <c r="L3843"/>
      <c r="M3843"/>
      <c r="N3843"/>
      <c r="O3843"/>
    </row>
    <row r="3844" spans="1:15" hidden="1" x14ac:dyDescent="0.25">
      <c r="A3844" t="s">
        <v>55</v>
      </c>
      <c r="B3844" t="s">
        <v>115</v>
      </c>
      <c r="C3844" t="b">
        <v>0</v>
      </c>
      <c r="D3844" s="1">
        <v>41244</v>
      </c>
      <c r="E3844">
        <v>5</v>
      </c>
      <c r="F3844"/>
      <c r="G3844"/>
      <c r="H3844"/>
      <c r="I3844"/>
      <c r="J3844"/>
      <c r="K3844"/>
      <c r="L3844"/>
      <c r="M3844"/>
      <c r="N3844"/>
      <c r="O3844"/>
    </row>
    <row r="3845" spans="1:15" hidden="1" x14ac:dyDescent="0.25">
      <c r="A3845" t="s">
        <v>57</v>
      </c>
      <c r="B3845" t="s">
        <v>115</v>
      </c>
      <c r="C3845" t="b">
        <v>0</v>
      </c>
      <c r="D3845" s="1">
        <v>41244</v>
      </c>
      <c r="E3845">
        <v>5</v>
      </c>
      <c r="F3845"/>
      <c r="G3845"/>
      <c r="H3845"/>
      <c r="I3845"/>
      <c r="J3845"/>
      <c r="K3845"/>
      <c r="L3845"/>
      <c r="M3845"/>
      <c r="N3845"/>
      <c r="O3845"/>
    </row>
    <row r="3846" spans="1:15" hidden="1" x14ac:dyDescent="0.25">
      <c r="A3846" t="s">
        <v>68</v>
      </c>
      <c r="B3846" t="s">
        <v>115</v>
      </c>
      <c r="C3846" t="b">
        <v>0</v>
      </c>
      <c r="D3846" s="1">
        <v>41244</v>
      </c>
      <c r="E3846">
        <v>5</v>
      </c>
      <c r="F3846"/>
      <c r="G3846"/>
      <c r="H3846"/>
      <c r="I3846"/>
      <c r="J3846"/>
      <c r="K3846"/>
      <c r="L3846"/>
      <c r="M3846"/>
      <c r="N3846"/>
      <c r="O3846"/>
    </row>
    <row r="3847" spans="1:15" hidden="1" x14ac:dyDescent="0.25">
      <c r="A3847" t="s">
        <v>69</v>
      </c>
      <c r="B3847" t="s">
        <v>115</v>
      </c>
      <c r="C3847" t="b">
        <v>0</v>
      </c>
      <c r="D3847" s="1">
        <v>41244</v>
      </c>
      <c r="E3847">
        <v>5</v>
      </c>
      <c r="F3847"/>
      <c r="G3847"/>
      <c r="H3847"/>
      <c r="I3847"/>
      <c r="J3847"/>
      <c r="K3847"/>
      <c r="L3847"/>
      <c r="M3847"/>
      <c r="N3847"/>
      <c r="O3847"/>
    </row>
    <row r="3848" spans="1:15" hidden="1" x14ac:dyDescent="0.25">
      <c r="A3848" t="s">
        <v>76</v>
      </c>
      <c r="B3848" t="s">
        <v>115</v>
      </c>
      <c r="C3848" t="b">
        <v>0</v>
      </c>
      <c r="D3848" s="1">
        <v>41244</v>
      </c>
      <c r="E3848">
        <v>1E-3</v>
      </c>
      <c r="F3848"/>
      <c r="G3848"/>
      <c r="H3848"/>
      <c r="I3848"/>
      <c r="J3848"/>
      <c r="K3848"/>
      <c r="L3848"/>
      <c r="M3848"/>
      <c r="N3848"/>
      <c r="O3848"/>
    </row>
    <row r="3849" spans="1:15" hidden="1" x14ac:dyDescent="0.25">
      <c r="A3849" t="s">
        <v>84</v>
      </c>
      <c r="B3849" t="s">
        <v>115</v>
      </c>
      <c r="C3849" t="b">
        <v>0</v>
      </c>
      <c r="D3849" s="1">
        <v>41244</v>
      </c>
      <c r="E3849">
        <v>5</v>
      </c>
      <c r="F3849"/>
      <c r="G3849"/>
      <c r="H3849"/>
      <c r="I3849"/>
      <c r="J3849"/>
      <c r="K3849"/>
      <c r="L3849"/>
      <c r="M3849"/>
      <c r="N3849"/>
      <c r="O3849"/>
    </row>
    <row r="3850" spans="1:15" hidden="1" x14ac:dyDescent="0.25">
      <c r="A3850" t="s">
        <v>86</v>
      </c>
      <c r="B3850" t="s">
        <v>115</v>
      </c>
      <c r="C3850" t="b">
        <v>0</v>
      </c>
      <c r="D3850" s="1">
        <v>41244</v>
      </c>
      <c r="E3850">
        <v>5</v>
      </c>
      <c r="F3850"/>
      <c r="G3850"/>
      <c r="H3850"/>
      <c r="I3850"/>
      <c r="J3850"/>
      <c r="K3850"/>
      <c r="L3850"/>
      <c r="M3850"/>
      <c r="N3850"/>
      <c r="O3850"/>
    </row>
    <row r="3851" spans="1:15" hidden="1" x14ac:dyDescent="0.25">
      <c r="A3851" t="s">
        <v>88</v>
      </c>
      <c r="B3851" t="s">
        <v>115</v>
      </c>
      <c r="C3851" t="b">
        <v>0</v>
      </c>
      <c r="D3851" s="1">
        <v>41244</v>
      </c>
      <c r="E3851">
        <v>5</v>
      </c>
      <c r="F3851"/>
      <c r="G3851"/>
      <c r="H3851"/>
      <c r="I3851"/>
      <c r="J3851"/>
      <c r="K3851"/>
      <c r="L3851"/>
      <c r="M3851"/>
      <c r="N3851"/>
      <c r="O3851"/>
    </row>
    <row r="3852" spans="1:15" hidden="1" x14ac:dyDescent="0.25">
      <c r="A3852" t="s">
        <v>92</v>
      </c>
      <c r="B3852" t="s">
        <v>115</v>
      </c>
      <c r="C3852" t="b">
        <v>0</v>
      </c>
      <c r="D3852" s="1">
        <v>41244</v>
      </c>
      <c r="E3852">
        <v>5</v>
      </c>
      <c r="F3852"/>
      <c r="G3852"/>
      <c r="H3852"/>
      <c r="I3852"/>
      <c r="J3852"/>
      <c r="K3852"/>
      <c r="L3852"/>
      <c r="M3852"/>
      <c r="N3852"/>
      <c r="O3852"/>
    </row>
    <row r="3853" spans="1:15" hidden="1" x14ac:dyDescent="0.25">
      <c r="A3853" t="s">
        <v>95</v>
      </c>
      <c r="B3853" t="s">
        <v>115</v>
      </c>
      <c r="C3853" t="b">
        <v>0</v>
      </c>
      <c r="D3853" s="1">
        <v>41244</v>
      </c>
      <c r="E3853">
        <v>5</v>
      </c>
      <c r="F3853"/>
      <c r="G3853"/>
      <c r="H3853"/>
      <c r="I3853"/>
      <c r="J3853"/>
      <c r="K3853"/>
      <c r="L3853"/>
      <c r="M3853"/>
      <c r="N3853"/>
      <c r="O3853"/>
    </row>
    <row r="3854" spans="1:15" hidden="1" x14ac:dyDescent="0.25">
      <c r="A3854" t="s">
        <v>96</v>
      </c>
      <c r="B3854" t="s">
        <v>115</v>
      </c>
      <c r="C3854" t="b">
        <v>0</v>
      </c>
      <c r="D3854" s="1">
        <v>41244</v>
      </c>
      <c r="E3854">
        <v>5</v>
      </c>
      <c r="F3854"/>
      <c r="G3854"/>
      <c r="H3854"/>
      <c r="I3854"/>
      <c r="J3854"/>
      <c r="K3854"/>
      <c r="L3854"/>
      <c r="M3854"/>
      <c r="N3854"/>
      <c r="O3854"/>
    </row>
    <row r="3855" spans="1:15" hidden="1" x14ac:dyDescent="0.25">
      <c r="A3855" t="s">
        <v>99</v>
      </c>
      <c r="B3855" t="s">
        <v>114</v>
      </c>
      <c r="C3855" t="b">
        <v>0</v>
      </c>
      <c r="D3855" s="1">
        <v>41244</v>
      </c>
      <c r="E3855">
        <v>36.180000000000007</v>
      </c>
      <c r="F3855"/>
      <c r="G3855"/>
      <c r="H3855"/>
      <c r="I3855"/>
      <c r="J3855"/>
      <c r="K3855"/>
      <c r="L3855"/>
      <c r="M3855"/>
      <c r="N3855"/>
      <c r="O3855"/>
    </row>
    <row r="3856" spans="1:15" hidden="1" x14ac:dyDescent="0.25">
      <c r="A3856" t="s">
        <v>100</v>
      </c>
      <c r="B3856" t="s">
        <v>117</v>
      </c>
      <c r="C3856" t="b">
        <v>0</v>
      </c>
      <c r="D3856" s="1">
        <v>41275</v>
      </c>
      <c r="E3856" s="2">
        <v>-43.96</v>
      </c>
      <c r="F3856"/>
      <c r="G3856"/>
      <c r="H3856"/>
      <c r="I3856"/>
      <c r="J3856"/>
      <c r="K3856"/>
      <c r="L3856"/>
      <c r="M3856"/>
      <c r="N3856"/>
      <c r="O3856"/>
    </row>
    <row r="3857" spans="1:15" hidden="1" x14ac:dyDescent="0.25">
      <c r="A3857" t="s">
        <v>104</v>
      </c>
      <c r="B3857" t="s">
        <v>117</v>
      </c>
      <c r="C3857" t="b">
        <v>0</v>
      </c>
      <c r="D3857" s="1">
        <v>41275</v>
      </c>
      <c r="E3857" s="2">
        <v>-5.89</v>
      </c>
      <c r="F3857"/>
      <c r="G3857"/>
      <c r="H3857"/>
      <c r="I3857"/>
      <c r="J3857"/>
      <c r="K3857"/>
      <c r="L3857"/>
      <c r="M3857"/>
      <c r="N3857"/>
      <c r="O3857"/>
    </row>
    <row r="3858" spans="1:15" hidden="1" x14ac:dyDescent="0.25">
      <c r="A3858" t="s">
        <v>102</v>
      </c>
      <c r="B3858" t="s">
        <v>117</v>
      </c>
      <c r="C3858" t="b">
        <v>0</v>
      </c>
      <c r="D3858" s="1">
        <v>41275</v>
      </c>
      <c r="E3858" s="2">
        <v>-19.23</v>
      </c>
      <c r="F3858"/>
      <c r="G3858"/>
      <c r="H3858"/>
      <c r="I3858"/>
      <c r="J3858"/>
      <c r="K3858"/>
      <c r="L3858"/>
      <c r="M3858"/>
      <c r="N3858"/>
      <c r="O3858"/>
    </row>
    <row r="3859" spans="1:15" hidden="1" x14ac:dyDescent="0.25">
      <c r="A3859" t="s">
        <v>103</v>
      </c>
      <c r="B3859" t="s">
        <v>117</v>
      </c>
      <c r="C3859" t="b">
        <v>0</v>
      </c>
      <c r="D3859" s="1">
        <v>41275</v>
      </c>
      <c r="E3859" s="2">
        <v>-21.5</v>
      </c>
      <c r="F3859"/>
      <c r="G3859"/>
      <c r="H3859"/>
      <c r="I3859"/>
      <c r="J3859"/>
      <c r="K3859"/>
      <c r="L3859"/>
      <c r="M3859"/>
      <c r="N3859"/>
      <c r="O3859"/>
    </row>
    <row r="3860" spans="1:15" hidden="1" x14ac:dyDescent="0.25">
      <c r="A3860" t="s">
        <v>43</v>
      </c>
      <c r="B3860" t="s">
        <v>115</v>
      </c>
      <c r="C3860" t="b">
        <v>0</v>
      </c>
      <c r="D3860" s="1">
        <v>41275</v>
      </c>
      <c r="E3860">
        <v>5</v>
      </c>
      <c r="F3860"/>
      <c r="G3860"/>
      <c r="H3860"/>
      <c r="I3860"/>
      <c r="J3860"/>
      <c r="K3860"/>
      <c r="L3860"/>
      <c r="M3860"/>
      <c r="N3860"/>
      <c r="O3860"/>
    </row>
    <row r="3861" spans="1:15" hidden="1" x14ac:dyDescent="0.25">
      <c r="A3861" t="s">
        <v>44</v>
      </c>
      <c r="B3861" t="s">
        <v>115</v>
      </c>
      <c r="C3861" t="b">
        <v>0</v>
      </c>
      <c r="D3861" s="1">
        <v>41275</v>
      </c>
      <c r="E3861">
        <v>5</v>
      </c>
      <c r="F3861"/>
      <c r="G3861"/>
      <c r="H3861"/>
      <c r="I3861"/>
      <c r="J3861"/>
      <c r="K3861"/>
      <c r="L3861"/>
      <c r="M3861"/>
      <c r="N3861"/>
      <c r="O3861"/>
    </row>
    <row r="3862" spans="1:15" hidden="1" x14ac:dyDescent="0.25">
      <c r="A3862" t="s">
        <v>45</v>
      </c>
      <c r="B3862" t="s">
        <v>115</v>
      </c>
      <c r="C3862" t="b">
        <v>0</v>
      </c>
      <c r="D3862" s="1">
        <v>41275</v>
      </c>
      <c r="E3862">
        <v>5</v>
      </c>
      <c r="F3862"/>
      <c r="G3862"/>
      <c r="H3862"/>
      <c r="I3862"/>
      <c r="J3862"/>
      <c r="K3862"/>
      <c r="L3862"/>
      <c r="M3862"/>
      <c r="N3862"/>
      <c r="O3862"/>
    </row>
    <row r="3863" spans="1:15" hidden="1" x14ac:dyDescent="0.25">
      <c r="A3863" t="s">
        <v>46</v>
      </c>
      <c r="B3863" t="s">
        <v>115</v>
      </c>
      <c r="C3863" t="b">
        <v>0</v>
      </c>
      <c r="D3863" s="1">
        <v>41275</v>
      </c>
      <c r="E3863">
        <v>5</v>
      </c>
      <c r="F3863"/>
      <c r="G3863"/>
      <c r="H3863"/>
      <c r="I3863"/>
      <c r="J3863"/>
      <c r="K3863"/>
      <c r="L3863"/>
      <c r="M3863"/>
      <c r="N3863"/>
      <c r="O3863"/>
    </row>
    <row r="3864" spans="1:15" hidden="1" x14ac:dyDescent="0.25">
      <c r="A3864" t="s">
        <v>50</v>
      </c>
      <c r="B3864" t="s">
        <v>115</v>
      </c>
      <c r="C3864" t="b">
        <v>0</v>
      </c>
      <c r="D3864" s="1">
        <v>41275</v>
      </c>
      <c r="E3864">
        <v>5</v>
      </c>
      <c r="F3864"/>
      <c r="G3864"/>
      <c r="H3864"/>
      <c r="I3864"/>
      <c r="J3864"/>
      <c r="K3864"/>
      <c r="L3864"/>
      <c r="M3864"/>
      <c r="N3864"/>
      <c r="O3864"/>
    </row>
    <row r="3865" spans="1:15" hidden="1" x14ac:dyDescent="0.25">
      <c r="A3865" t="s">
        <v>54</v>
      </c>
      <c r="B3865" t="s">
        <v>115</v>
      </c>
      <c r="C3865" t="b">
        <v>0</v>
      </c>
      <c r="D3865" s="1">
        <v>41275</v>
      </c>
      <c r="E3865">
        <v>5</v>
      </c>
      <c r="F3865"/>
      <c r="G3865"/>
      <c r="H3865"/>
      <c r="I3865"/>
      <c r="J3865"/>
      <c r="K3865"/>
      <c r="L3865"/>
      <c r="M3865"/>
      <c r="N3865"/>
      <c r="O3865"/>
    </row>
    <row r="3866" spans="1:15" hidden="1" x14ac:dyDescent="0.25">
      <c r="A3866" t="s">
        <v>55</v>
      </c>
      <c r="B3866" t="s">
        <v>115</v>
      </c>
      <c r="C3866" t="b">
        <v>0</v>
      </c>
      <c r="D3866" s="1">
        <v>41275</v>
      </c>
      <c r="E3866">
        <v>5</v>
      </c>
      <c r="F3866"/>
      <c r="G3866"/>
      <c r="H3866"/>
      <c r="I3866"/>
      <c r="J3866"/>
      <c r="K3866"/>
      <c r="L3866"/>
      <c r="M3866"/>
      <c r="N3866"/>
      <c r="O3866"/>
    </row>
    <row r="3867" spans="1:15" hidden="1" x14ac:dyDescent="0.25">
      <c r="A3867" t="s">
        <v>68</v>
      </c>
      <c r="B3867" t="s">
        <v>115</v>
      </c>
      <c r="C3867" t="b">
        <v>0</v>
      </c>
      <c r="D3867" s="1">
        <v>41275</v>
      </c>
      <c r="E3867">
        <v>5</v>
      </c>
      <c r="F3867"/>
      <c r="G3867"/>
      <c r="H3867"/>
      <c r="I3867"/>
      <c r="J3867"/>
      <c r="K3867"/>
      <c r="L3867"/>
      <c r="M3867"/>
      <c r="N3867"/>
      <c r="O3867"/>
    </row>
    <row r="3868" spans="1:15" hidden="1" x14ac:dyDescent="0.25">
      <c r="A3868" t="s">
        <v>69</v>
      </c>
      <c r="B3868" t="s">
        <v>115</v>
      </c>
      <c r="C3868" t="b">
        <v>0</v>
      </c>
      <c r="D3868" s="1">
        <v>41275</v>
      </c>
      <c r="E3868">
        <v>5</v>
      </c>
      <c r="F3868"/>
      <c r="G3868"/>
      <c r="H3868"/>
      <c r="I3868"/>
      <c r="J3868"/>
      <c r="K3868"/>
      <c r="L3868"/>
      <c r="M3868"/>
      <c r="N3868"/>
      <c r="O3868"/>
    </row>
    <row r="3869" spans="1:15" hidden="1" x14ac:dyDescent="0.25">
      <c r="A3869" t="s">
        <v>76</v>
      </c>
      <c r="B3869" t="s">
        <v>115</v>
      </c>
      <c r="C3869" t="b">
        <v>0</v>
      </c>
      <c r="D3869" s="1">
        <v>41275</v>
      </c>
      <c r="E3869">
        <v>1E-3</v>
      </c>
      <c r="F3869"/>
      <c r="G3869"/>
      <c r="H3869"/>
      <c r="I3869"/>
      <c r="J3869"/>
      <c r="K3869"/>
      <c r="L3869"/>
      <c r="M3869"/>
      <c r="N3869"/>
      <c r="O3869"/>
    </row>
    <row r="3870" spans="1:15" hidden="1" x14ac:dyDescent="0.25">
      <c r="A3870" t="s">
        <v>84</v>
      </c>
      <c r="B3870" t="s">
        <v>115</v>
      </c>
      <c r="C3870" t="b">
        <v>0</v>
      </c>
      <c r="D3870" s="1">
        <v>41275</v>
      </c>
      <c r="E3870">
        <v>5</v>
      </c>
      <c r="F3870"/>
      <c r="G3870"/>
      <c r="H3870"/>
      <c r="I3870"/>
      <c r="J3870"/>
      <c r="K3870"/>
      <c r="L3870"/>
      <c r="M3870"/>
      <c r="N3870"/>
      <c r="O3870"/>
    </row>
    <row r="3871" spans="1:15" hidden="1" x14ac:dyDescent="0.25">
      <c r="A3871" t="s">
        <v>86</v>
      </c>
      <c r="B3871" t="s">
        <v>115</v>
      </c>
      <c r="C3871" t="b">
        <v>0</v>
      </c>
      <c r="D3871" s="1">
        <v>41275</v>
      </c>
      <c r="E3871">
        <v>5</v>
      </c>
      <c r="F3871"/>
      <c r="G3871"/>
      <c r="H3871"/>
      <c r="I3871"/>
      <c r="J3871"/>
      <c r="K3871"/>
      <c r="L3871"/>
      <c r="M3871"/>
      <c r="N3871"/>
      <c r="O3871"/>
    </row>
    <row r="3872" spans="1:15" hidden="1" x14ac:dyDescent="0.25">
      <c r="A3872" t="s">
        <v>88</v>
      </c>
      <c r="B3872" t="s">
        <v>115</v>
      </c>
      <c r="C3872" t="b">
        <v>0</v>
      </c>
      <c r="D3872" s="1">
        <v>41275</v>
      </c>
      <c r="E3872">
        <v>5</v>
      </c>
      <c r="F3872"/>
      <c r="G3872"/>
      <c r="H3872"/>
      <c r="I3872"/>
      <c r="J3872"/>
      <c r="K3872"/>
      <c r="L3872"/>
      <c r="M3872"/>
      <c r="N3872"/>
      <c r="O3872"/>
    </row>
    <row r="3873" spans="1:15" hidden="1" x14ac:dyDescent="0.25">
      <c r="A3873" t="s">
        <v>95</v>
      </c>
      <c r="B3873" t="s">
        <v>115</v>
      </c>
      <c r="C3873" t="b">
        <v>0</v>
      </c>
      <c r="D3873" s="1">
        <v>41275</v>
      </c>
      <c r="E3873">
        <v>5</v>
      </c>
      <c r="F3873"/>
      <c r="G3873"/>
      <c r="H3873"/>
      <c r="I3873"/>
      <c r="J3873"/>
      <c r="K3873"/>
      <c r="L3873"/>
      <c r="M3873"/>
      <c r="N3873"/>
      <c r="O3873"/>
    </row>
    <row r="3874" spans="1:15" hidden="1" x14ac:dyDescent="0.25">
      <c r="A3874" t="s">
        <v>96</v>
      </c>
      <c r="B3874" t="s">
        <v>115</v>
      </c>
      <c r="C3874" t="b">
        <v>0</v>
      </c>
      <c r="D3874" s="1">
        <v>41275</v>
      </c>
      <c r="E3874">
        <v>5</v>
      </c>
      <c r="F3874"/>
      <c r="G3874"/>
      <c r="H3874"/>
      <c r="I3874"/>
      <c r="J3874"/>
      <c r="K3874"/>
      <c r="L3874"/>
      <c r="M3874"/>
      <c r="N3874"/>
      <c r="O3874"/>
    </row>
    <row r="3875" spans="1:15" hidden="1" x14ac:dyDescent="0.25">
      <c r="A3875" t="s">
        <v>99</v>
      </c>
      <c r="B3875" t="s">
        <v>114</v>
      </c>
      <c r="C3875" t="b">
        <v>0</v>
      </c>
      <c r="D3875" s="1">
        <v>41275</v>
      </c>
      <c r="E3875">
        <v>21.42</v>
      </c>
      <c r="F3875"/>
      <c r="G3875"/>
      <c r="H3875"/>
      <c r="I3875"/>
      <c r="J3875"/>
      <c r="K3875"/>
      <c r="L3875"/>
      <c r="M3875"/>
      <c r="N3875"/>
      <c r="O3875"/>
    </row>
    <row r="3876" spans="1:15" hidden="1" x14ac:dyDescent="0.25">
      <c r="A3876" t="s">
        <v>100</v>
      </c>
      <c r="B3876" t="s">
        <v>117</v>
      </c>
      <c r="C3876" t="b">
        <v>0</v>
      </c>
      <c r="D3876" s="1">
        <v>41306</v>
      </c>
      <c r="E3876" s="2">
        <v>-59.95</v>
      </c>
      <c r="F3876"/>
      <c r="G3876"/>
      <c r="H3876"/>
      <c r="I3876"/>
      <c r="J3876"/>
      <c r="K3876"/>
      <c r="L3876"/>
      <c r="M3876"/>
      <c r="N3876"/>
      <c r="O3876"/>
    </row>
    <row r="3877" spans="1:15" hidden="1" x14ac:dyDescent="0.25">
      <c r="A3877" t="s">
        <v>104</v>
      </c>
      <c r="B3877" t="s">
        <v>117</v>
      </c>
      <c r="C3877" t="b">
        <v>0</v>
      </c>
      <c r="D3877" s="1">
        <v>41306</v>
      </c>
      <c r="E3877" s="2">
        <v>-11.14</v>
      </c>
      <c r="F3877"/>
      <c r="G3877"/>
      <c r="H3877"/>
      <c r="I3877"/>
      <c r="J3877"/>
      <c r="K3877"/>
      <c r="L3877"/>
      <c r="M3877"/>
      <c r="N3877"/>
      <c r="O3877"/>
    </row>
    <row r="3878" spans="1:15" hidden="1" x14ac:dyDescent="0.25">
      <c r="A3878" t="s">
        <v>102</v>
      </c>
      <c r="B3878" t="s">
        <v>117</v>
      </c>
      <c r="C3878" t="b">
        <v>0</v>
      </c>
      <c r="D3878" s="1">
        <v>41306</v>
      </c>
      <c r="E3878" s="2">
        <v>-20.97</v>
      </c>
      <c r="F3878"/>
      <c r="G3878"/>
      <c r="H3878"/>
      <c r="I3878"/>
      <c r="J3878"/>
      <c r="K3878"/>
      <c r="L3878"/>
      <c r="M3878"/>
      <c r="N3878"/>
      <c r="O3878"/>
    </row>
    <row r="3879" spans="1:15" hidden="1" x14ac:dyDescent="0.25">
      <c r="A3879" t="s">
        <v>103</v>
      </c>
      <c r="B3879" t="s">
        <v>117</v>
      </c>
      <c r="C3879" t="b">
        <v>0</v>
      </c>
      <c r="D3879" s="1">
        <v>41306</v>
      </c>
      <c r="E3879" s="2">
        <v>-6</v>
      </c>
      <c r="F3879"/>
      <c r="G3879"/>
      <c r="H3879"/>
      <c r="I3879"/>
      <c r="J3879"/>
      <c r="K3879"/>
      <c r="L3879"/>
      <c r="M3879"/>
      <c r="N3879"/>
      <c r="O3879"/>
    </row>
    <row r="3880" spans="1:15" hidden="1" x14ac:dyDescent="0.25">
      <c r="A3880" t="s">
        <v>101</v>
      </c>
      <c r="B3880" t="s">
        <v>117</v>
      </c>
      <c r="C3880" t="b">
        <v>0</v>
      </c>
      <c r="D3880" s="1">
        <v>41306</v>
      </c>
      <c r="E3880" s="2">
        <v>-5</v>
      </c>
      <c r="F3880"/>
      <c r="G3880"/>
      <c r="H3880"/>
      <c r="I3880"/>
      <c r="J3880"/>
      <c r="K3880"/>
      <c r="L3880"/>
      <c r="M3880"/>
      <c r="N3880"/>
      <c r="O3880"/>
    </row>
    <row r="3881" spans="1:15" hidden="1" x14ac:dyDescent="0.25">
      <c r="A3881" t="s">
        <v>43</v>
      </c>
      <c r="B3881" t="s">
        <v>115</v>
      </c>
      <c r="C3881" t="b">
        <v>0</v>
      </c>
      <c r="D3881" s="1">
        <v>41306</v>
      </c>
      <c r="E3881">
        <v>5</v>
      </c>
      <c r="F3881"/>
      <c r="G3881"/>
      <c r="H3881"/>
      <c r="I3881"/>
      <c r="J3881"/>
      <c r="K3881"/>
      <c r="L3881"/>
      <c r="M3881"/>
      <c r="N3881"/>
      <c r="O3881"/>
    </row>
    <row r="3882" spans="1:15" hidden="1" x14ac:dyDescent="0.25">
      <c r="A3882" t="s">
        <v>44</v>
      </c>
      <c r="B3882" t="s">
        <v>115</v>
      </c>
      <c r="C3882" t="b">
        <v>0</v>
      </c>
      <c r="D3882" s="1">
        <v>41306</v>
      </c>
      <c r="E3882">
        <v>5</v>
      </c>
      <c r="F3882"/>
      <c r="G3882"/>
      <c r="H3882"/>
      <c r="I3882"/>
      <c r="J3882"/>
      <c r="K3882"/>
      <c r="L3882"/>
      <c r="M3882"/>
      <c r="N3882"/>
      <c r="O3882"/>
    </row>
    <row r="3883" spans="1:15" hidden="1" x14ac:dyDescent="0.25">
      <c r="A3883" t="s">
        <v>45</v>
      </c>
      <c r="B3883" t="s">
        <v>115</v>
      </c>
      <c r="C3883" t="b">
        <v>0</v>
      </c>
      <c r="D3883" s="1">
        <v>41306</v>
      </c>
      <c r="E3883">
        <v>5</v>
      </c>
      <c r="F3883"/>
      <c r="G3883"/>
      <c r="H3883"/>
      <c r="I3883"/>
      <c r="J3883"/>
      <c r="K3883"/>
      <c r="L3883"/>
      <c r="M3883"/>
      <c r="N3883"/>
      <c r="O3883"/>
    </row>
    <row r="3884" spans="1:15" hidden="1" x14ac:dyDescent="0.25">
      <c r="A3884" t="s">
        <v>46</v>
      </c>
      <c r="B3884" t="s">
        <v>115</v>
      </c>
      <c r="C3884" t="b">
        <v>0</v>
      </c>
      <c r="D3884" s="1">
        <v>41306</v>
      </c>
      <c r="E3884">
        <v>5</v>
      </c>
      <c r="F3884"/>
      <c r="G3884"/>
      <c r="H3884"/>
      <c r="I3884"/>
      <c r="J3884"/>
      <c r="K3884"/>
      <c r="L3884"/>
      <c r="M3884"/>
      <c r="N3884"/>
      <c r="O3884"/>
    </row>
    <row r="3885" spans="1:15" hidden="1" x14ac:dyDescent="0.25">
      <c r="A3885" t="s">
        <v>50</v>
      </c>
      <c r="B3885" t="s">
        <v>115</v>
      </c>
      <c r="C3885" t="b">
        <v>0</v>
      </c>
      <c r="D3885" s="1">
        <v>41306</v>
      </c>
      <c r="E3885">
        <v>5</v>
      </c>
      <c r="F3885"/>
      <c r="G3885"/>
      <c r="H3885"/>
      <c r="I3885"/>
      <c r="J3885"/>
      <c r="K3885"/>
      <c r="L3885"/>
      <c r="M3885"/>
      <c r="N3885"/>
      <c r="O3885"/>
    </row>
    <row r="3886" spans="1:15" hidden="1" x14ac:dyDescent="0.25">
      <c r="A3886" t="s">
        <v>55</v>
      </c>
      <c r="B3886" t="s">
        <v>115</v>
      </c>
      <c r="C3886" t="b">
        <v>0</v>
      </c>
      <c r="D3886" s="1">
        <v>41306</v>
      </c>
      <c r="E3886">
        <v>5</v>
      </c>
      <c r="F3886"/>
      <c r="G3886"/>
      <c r="H3886"/>
      <c r="I3886"/>
      <c r="J3886"/>
      <c r="K3886"/>
      <c r="L3886"/>
      <c r="M3886"/>
      <c r="N3886"/>
      <c r="O3886"/>
    </row>
    <row r="3887" spans="1:15" hidden="1" x14ac:dyDescent="0.25">
      <c r="A3887" t="s">
        <v>68</v>
      </c>
      <c r="B3887" t="s">
        <v>115</v>
      </c>
      <c r="C3887" t="b">
        <v>0</v>
      </c>
      <c r="D3887" s="1">
        <v>41306</v>
      </c>
      <c r="E3887">
        <v>5</v>
      </c>
      <c r="F3887"/>
      <c r="G3887"/>
      <c r="H3887"/>
      <c r="I3887"/>
      <c r="J3887"/>
      <c r="K3887"/>
      <c r="L3887"/>
      <c r="M3887"/>
      <c r="N3887"/>
      <c r="O3887"/>
    </row>
    <row r="3888" spans="1:15" hidden="1" x14ac:dyDescent="0.25">
      <c r="A3888" t="s">
        <v>69</v>
      </c>
      <c r="B3888" t="s">
        <v>115</v>
      </c>
      <c r="C3888" t="b">
        <v>0</v>
      </c>
      <c r="D3888" s="1">
        <v>41306</v>
      </c>
      <c r="E3888">
        <v>5</v>
      </c>
      <c r="F3888"/>
      <c r="G3888"/>
      <c r="H3888"/>
      <c r="I3888"/>
      <c r="J3888"/>
      <c r="K3888"/>
      <c r="L3888"/>
      <c r="M3888"/>
      <c r="N3888"/>
      <c r="O3888"/>
    </row>
    <row r="3889" spans="1:15" hidden="1" x14ac:dyDescent="0.25">
      <c r="A3889" t="s">
        <v>76</v>
      </c>
      <c r="B3889" t="s">
        <v>115</v>
      </c>
      <c r="C3889" t="b">
        <v>0</v>
      </c>
      <c r="D3889" s="1">
        <v>41306</v>
      </c>
      <c r="E3889">
        <v>1E-3</v>
      </c>
      <c r="F3889"/>
      <c r="G3889"/>
      <c r="H3889"/>
      <c r="I3889"/>
      <c r="J3889"/>
      <c r="K3889"/>
      <c r="L3889"/>
      <c r="M3889"/>
      <c r="N3889"/>
      <c r="O3889"/>
    </row>
    <row r="3890" spans="1:15" hidden="1" x14ac:dyDescent="0.25">
      <c r="A3890" t="s">
        <v>80</v>
      </c>
      <c r="B3890" t="s">
        <v>115</v>
      </c>
      <c r="C3890" t="b">
        <v>0</v>
      </c>
      <c r="D3890" s="1">
        <v>41306</v>
      </c>
      <c r="E3890">
        <v>5</v>
      </c>
      <c r="F3890"/>
      <c r="G3890"/>
      <c r="H3890"/>
      <c r="I3890"/>
      <c r="J3890"/>
      <c r="K3890"/>
      <c r="L3890"/>
      <c r="M3890"/>
      <c r="N3890"/>
      <c r="O3890"/>
    </row>
    <row r="3891" spans="1:15" hidden="1" x14ac:dyDescent="0.25">
      <c r="A3891" t="s">
        <v>84</v>
      </c>
      <c r="B3891" t="s">
        <v>115</v>
      </c>
      <c r="C3891" t="b">
        <v>0</v>
      </c>
      <c r="D3891" s="1">
        <v>41306</v>
      </c>
      <c r="E3891">
        <v>5</v>
      </c>
      <c r="F3891"/>
      <c r="G3891"/>
      <c r="H3891"/>
      <c r="I3891"/>
      <c r="J3891"/>
      <c r="K3891"/>
      <c r="L3891"/>
      <c r="M3891"/>
      <c r="N3891"/>
      <c r="O3891"/>
    </row>
    <row r="3892" spans="1:15" hidden="1" x14ac:dyDescent="0.25">
      <c r="A3892" t="s">
        <v>86</v>
      </c>
      <c r="B3892" t="s">
        <v>115</v>
      </c>
      <c r="C3892" t="b">
        <v>0</v>
      </c>
      <c r="D3892" s="1">
        <v>41306</v>
      </c>
      <c r="E3892">
        <v>5</v>
      </c>
      <c r="F3892"/>
      <c r="G3892"/>
      <c r="H3892"/>
      <c r="I3892"/>
      <c r="J3892"/>
      <c r="K3892"/>
      <c r="L3892"/>
      <c r="M3892"/>
      <c r="N3892"/>
      <c r="O3892"/>
    </row>
    <row r="3893" spans="1:15" hidden="1" x14ac:dyDescent="0.25">
      <c r="A3893" t="s">
        <v>88</v>
      </c>
      <c r="B3893" t="s">
        <v>115</v>
      </c>
      <c r="C3893" t="b">
        <v>0</v>
      </c>
      <c r="D3893" s="1">
        <v>41306</v>
      </c>
      <c r="E3893">
        <v>5</v>
      </c>
      <c r="F3893"/>
      <c r="G3893"/>
      <c r="H3893"/>
      <c r="I3893"/>
      <c r="J3893"/>
      <c r="K3893"/>
      <c r="L3893"/>
      <c r="M3893"/>
      <c r="N3893"/>
      <c r="O3893"/>
    </row>
    <row r="3894" spans="1:15" hidden="1" x14ac:dyDescent="0.25">
      <c r="A3894" t="s">
        <v>95</v>
      </c>
      <c r="B3894" t="s">
        <v>115</v>
      </c>
      <c r="C3894" t="b">
        <v>0</v>
      </c>
      <c r="D3894" s="1">
        <v>41306</v>
      </c>
      <c r="E3894">
        <v>5</v>
      </c>
      <c r="F3894"/>
      <c r="G3894"/>
      <c r="H3894"/>
      <c r="I3894"/>
      <c r="J3894"/>
      <c r="K3894"/>
      <c r="L3894"/>
      <c r="M3894"/>
      <c r="N3894"/>
      <c r="O3894"/>
    </row>
    <row r="3895" spans="1:15" hidden="1" x14ac:dyDescent="0.25">
      <c r="A3895" t="s">
        <v>96</v>
      </c>
      <c r="B3895" t="s">
        <v>115</v>
      </c>
      <c r="C3895" t="b">
        <v>0</v>
      </c>
      <c r="D3895" s="1">
        <v>41306</v>
      </c>
      <c r="E3895">
        <v>5</v>
      </c>
      <c r="F3895"/>
      <c r="G3895"/>
      <c r="H3895"/>
      <c r="I3895"/>
      <c r="J3895"/>
      <c r="K3895"/>
      <c r="L3895"/>
      <c r="M3895"/>
      <c r="N3895"/>
      <c r="O3895"/>
    </row>
    <row r="3896" spans="1:15" hidden="1" x14ac:dyDescent="0.25">
      <c r="A3896" t="s">
        <v>98</v>
      </c>
      <c r="B3896" t="s">
        <v>115</v>
      </c>
      <c r="C3896" t="b">
        <v>0</v>
      </c>
      <c r="D3896" s="1">
        <v>41306</v>
      </c>
      <c r="E3896">
        <v>5</v>
      </c>
      <c r="F3896"/>
      <c r="G3896"/>
      <c r="H3896"/>
      <c r="I3896"/>
      <c r="J3896"/>
      <c r="K3896"/>
      <c r="L3896"/>
      <c r="M3896"/>
      <c r="N3896"/>
      <c r="O3896"/>
    </row>
    <row r="3897" spans="1:15" hidden="1" x14ac:dyDescent="0.25">
      <c r="A3897" t="s">
        <v>99</v>
      </c>
      <c r="B3897" t="s">
        <v>114</v>
      </c>
      <c r="C3897" t="b">
        <v>0</v>
      </c>
      <c r="D3897" s="1">
        <v>41306</v>
      </c>
      <c r="E3897">
        <v>31.909999999999997</v>
      </c>
      <c r="F3897"/>
      <c r="G3897"/>
      <c r="H3897"/>
      <c r="I3897"/>
      <c r="J3897"/>
      <c r="K3897"/>
      <c r="L3897"/>
      <c r="M3897"/>
      <c r="N3897"/>
      <c r="O3897"/>
    </row>
    <row r="3898" spans="1:15" hidden="1" x14ac:dyDescent="0.25">
      <c r="A3898" t="s">
        <v>100</v>
      </c>
      <c r="B3898" t="s">
        <v>117</v>
      </c>
      <c r="C3898" t="b">
        <v>0</v>
      </c>
      <c r="D3898" s="1">
        <v>41334</v>
      </c>
      <c r="E3898" s="2">
        <v>-45.96</v>
      </c>
      <c r="F3898"/>
      <c r="G3898"/>
      <c r="H3898"/>
      <c r="I3898"/>
      <c r="J3898"/>
      <c r="K3898"/>
      <c r="L3898"/>
      <c r="M3898"/>
      <c r="N3898"/>
      <c r="O3898"/>
    </row>
    <row r="3899" spans="1:15" hidden="1" x14ac:dyDescent="0.25">
      <c r="A3899" t="s">
        <v>102</v>
      </c>
      <c r="B3899" t="s">
        <v>117</v>
      </c>
      <c r="C3899" t="b">
        <v>0</v>
      </c>
      <c r="D3899" s="1">
        <v>41334</v>
      </c>
      <c r="E3899" s="2">
        <v>-20.170000000000002</v>
      </c>
      <c r="F3899"/>
      <c r="G3899"/>
      <c r="H3899"/>
      <c r="I3899"/>
      <c r="J3899"/>
      <c r="K3899"/>
      <c r="L3899"/>
      <c r="M3899"/>
      <c r="N3899"/>
      <c r="O3899"/>
    </row>
    <row r="3900" spans="1:15" hidden="1" x14ac:dyDescent="0.25">
      <c r="A3900" t="s">
        <v>103</v>
      </c>
      <c r="B3900" t="s">
        <v>117</v>
      </c>
      <c r="C3900" t="b">
        <v>0</v>
      </c>
      <c r="D3900" s="1">
        <v>41334</v>
      </c>
      <c r="E3900" s="2">
        <v>-2.4900000000000002</v>
      </c>
      <c r="F3900"/>
      <c r="G3900"/>
      <c r="H3900"/>
      <c r="I3900"/>
      <c r="J3900"/>
      <c r="K3900"/>
      <c r="L3900"/>
      <c r="M3900"/>
      <c r="N3900"/>
      <c r="O3900"/>
    </row>
    <row r="3901" spans="1:15" hidden="1" x14ac:dyDescent="0.25">
      <c r="A3901" t="s">
        <v>101</v>
      </c>
      <c r="B3901" t="s">
        <v>117</v>
      </c>
      <c r="C3901" t="b">
        <v>0</v>
      </c>
      <c r="D3901" s="1">
        <v>41334</v>
      </c>
      <c r="E3901" s="2">
        <v>-5</v>
      </c>
      <c r="F3901"/>
      <c r="G3901"/>
      <c r="H3901"/>
      <c r="I3901"/>
      <c r="J3901"/>
      <c r="K3901"/>
      <c r="L3901"/>
      <c r="M3901"/>
      <c r="N3901"/>
      <c r="O3901"/>
    </row>
    <row r="3902" spans="1:15" hidden="1" x14ac:dyDescent="0.25">
      <c r="A3902" t="s">
        <v>43</v>
      </c>
      <c r="B3902" t="s">
        <v>115</v>
      </c>
      <c r="C3902" t="b">
        <v>0</v>
      </c>
      <c r="D3902" s="1">
        <v>41334</v>
      </c>
      <c r="E3902">
        <v>5</v>
      </c>
      <c r="F3902"/>
      <c r="G3902"/>
      <c r="H3902"/>
      <c r="I3902"/>
      <c r="J3902"/>
      <c r="K3902"/>
      <c r="L3902"/>
      <c r="M3902"/>
      <c r="N3902"/>
      <c r="O3902"/>
    </row>
    <row r="3903" spans="1:15" hidden="1" x14ac:dyDescent="0.25">
      <c r="A3903" t="s">
        <v>44</v>
      </c>
      <c r="B3903" t="s">
        <v>115</v>
      </c>
      <c r="C3903" t="b">
        <v>0</v>
      </c>
      <c r="D3903" s="1">
        <v>41334</v>
      </c>
      <c r="E3903">
        <v>5</v>
      </c>
      <c r="F3903"/>
      <c r="G3903"/>
      <c r="H3903"/>
      <c r="I3903"/>
      <c r="J3903"/>
      <c r="K3903"/>
      <c r="L3903"/>
      <c r="M3903"/>
      <c r="N3903"/>
      <c r="O3903"/>
    </row>
    <row r="3904" spans="1:15" hidden="1" x14ac:dyDescent="0.25">
      <c r="A3904" t="s">
        <v>46</v>
      </c>
      <c r="B3904" t="s">
        <v>115</v>
      </c>
      <c r="C3904" t="b">
        <v>0</v>
      </c>
      <c r="D3904" s="1">
        <v>41334</v>
      </c>
      <c r="E3904">
        <v>5</v>
      </c>
      <c r="F3904"/>
      <c r="G3904"/>
      <c r="H3904"/>
      <c r="I3904"/>
      <c r="J3904"/>
      <c r="K3904"/>
      <c r="L3904"/>
      <c r="M3904"/>
      <c r="N3904"/>
      <c r="O3904"/>
    </row>
    <row r="3905" spans="1:15" hidden="1" x14ac:dyDescent="0.25">
      <c r="A3905" t="s">
        <v>50</v>
      </c>
      <c r="B3905" t="s">
        <v>115</v>
      </c>
      <c r="C3905" t="b">
        <v>0</v>
      </c>
      <c r="D3905" s="1">
        <v>41334</v>
      </c>
      <c r="E3905">
        <v>5</v>
      </c>
      <c r="F3905"/>
      <c r="G3905"/>
      <c r="H3905"/>
      <c r="I3905"/>
      <c r="J3905"/>
      <c r="K3905"/>
      <c r="L3905"/>
      <c r="M3905"/>
      <c r="N3905"/>
      <c r="O3905"/>
    </row>
    <row r="3906" spans="1:15" hidden="1" x14ac:dyDescent="0.25">
      <c r="A3906" t="s">
        <v>55</v>
      </c>
      <c r="B3906" t="s">
        <v>115</v>
      </c>
      <c r="C3906" t="b">
        <v>0</v>
      </c>
      <c r="D3906" s="1">
        <v>41334</v>
      </c>
      <c r="E3906">
        <v>5</v>
      </c>
      <c r="F3906"/>
      <c r="G3906"/>
      <c r="H3906"/>
      <c r="I3906"/>
      <c r="J3906"/>
      <c r="K3906"/>
      <c r="L3906"/>
      <c r="M3906"/>
      <c r="N3906"/>
      <c r="O3906"/>
    </row>
    <row r="3907" spans="1:15" hidden="1" x14ac:dyDescent="0.25">
      <c r="A3907" t="s">
        <v>59</v>
      </c>
      <c r="B3907" t="s">
        <v>115</v>
      </c>
      <c r="C3907" t="b">
        <v>0</v>
      </c>
      <c r="D3907" s="1">
        <v>41334</v>
      </c>
      <c r="E3907">
        <v>5</v>
      </c>
      <c r="F3907"/>
      <c r="G3907"/>
      <c r="H3907"/>
      <c r="I3907"/>
      <c r="J3907"/>
      <c r="K3907"/>
      <c r="L3907"/>
      <c r="M3907"/>
      <c r="N3907"/>
      <c r="O3907"/>
    </row>
    <row r="3908" spans="1:15" hidden="1" x14ac:dyDescent="0.25">
      <c r="A3908" t="s">
        <v>68</v>
      </c>
      <c r="B3908" t="s">
        <v>115</v>
      </c>
      <c r="C3908" t="b">
        <v>0</v>
      </c>
      <c r="D3908" s="1">
        <v>41334</v>
      </c>
      <c r="E3908">
        <v>5</v>
      </c>
      <c r="F3908"/>
      <c r="G3908"/>
      <c r="H3908"/>
      <c r="I3908"/>
      <c r="J3908"/>
      <c r="K3908"/>
      <c r="L3908"/>
      <c r="M3908"/>
      <c r="N3908"/>
      <c r="O3908"/>
    </row>
    <row r="3909" spans="1:15" hidden="1" x14ac:dyDescent="0.25">
      <c r="A3909" t="s">
        <v>69</v>
      </c>
      <c r="B3909" t="s">
        <v>115</v>
      </c>
      <c r="C3909" t="b">
        <v>0</v>
      </c>
      <c r="D3909" s="1">
        <v>41334</v>
      </c>
      <c r="E3909">
        <v>5</v>
      </c>
      <c r="F3909"/>
      <c r="G3909"/>
      <c r="H3909"/>
      <c r="I3909"/>
      <c r="J3909"/>
      <c r="K3909"/>
      <c r="L3909"/>
      <c r="M3909"/>
      <c r="N3909"/>
      <c r="O3909"/>
    </row>
    <row r="3910" spans="1:15" hidden="1" x14ac:dyDescent="0.25">
      <c r="A3910" t="s">
        <v>76</v>
      </c>
      <c r="B3910" t="s">
        <v>115</v>
      </c>
      <c r="C3910" t="b">
        <v>0</v>
      </c>
      <c r="D3910" s="1">
        <v>41334</v>
      </c>
      <c r="E3910">
        <v>1E-3</v>
      </c>
      <c r="F3910"/>
      <c r="G3910"/>
      <c r="H3910"/>
      <c r="I3910"/>
      <c r="J3910"/>
      <c r="K3910"/>
      <c r="L3910"/>
      <c r="M3910"/>
      <c r="N3910"/>
      <c r="O3910"/>
    </row>
    <row r="3911" spans="1:15" hidden="1" x14ac:dyDescent="0.25">
      <c r="A3911" t="s">
        <v>80</v>
      </c>
      <c r="B3911" t="s">
        <v>115</v>
      </c>
      <c r="C3911" t="b">
        <v>0</v>
      </c>
      <c r="D3911" s="1">
        <v>41334</v>
      </c>
      <c r="E3911">
        <v>5</v>
      </c>
      <c r="F3911"/>
      <c r="G3911"/>
      <c r="H3911"/>
      <c r="I3911"/>
      <c r="J3911"/>
      <c r="K3911"/>
      <c r="L3911"/>
      <c r="M3911"/>
      <c r="N3911"/>
      <c r="O3911"/>
    </row>
    <row r="3912" spans="1:15" hidden="1" x14ac:dyDescent="0.25">
      <c r="A3912" t="s">
        <v>84</v>
      </c>
      <c r="B3912" t="s">
        <v>115</v>
      </c>
      <c r="C3912" t="b">
        <v>0</v>
      </c>
      <c r="D3912" s="1">
        <v>41334</v>
      </c>
      <c r="E3912">
        <v>5</v>
      </c>
      <c r="F3912"/>
      <c r="G3912"/>
      <c r="H3912"/>
      <c r="I3912"/>
      <c r="J3912"/>
      <c r="K3912"/>
      <c r="L3912"/>
      <c r="M3912"/>
      <c r="N3912"/>
      <c r="O3912"/>
    </row>
    <row r="3913" spans="1:15" hidden="1" x14ac:dyDescent="0.25">
      <c r="A3913" t="s">
        <v>86</v>
      </c>
      <c r="B3913" t="s">
        <v>115</v>
      </c>
      <c r="C3913" t="b">
        <v>0</v>
      </c>
      <c r="D3913" s="1">
        <v>41334</v>
      </c>
      <c r="E3913">
        <v>5</v>
      </c>
      <c r="F3913"/>
      <c r="G3913"/>
      <c r="H3913"/>
      <c r="I3913"/>
      <c r="J3913"/>
      <c r="K3913"/>
      <c r="L3913"/>
      <c r="M3913"/>
      <c r="N3913"/>
      <c r="O3913"/>
    </row>
    <row r="3914" spans="1:15" hidden="1" x14ac:dyDescent="0.25">
      <c r="A3914" t="s">
        <v>88</v>
      </c>
      <c r="B3914" t="s">
        <v>115</v>
      </c>
      <c r="C3914" t="b">
        <v>0</v>
      </c>
      <c r="D3914" s="1">
        <v>41334</v>
      </c>
      <c r="E3914">
        <v>5</v>
      </c>
      <c r="F3914"/>
      <c r="G3914"/>
      <c r="H3914"/>
      <c r="I3914"/>
      <c r="J3914"/>
      <c r="K3914"/>
      <c r="L3914"/>
      <c r="M3914"/>
      <c r="N3914"/>
      <c r="O3914"/>
    </row>
    <row r="3915" spans="1:15" hidden="1" x14ac:dyDescent="0.25">
      <c r="A3915" t="s">
        <v>95</v>
      </c>
      <c r="B3915" t="s">
        <v>115</v>
      </c>
      <c r="C3915" t="b">
        <v>0</v>
      </c>
      <c r="D3915" s="1">
        <v>41334</v>
      </c>
      <c r="E3915">
        <v>5</v>
      </c>
      <c r="F3915"/>
      <c r="G3915"/>
      <c r="H3915"/>
      <c r="I3915"/>
      <c r="J3915"/>
      <c r="K3915"/>
      <c r="L3915"/>
      <c r="M3915"/>
      <c r="N3915"/>
      <c r="O3915"/>
    </row>
    <row r="3916" spans="1:15" hidden="1" x14ac:dyDescent="0.25">
      <c r="A3916" t="s">
        <v>96</v>
      </c>
      <c r="B3916" t="s">
        <v>115</v>
      </c>
      <c r="C3916" t="b">
        <v>0</v>
      </c>
      <c r="D3916" s="1">
        <v>41334</v>
      </c>
      <c r="E3916">
        <v>5</v>
      </c>
      <c r="F3916"/>
      <c r="G3916"/>
      <c r="H3916"/>
      <c r="I3916"/>
      <c r="J3916"/>
      <c r="K3916"/>
      <c r="L3916"/>
      <c r="M3916"/>
      <c r="N3916"/>
      <c r="O3916"/>
    </row>
    <row r="3917" spans="1:15" hidden="1" x14ac:dyDescent="0.25">
      <c r="A3917" t="s">
        <v>98</v>
      </c>
      <c r="B3917" t="s">
        <v>115</v>
      </c>
      <c r="C3917" t="b">
        <v>0</v>
      </c>
      <c r="D3917" s="1">
        <v>41334</v>
      </c>
      <c r="E3917">
        <v>5</v>
      </c>
      <c r="F3917"/>
      <c r="G3917"/>
      <c r="H3917"/>
      <c r="I3917"/>
      <c r="J3917"/>
      <c r="K3917"/>
      <c r="L3917"/>
      <c r="M3917"/>
      <c r="N3917"/>
      <c r="O3917"/>
    </row>
    <row r="3918" spans="1:15" hidden="1" x14ac:dyDescent="0.25">
      <c r="A3918" t="s">
        <v>99</v>
      </c>
      <c r="B3918" t="s">
        <v>114</v>
      </c>
      <c r="C3918" t="b">
        <v>0</v>
      </c>
      <c r="D3918" s="1">
        <v>41334</v>
      </c>
      <c r="E3918">
        <v>19.309999999999999</v>
      </c>
      <c r="F3918"/>
      <c r="G3918"/>
      <c r="H3918"/>
      <c r="I3918"/>
      <c r="J3918"/>
      <c r="K3918"/>
      <c r="L3918"/>
      <c r="M3918"/>
      <c r="N3918"/>
      <c r="O3918"/>
    </row>
    <row r="3919" spans="1:15" hidden="1" x14ac:dyDescent="0.25">
      <c r="A3919" t="s">
        <v>100</v>
      </c>
      <c r="B3919" t="s">
        <v>117</v>
      </c>
      <c r="C3919" t="b">
        <v>0</v>
      </c>
      <c r="D3919" s="1">
        <v>41365</v>
      </c>
      <c r="E3919" s="2">
        <v>-57.45</v>
      </c>
      <c r="F3919"/>
      <c r="G3919"/>
      <c r="H3919"/>
      <c r="I3919"/>
      <c r="J3919"/>
      <c r="K3919"/>
      <c r="L3919"/>
      <c r="M3919"/>
      <c r="N3919"/>
      <c r="O3919"/>
    </row>
    <row r="3920" spans="1:15" hidden="1" x14ac:dyDescent="0.25">
      <c r="A3920" t="s">
        <v>104</v>
      </c>
      <c r="B3920" t="s">
        <v>117</v>
      </c>
      <c r="C3920" t="b">
        <v>0</v>
      </c>
      <c r="D3920" s="1">
        <v>41365</v>
      </c>
      <c r="E3920" s="2">
        <v>-2.5</v>
      </c>
      <c r="F3920"/>
      <c r="G3920"/>
      <c r="H3920"/>
      <c r="I3920"/>
      <c r="J3920"/>
      <c r="K3920"/>
      <c r="L3920"/>
      <c r="M3920"/>
      <c r="N3920"/>
      <c r="O3920"/>
    </row>
    <row r="3921" spans="1:15" hidden="1" x14ac:dyDescent="0.25">
      <c r="A3921" t="s">
        <v>102</v>
      </c>
      <c r="B3921" t="s">
        <v>117</v>
      </c>
      <c r="C3921" t="b">
        <v>0</v>
      </c>
      <c r="D3921" s="1">
        <v>41365</v>
      </c>
      <c r="E3921" s="2">
        <v>-18.87</v>
      </c>
      <c r="F3921"/>
      <c r="G3921"/>
      <c r="H3921"/>
      <c r="I3921"/>
      <c r="J3921"/>
      <c r="K3921"/>
      <c r="L3921"/>
      <c r="M3921"/>
      <c r="N3921"/>
      <c r="O3921"/>
    </row>
    <row r="3922" spans="1:15" hidden="1" x14ac:dyDescent="0.25">
      <c r="A3922" t="s">
        <v>103</v>
      </c>
      <c r="B3922" t="s">
        <v>117</v>
      </c>
      <c r="C3922" t="b">
        <v>0</v>
      </c>
      <c r="D3922" s="1">
        <v>41365</v>
      </c>
      <c r="E3922" s="2">
        <v>-25</v>
      </c>
      <c r="F3922"/>
      <c r="G3922"/>
      <c r="H3922"/>
      <c r="I3922"/>
      <c r="J3922"/>
      <c r="K3922"/>
      <c r="L3922"/>
      <c r="M3922"/>
      <c r="N3922"/>
      <c r="O3922"/>
    </row>
    <row r="3923" spans="1:15" hidden="1" x14ac:dyDescent="0.25">
      <c r="A3923" t="s">
        <v>43</v>
      </c>
      <c r="B3923" t="s">
        <v>115</v>
      </c>
      <c r="C3923" t="b">
        <v>0</v>
      </c>
      <c r="D3923" s="1">
        <v>41365</v>
      </c>
      <c r="E3923">
        <v>5</v>
      </c>
      <c r="F3923"/>
      <c r="G3923"/>
      <c r="H3923"/>
      <c r="I3923"/>
      <c r="J3923"/>
      <c r="K3923"/>
      <c r="L3923"/>
      <c r="M3923"/>
      <c r="N3923"/>
      <c r="O3923"/>
    </row>
    <row r="3924" spans="1:15" hidden="1" x14ac:dyDescent="0.25">
      <c r="A3924" t="s">
        <v>44</v>
      </c>
      <c r="B3924" t="s">
        <v>115</v>
      </c>
      <c r="C3924" t="b">
        <v>0</v>
      </c>
      <c r="D3924" s="1">
        <v>41365</v>
      </c>
      <c r="E3924">
        <v>5</v>
      </c>
      <c r="F3924"/>
      <c r="G3924"/>
      <c r="H3924"/>
      <c r="I3924"/>
      <c r="J3924"/>
      <c r="K3924"/>
      <c r="L3924"/>
      <c r="M3924"/>
      <c r="N3924"/>
      <c r="O3924"/>
    </row>
    <row r="3925" spans="1:15" hidden="1" x14ac:dyDescent="0.25">
      <c r="A3925" t="s">
        <v>45</v>
      </c>
      <c r="B3925" t="s">
        <v>115</v>
      </c>
      <c r="C3925" t="b">
        <v>0</v>
      </c>
      <c r="D3925" s="1">
        <v>41365</v>
      </c>
      <c r="E3925">
        <v>5</v>
      </c>
      <c r="F3925"/>
      <c r="G3925"/>
      <c r="H3925"/>
      <c r="I3925"/>
      <c r="J3925"/>
      <c r="K3925"/>
      <c r="L3925"/>
      <c r="M3925"/>
      <c r="N3925"/>
      <c r="O3925"/>
    </row>
    <row r="3926" spans="1:15" hidden="1" x14ac:dyDescent="0.25">
      <c r="A3926" t="s">
        <v>46</v>
      </c>
      <c r="B3926" t="s">
        <v>115</v>
      </c>
      <c r="C3926" t="b">
        <v>0</v>
      </c>
      <c r="D3926" s="1">
        <v>41365</v>
      </c>
      <c r="E3926">
        <v>5</v>
      </c>
      <c r="F3926"/>
      <c r="G3926"/>
      <c r="H3926"/>
      <c r="I3926"/>
      <c r="J3926"/>
      <c r="K3926"/>
      <c r="L3926"/>
      <c r="M3926"/>
      <c r="N3926"/>
      <c r="O3926"/>
    </row>
    <row r="3927" spans="1:15" hidden="1" x14ac:dyDescent="0.25">
      <c r="A3927" t="s">
        <v>50</v>
      </c>
      <c r="B3927" t="s">
        <v>115</v>
      </c>
      <c r="C3927" t="b">
        <v>0</v>
      </c>
      <c r="D3927" s="1">
        <v>41365</v>
      </c>
      <c r="E3927">
        <v>5</v>
      </c>
      <c r="F3927"/>
      <c r="G3927"/>
      <c r="H3927"/>
      <c r="I3927"/>
      <c r="J3927"/>
      <c r="K3927"/>
      <c r="L3927"/>
      <c r="M3927"/>
      <c r="N3927"/>
      <c r="O3927"/>
    </row>
    <row r="3928" spans="1:15" hidden="1" x14ac:dyDescent="0.25">
      <c r="A3928" t="s">
        <v>54</v>
      </c>
      <c r="B3928" t="s">
        <v>115</v>
      </c>
      <c r="C3928" t="b">
        <v>0</v>
      </c>
      <c r="D3928" s="1">
        <v>41365</v>
      </c>
      <c r="E3928">
        <v>5</v>
      </c>
      <c r="F3928"/>
      <c r="G3928"/>
      <c r="H3928"/>
      <c r="I3928"/>
      <c r="J3928"/>
      <c r="K3928"/>
      <c r="L3928"/>
      <c r="M3928"/>
      <c r="N3928"/>
      <c r="O3928"/>
    </row>
    <row r="3929" spans="1:15" hidden="1" x14ac:dyDescent="0.25">
      <c r="A3929" t="s">
        <v>55</v>
      </c>
      <c r="B3929" t="s">
        <v>115</v>
      </c>
      <c r="C3929" t="b">
        <v>0</v>
      </c>
      <c r="D3929" s="1">
        <v>41365</v>
      </c>
      <c r="E3929">
        <v>5</v>
      </c>
      <c r="F3929"/>
      <c r="G3929"/>
      <c r="H3929"/>
      <c r="I3929"/>
      <c r="J3929"/>
      <c r="K3929"/>
      <c r="L3929"/>
      <c r="M3929"/>
      <c r="N3929"/>
      <c r="O3929"/>
    </row>
    <row r="3930" spans="1:15" hidden="1" x14ac:dyDescent="0.25">
      <c r="A3930" t="s">
        <v>59</v>
      </c>
      <c r="B3930" t="s">
        <v>115</v>
      </c>
      <c r="C3930" t="b">
        <v>0</v>
      </c>
      <c r="D3930" s="1">
        <v>41365</v>
      </c>
      <c r="E3930">
        <v>5</v>
      </c>
      <c r="F3930"/>
      <c r="G3930"/>
      <c r="H3930"/>
      <c r="I3930"/>
      <c r="J3930"/>
      <c r="K3930"/>
      <c r="L3930"/>
      <c r="M3930"/>
      <c r="N3930"/>
      <c r="O3930"/>
    </row>
    <row r="3931" spans="1:15" hidden="1" x14ac:dyDescent="0.25">
      <c r="A3931" t="s">
        <v>68</v>
      </c>
      <c r="B3931" t="s">
        <v>115</v>
      </c>
      <c r="C3931" t="b">
        <v>0</v>
      </c>
      <c r="D3931" s="1">
        <v>41365</v>
      </c>
      <c r="E3931">
        <v>5</v>
      </c>
      <c r="F3931"/>
      <c r="G3931"/>
      <c r="H3931"/>
      <c r="I3931"/>
      <c r="J3931"/>
      <c r="K3931"/>
      <c r="L3931"/>
      <c r="M3931"/>
      <c r="N3931"/>
      <c r="O3931"/>
    </row>
    <row r="3932" spans="1:15" hidden="1" x14ac:dyDescent="0.25">
      <c r="A3932" t="s">
        <v>69</v>
      </c>
      <c r="B3932" t="s">
        <v>115</v>
      </c>
      <c r="C3932" t="b">
        <v>0</v>
      </c>
      <c r="D3932" s="1">
        <v>41365</v>
      </c>
      <c r="E3932">
        <v>5</v>
      </c>
      <c r="F3932"/>
      <c r="G3932"/>
      <c r="H3932"/>
      <c r="I3932"/>
      <c r="J3932"/>
      <c r="K3932"/>
      <c r="L3932"/>
      <c r="M3932"/>
      <c r="N3932"/>
      <c r="O3932"/>
    </row>
    <row r="3933" spans="1:15" hidden="1" x14ac:dyDescent="0.25">
      <c r="A3933" t="s">
        <v>76</v>
      </c>
      <c r="B3933" t="s">
        <v>115</v>
      </c>
      <c r="C3933" t="b">
        <v>0</v>
      </c>
      <c r="D3933" s="1">
        <v>41365</v>
      </c>
      <c r="E3933">
        <v>1E-3</v>
      </c>
      <c r="F3933"/>
      <c r="G3933"/>
      <c r="H3933"/>
      <c r="I3933"/>
      <c r="J3933"/>
      <c r="K3933"/>
      <c r="L3933"/>
      <c r="M3933"/>
      <c r="N3933"/>
      <c r="O3933"/>
    </row>
    <row r="3934" spans="1:15" hidden="1" x14ac:dyDescent="0.25">
      <c r="A3934" t="s">
        <v>80</v>
      </c>
      <c r="B3934" t="s">
        <v>115</v>
      </c>
      <c r="C3934" t="b">
        <v>0</v>
      </c>
      <c r="D3934" s="1">
        <v>41365</v>
      </c>
      <c r="E3934">
        <v>5</v>
      </c>
      <c r="F3934"/>
      <c r="G3934"/>
      <c r="H3934"/>
      <c r="I3934"/>
      <c r="J3934"/>
      <c r="K3934"/>
      <c r="L3934"/>
      <c r="M3934"/>
      <c r="N3934"/>
      <c r="O3934"/>
    </row>
    <row r="3935" spans="1:15" hidden="1" x14ac:dyDescent="0.25">
      <c r="A3935" t="s">
        <v>84</v>
      </c>
      <c r="B3935" t="s">
        <v>115</v>
      </c>
      <c r="C3935" t="b">
        <v>0</v>
      </c>
      <c r="D3935" s="1">
        <v>41365</v>
      </c>
      <c r="E3935">
        <v>5</v>
      </c>
      <c r="F3935"/>
      <c r="G3935"/>
      <c r="H3935"/>
      <c r="I3935"/>
      <c r="J3935"/>
      <c r="K3935"/>
      <c r="L3935"/>
      <c r="M3935"/>
      <c r="N3935"/>
      <c r="O3935"/>
    </row>
    <row r="3936" spans="1:15" hidden="1" x14ac:dyDescent="0.25">
      <c r="A3936" t="s">
        <v>86</v>
      </c>
      <c r="B3936" t="s">
        <v>115</v>
      </c>
      <c r="C3936" t="b">
        <v>0</v>
      </c>
      <c r="D3936" s="1">
        <v>41365</v>
      </c>
      <c r="E3936">
        <v>5</v>
      </c>
      <c r="F3936"/>
      <c r="G3936"/>
      <c r="H3936"/>
      <c r="I3936"/>
      <c r="J3936"/>
      <c r="K3936"/>
      <c r="L3936"/>
      <c r="M3936"/>
      <c r="N3936"/>
      <c r="O3936"/>
    </row>
    <row r="3937" spans="1:15" hidden="1" x14ac:dyDescent="0.25">
      <c r="A3937" t="s">
        <v>88</v>
      </c>
      <c r="B3937" t="s">
        <v>115</v>
      </c>
      <c r="C3937" t="b">
        <v>0</v>
      </c>
      <c r="D3937" s="1">
        <v>41365</v>
      </c>
      <c r="E3937">
        <v>5</v>
      </c>
      <c r="F3937"/>
      <c r="G3937"/>
      <c r="H3937"/>
      <c r="I3937"/>
      <c r="J3937"/>
      <c r="K3937"/>
      <c r="L3937"/>
      <c r="M3937"/>
      <c r="N3937"/>
      <c r="O3937"/>
    </row>
    <row r="3938" spans="1:15" hidden="1" x14ac:dyDescent="0.25">
      <c r="A3938" t="s">
        <v>95</v>
      </c>
      <c r="B3938" t="s">
        <v>115</v>
      </c>
      <c r="C3938" t="b">
        <v>0</v>
      </c>
      <c r="D3938" s="1">
        <v>41365</v>
      </c>
      <c r="E3938">
        <v>5</v>
      </c>
      <c r="F3938"/>
      <c r="G3938"/>
      <c r="H3938"/>
      <c r="I3938"/>
      <c r="J3938"/>
      <c r="K3938"/>
      <c r="L3938"/>
      <c r="M3938"/>
      <c r="N3938"/>
      <c r="O3938"/>
    </row>
    <row r="3939" spans="1:15" hidden="1" x14ac:dyDescent="0.25">
      <c r="A3939" t="s">
        <v>96</v>
      </c>
      <c r="B3939" t="s">
        <v>115</v>
      </c>
      <c r="C3939" t="b">
        <v>0</v>
      </c>
      <c r="D3939" s="1">
        <v>41365</v>
      </c>
      <c r="E3939">
        <v>5</v>
      </c>
      <c r="F3939"/>
      <c r="G3939"/>
      <c r="H3939"/>
      <c r="I3939"/>
      <c r="J3939"/>
      <c r="K3939"/>
      <c r="L3939"/>
      <c r="M3939"/>
      <c r="N3939"/>
      <c r="O3939"/>
    </row>
    <row r="3940" spans="1:15" hidden="1" x14ac:dyDescent="0.25">
      <c r="A3940" t="s">
        <v>98</v>
      </c>
      <c r="B3940" t="s">
        <v>115</v>
      </c>
      <c r="C3940" t="b">
        <v>0</v>
      </c>
      <c r="D3940" s="1">
        <v>41365</v>
      </c>
      <c r="E3940">
        <v>5</v>
      </c>
      <c r="F3940"/>
      <c r="G3940"/>
      <c r="H3940"/>
      <c r="I3940"/>
      <c r="J3940"/>
      <c r="K3940"/>
      <c r="L3940"/>
      <c r="M3940"/>
      <c r="N3940"/>
      <c r="O3940"/>
    </row>
    <row r="3941" spans="1:15" hidden="1" x14ac:dyDescent="0.25">
      <c r="A3941" t="s">
        <v>99</v>
      </c>
      <c r="B3941" t="s">
        <v>114</v>
      </c>
      <c r="C3941" t="b">
        <v>0</v>
      </c>
      <c r="D3941" s="1">
        <v>41365</v>
      </c>
      <c r="E3941">
        <v>18.5</v>
      </c>
      <c r="F3941"/>
      <c r="G3941"/>
      <c r="H3941"/>
      <c r="I3941"/>
      <c r="J3941"/>
      <c r="K3941"/>
      <c r="L3941"/>
      <c r="M3941"/>
      <c r="N3941"/>
      <c r="O3941"/>
    </row>
    <row r="3942" spans="1:15" hidden="1" x14ac:dyDescent="0.25">
      <c r="A3942" t="s">
        <v>100</v>
      </c>
      <c r="B3942" t="s">
        <v>117</v>
      </c>
      <c r="C3942" t="b">
        <v>0</v>
      </c>
      <c r="D3942" s="1">
        <v>41395</v>
      </c>
      <c r="E3942" s="2">
        <v>-68.88</v>
      </c>
      <c r="F3942"/>
      <c r="G3942"/>
      <c r="H3942"/>
      <c r="I3942"/>
      <c r="J3942"/>
      <c r="K3942"/>
      <c r="L3942"/>
      <c r="M3942"/>
      <c r="N3942"/>
      <c r="O3942"/>
    </row>
    <row r="3943" spans="1:15" hidden="1" x14ac:dyDescent="0.25">
      <c r="A3943" t="s">
        <v>102</v>
      </c>
      <c r="B3943" t="s">
        <v>117</v>
      </c>
      <c r="C3943" t="b">
        <v>0</v>
      </c>
      <c r="D3943" s="1">
        <v>41395</v>
      </c>
      <c r="E3943" s="2">
        <v>-25.540000000000003</v>
      </c>
      <c r="F3943"/>
      <c r="G3943"/>
      <c r="H3943"/>
      <c r="I3943"/>
      <c r="J3943"/>
      <c r="K3943"/>
      <c r="L3943"/>
      <c r="M3943"/>
      <c r="N3943"/>
      <c r="O3943"/>
    </row>
    <row r="3944" spans="1:15" hidden="1" x14ac:dyDescent="0.25">
      <c r="A3944" t="s">
        <v>101</v>
      </c>
      <c r="B3944" t="s">
        <v>117</v>
      </c>
      <c r="C3944" t="b">
        <v>0</v>
      </c>
      <c r="D3944" s="1">
        <v>41395</v>
      </c>
      <c r="E3944" s="2">
        <v>-2.76</v>
      </c>
      <c r="F3944"/>
      <c r="G3944"/>
      <c r="H3944"/>
      <c r="I3944"/>
      <c r="J3944"/>
      <c r="K3944"/>
      <c r="L3944"/>
      <c r="M3944"/>
      <c r="N3944"/>
      <c r="O3944"/>
    </row>
    <row r="3945" spans="1:15" hidden="1" x14ac:dyDescent="0.25">
      <c r="A3945" t="s">
        <v>43</v>
      </c>
      <c r="B3945" t="s">
        <v>115</v>
      </c>
      <c r="C3945" t="b">
        <v>0</v>
      </c>
      <c r="D3945" s="1">
        <v>41395</v>
      </c>
      <c r="E3945">
        <v>5</v>
      </c>
      <c r="F3945"/>
      <c r="G3945"/>
      <c r="H3945"/>
      <c r="I3945"/>
      <c r="J3945"/>
      <c r="K3945"/>
      <c r="L3945"/>
      <c r="M3945"/>
      <c r="N3945"/>
      <c r="O3945"/>
    </row>
    <row r="3946" spans="1:15" hidden="1" x14ac:dyDescent="0.25">
      <c r="A3946" t="s">
        <v>44</v>
      </c>
      <c r="B3946" t="s">
        <v>115</v>
      </c>
      <c r="C3946" t="b">
        <v>0</v>
      </c>
      <c r="D3946" s="1">
        <v>41395</v>
      </c>
      <c r="E3946">
        <v>5</v>
      </c>
      <c r="F3946"/>
      <c r="G3946"/>
      <c r="H3946"/>
      <c r="I3946"/>
      <c r="J3946"/>
      <c r="K3946"/>
      <c r="L3946"/>
      <c r="M3946"/>
      <c r="N3946"/>
      <c r="O3946"/>
    </row>
    <row r="3947" spans="1:15" hidden="1" x14ac:dyDescent="0.25">
      <c r="A3947" t="s">
        <v>45</v>
      </c>
      <c r="B3947" t="s">
        <v>115</v>
      </c>
      <c r="C3947" t="b">
        <v>0</v>
      </c>
      <c r="D3947" s="1">
        <v>41395</v>
      </c>
      <c r="E3947">
        <v>0</v>
      </c>
      <c r="F3947"/>
      <c r="G3947"/>
      <c r="H3947"/>
      <c r="I3947"/>
      <c r="J3947"/>
      <c r="K3947"/>
      <c r="L3947"/>
      <c r="M3947"/>
      <c r="N3947"/>
      <c r="O3947"/>
    </row>
    <row r="3948" spans="1:15" hidden="1" x14ac:dyDescent="0.25">
      <c r="A3948" t="s">
        <v>46</v>
      </c>
      <c r="B3948" t="s">
        <v>115</v>
      </c>
      <c r="C3948" t="b">
        <v>0</v>
      </c>
      <c r="D3948" s="1">
        <v>41395</v>
      </c>
      <c r="E3948">
        <v>5</v>
      </c>
      <c r="F3948"/>
      <c r="G3948"/>
      <c r="H3948"/>
      <c r="I3948"/>
      <c r="J3948"/>
      <c r="K3948"/>
      <c r="L3948"/>
      <c r="M3948"/>
      <c r="N3948"/>
      <c r="O3948"/>
    </row>
    <row r="3949" spans="1:15" hidden="1" x14ac:dyDescent="0.25">
      <c r="A3949" t="s">
        <v>50</v>
      </c>
      <c r="B3949" t="s">
        <v>115</v>
      </c>
      <c r="C3949" t="b">
        <v>0</v>
      </c>
      <c r="D3949" s="1">
        <v>41395</v>
      </c>
      <c r="E3949">
        <v>5</v>
      </c>
      <c r="F3949"/>
      <c r="G3949"/>
      <c r="H3949"/>
      <c r="I3949"/>
      <c r="J3949"/>
      <c r="K3949"/>
      <c r="L3949"/>
      <c r="M3949"/>
      <c r="N3949"/>
      <c r="O3949"/>
    </row>
    <row r="3950" spans="1:15" hidden="1" x14ac:dyDescent="0.25">
      <c r="A3950" t="s">
        <v>54</v>
      </c>
      <c r="B3950" t="s">
        <v>115</v>
      </c>
      <c r="C3950" t="b">
        <v>0</v>
      </c>
      <c r="D3950" s="1">
        <v>41395</v>
      </c>
      <c r="E3950">
        <v>5</v>
      </c>
      <c r="F3950"/>
      <c r="G3950"/>
      <c r="H3950"/>
      <c r="I3950"/>
      <c r="J3950"/>
      <c r="K3950"/>
      <c r="L3950"/>
      <c r="M3950"/>
      <c r="N3950"/>
      <c r="O3950"/>
    </row>
    <row r="3951" spans="1:15" hidden="1" x14ac:dyDescent="0.25">
      <c r="A3951" t="s">
        <v>55</v>
      </c>
      <c r="B3951" t="s">
        <v>115</v>
      </c>
      <c r="C3951" t="b">
        <v>0</v>
      </c>
      <c r="D3951" s="1">
        <v>41395</v>
      </c>
      <c r="E3951">
        <v>5</v>
      </c>
      <c r="F3951"/>
      <c r="G3951"/>
      <c r="H3951"/>
      <c r="I3951"/>
      <c r="J3951"/>
      <c r="K3951"/>
      <c r="L3951"/>
      <c r="M3951"/>
      <c r="N3951"/>
      <c r="O3951"/>
    </row>
    <row r="3952" spans="1:15" hidden="1" x14ac:dyDescent="0.25">
      <c r="A3952" t="s">
        <v>59</v>
      </c>
      <c r="B3952" t="s">
        <v>115</v>
      </c>
      <c r="C3952" t="b">
        <v>0</v>
      </c>
      <c r="D3952" s="1">
        <v>41395</v>
      </c>
      <c r="E3952">
        <v>5</v>
      </c>
      <c r="F3952"/>
      <c r="G3952"/>
      <c r="H3952"/>
      <c r="I3952"/>
      <c r="J3952"/>
      <c r="K3952"/>
      <c r="L3952"/>
      <c r="M3952"/>
      <c r="N3952"/>
      <c r="O3952"/>
    </row>
    <row r="3953" spans="1:15" hidden="1" x14ac:dyDescent="0.25">
      <c r="A3953" t="s">
        <v>68</v>
      </c>
      <c r="B3953" t="s">
        <v>115</v>
      </c>
      <c r="C3953" t="b">
        <v>0</v>
      </c>
      <c r="D3953" s="1">
        <v>41395</v>
      </c>
      <c r="E3953">
        <v>5</v>
      </c>
      <c r="F3953"/>
      <c r="G3953"/>
      <c r="H3953"/>
      <c r="I3953"/>
      <c r="J3953"/>
      <c r="K3953"/>
      <c r="L3953"/>
      <c r="M3953"/>
      <c r="N3953"/>
      <c r="O3953"/>
    </row>
    <row r="3954" spans="1:15" hidden="1" x14ac:dyDescent="0.25">
      <c r="A3954" t="s">
        <v>69</v>
      </c>
      <c r="B3954" t="s">
        <v>115</v>
      </c>
      <c r="C3954" t="b">
        <v>0</v>
      </c>
      <c r="D3954" s="1">
        <v>41395</v>
      </c>
      <c r="E3954">
        <v>5</v>
      </c>
      <c r="F3954"/>
      <c r="G3954"/>
      <c r="H3954"/>
      <c r="I3954"/>
      <c r="J3954"/>
      <c r="K3954"/>
      <c r="L3954"/>
      <c r="M3954"/>
      <c r="N3954"/>
      <c r="O3954"/>
    </row>
    <row r="3955" spans="1:15" hidden="1" x14ac:dyDescent="0.25">
      <c r="A3955" t="s">
        <v>76</v>
      </c>
      <c r="B3955" t="s">
        <v>115</v>
      </c>
      <c r="C3955" t="b">
        <v>0</v>
      </c>
      <c r="D3955" s="1">
        <v>41395</v>
      </c>
      <c r="E3955">
        <v>1E-3</v>
      </c>
      <c r="F3955"/>
      <c r="G3955"/>
      <c r="H3955"/>
      <c r="I3955"/>
      <c r="J3955"/>
      <c r="K3955"/>
      <c r="L3955"/>
      <c r="M3955"/>
      <c r="N3955"/>
      <c r="O3955"/>
    </row>
    <row r="3956" spans="1:15" hidden="1" x14ac:dyDescent="0.25">
      <c r="A3956" t="s">
        <v>80</v>
      </c>
      <c r="B3956" t="s">
        <v>115</v>
      </c>
      <c r="C3956" t="b">
        <v>0</v>
      </c>
      <c r="D3956" s="1">
        <v>41395</v>
      </c>
      <c r="E3956">
        <v>5</v>
      </c>
      <c r="F3956"/>
      <c r="G3956"/>
      <c r="H3956"/>
      <c r="I3956"/>
      <c r="J3956"/>
      <c r="K3956"/>
      <c r="L3956"/>
      <c r="M3956"/>
      <c r="N3956"/>
      <c r="O3956"/>
    </row>
    <row r="3957" spans="1:15" hidden="1" x14ac:dyDescent="0.25">
      <c r="A3957" t="s">
        <v>84</v>
      </c>
      <c r="B3957" t="s">
        <v>115</v>
      </c>
      <c r="C3957" t="b">
        <v>0</v>
      </c>
      <c r="D3957" s="1">
        <v>41395</v>
      </c>
      <c r="E3957">
        <v>5</v>
      </c>
      <c r="F3957"/>
      <c r="G3957"/>
      <c r="H3957"/>
      <c r="I3957"/>
      <c r="J3957"/>
      <c r="K3957"/>
      <c r="L3957"/>
      <c r="M3957"/>
      <c r="N3957"/>
      <c r="O3957"/>
    </row>
    <row r="3958" spans="1:15" hidden="1" x14ac:dyDescent="0.25">
      <c r="A3958" t="s">
        <v>86</v>
      </c>
      <c r="B3958" t="s">
        <v>115</v>
      </c>
      <c r="C3958" t="b">
        <v>0</v>
      </c>
      <c r="D3958" s="1">
        <v>41395</v>
      </c>
      <c r="E3958">
        <v>5</v>
      </c>
      <c r="F3958"/>
      <c r="G3958"/>
      <c r="H3958"/>
      <c r="I3958"/>
      <c r="J3958"/>
      <c r="K3958"/>
      <c r="L3958"/>
      <c r="M3958"/>
      <c r="N3958"/>
      <c r="O3958"/>
    </row>
    <row r="3959" spans="1:15" hidden="1" x14ac:dyDescent="0.25">
      <c r="A3959" t="s">
        <v>88</v>
      </c>
      <c r="B3959" t="s">
        <v>115</v>
      </c>
      <c r="C3959" t="b">
        <v>0</v>
      </c>
      <c r="D3959" s="1">
        <v>41395</v>
      </c>
      <c r="E3959">
        <v>0</v>
      </c>
      <c r="F3959"/>
      <c r="G3959"/>
      <c r="H3959"/>
      <c r="I3959"/>
      <c r="J3959"/>
      <c r="K3959"/>
      <c r="L3959"/>
      <c r="M3959"/>
      <c r="N3959"/>
      <c r="O3959"/>
    </row>
    <row r="3960" spans="1:15" hidden="1" x14ac:dyDescent="0.25">
      <c r="A3960" t="s">
        <v>95</v>
      </c>
      <c r="B3960" t="s">
        <v>115</v>
      </c>
      <c r="C3960" t="b">
        <v>0</v>
      </c>
      <c r="D3960" s="1">
        <v>41395</v>
      </c>
      <c r="E3960">
        <v>5</v>
      </c>
      <c r="F3960"/>
      <c r="G3960"/>
      <c r="H3960"/>
      <c r="I3960"/>
      <c r="J3960"/>
      <c r="K3960"/>
      <c r="L3960"/>
      <c r="M3960"/>
      <c r="N3960"/>
      <c r="O3960"/>
    </row>
    <row r="3961" spans="1:15" hidden="1" x14ac:dyDescent="0.25">
      <c r="A3961" t="s">
        <v>96</v>
      </c>
      <c r="B3961" t="s">
        <v>115</v>
      </c>
      <c r="C3961" t="b">
        <v>0</v>
      </c>
      <c r="D3961" s="1">
        <v>41395</v>
      </c>
      <c r="E3961">
        <v>5</v>
      </c>
      <c r="F3961"/>
      <c r="G3961"/>
      <c r="H3961"/>
      <c r="I3961"/>
      <c r="J3961"/>
      <c r="K3961"/>
      <c r="L3961"/>
      <c r="M3961"/>
      <c r="N3961"/>
      <c r="O3961"/>
    </row>
    <row r="3962" spans="1:15" hidden="1" x14ac:dyDescent="0.25">
      <c r="A3962" t="s">
        <v>98</v>
      </c>
      <c r="B3962" t="s">
        <v>115</v>
      </c>
      <c r="C3962" t="b">
        <v>0</v>
      </c>
      <c r="D3962" s="1">
        <v>41395</v>
      </c>
      <c r="E3962">
        <v>5</v>
      </c>
      <c r="F3962"/>
      <c r="G3962"/>
      <c r="H3962"/>
      <c r="I3962"/>
      <c r="J3962"/>
      <c r="K3962"/>
      <c r="L3962"/>
      <c r="M3962"/>
      <c r="N3962"/>
      <c r="O3962"/>
    </row>
    <row r="3963" spans="1:15" hidden="1" x14ac:dyDescent="0.25">
      <c r="A3963" t="s">
        <v>99</v>
      </c>
      <c r="B3963" t="s">
        <v>114</v>
      </c>
      <c r="C3963" t="b">
        <v>0</v>
      </c>
      <c r="D3963" s="1">
        <v>41395</v>
      </c>
      <c r="E3963">
        <v>17.700000000000003</v>
      </c>
      <c r="F3963"/>
      <c r="G3963"/>
      <c r="H3963"/>
      <c r="I3963"/>
      <c r="J3963"/>
      <c r="K3963"/>
      <c r="L3963"/>
      <c r="M3963"/>
      <c r="N3963"/>
      <c r="O3963"/>
    </row>
    <row r="3964" spans="1:15" hidden="1" x14ac:dyDescent="0.25">
      <c r="A3964" t="s">
        <v>100</v>
      </c>
      <c r="B3964" t="s">
        <v>117</v>
      </c>
      <c r="C3964" t="b">
        <v>0</v>
      </c>
      <c r="D3964" s="1">
        <v>41426</v>
      </c>
      <c r="E3964" s="2">
        <v>-57.45</v>
      </c>
      <c r="F3964"/>
      <c r="G3964"/>
      <c r="H3964"/>
      <c r="I3964"/>
      <c r="J3964"/>
      <c r="K3964"/>
      <c r="L3964"/>
      <c r="M3964"/>
      <c r="N3964"/>
      <c r="O3964"/>
    </row>
    <row r="3965" spans="1:15" hidden="1" x14ac:dyDescent="0.25">
      <c r="A3965" t="s">
        <v>104</v>
      </c>
      <c r="B3965" t="s">
        <v>117</v>
      </c>
      <c r="C3965" t="b">
        <v>0</v>
      </c>
      <c r="D3965" s="1">
        <v>41426</v>
      </c>
      <c r="E3965" s="2">
        <v>-10</v>
      </c>
      <c r="F3965"/>
      <c r="G3965"/>
      <c r="H3965"/>
      <c r="I3965"/>
      <c r="J3965"/>
      <c r="K3965"/>
      <c r="L3965"/>
      <c r="M3965"/>
      <c r="N3965"/>
      <c r="O3965"/>
    </row>
    <row r="3966" spans="1:15" hidden="1" x14ac:dyDescent="0.25">
      <c r="A3966" t="s">
        <v>102</v>
      </c>
      <c r="B3966" t="s">
        <v>117</v>
      </c>
      <c r="C3966" t="b">
        <v>0</v>
      </c>
      <c r="D3966" s="1">
        <v>41426</v>
      </c>
      <c r="E3966" s="2">
        <v>-27.26</v>
      </c>
      <c r="F3966"/>
      <c r="G3966"/>
      <c r="H3966"/>
      <c r="I3966"/>
      <c r="J3966"/>
      <c r="K3966"/>
      <c r="L3966"/>
      <c r="M3966"/>
      <c r="N3966"/>
      <c r="O3966"/>
    </row>
    <row r="3967" spans="1:15" hidden="1" x14ac:dyDescent="0.25">
      <c r="A3967" t="s">
        <v>103</v>
      </c>
      <c r="B3967" t="s">
        <v>117</v>
      </c>
      <c r="C3967" t="b">
        <v>0</v>
      </c>
      <c r="D3967" s="1">
        <v>41426</v>
      </c>
      <c r="E3967" s="2">
        <v>-5</v>
      </c>
      <c r="F3967"/>
      <c r="G3967"/>
      <c r="H3967"/>
      <c r="I3967"/>
      <c r="J3967"/>
      <c r="K3967"/>
      <c r="L3967"/>
      <c r="M3967"/>
      <c r="N3967"/>
      <c r="O3967"/>
    </row>
    <row r="3968" spans="1:15" hidden="1" x14ac:dyDescent="0.25">
      <c r="A3968" t="s">
        <v>101</v>
      </c>
      <c r="B3968" t="s">
        <v>117</v>
      </c>
      <c r="C3968" t="b">
        <v>0</v>
      </c>
      <c r="D3968" s="1">
        <v>41426</v>
      </c>
      <c r="E3968" s="2">
        <v>-2.76</v>
      </c>
      <c r="F3968"/>
      <c r="G3968"/>
      <c r="H3968"/>
      <c r="I3968"/>
      <c r="J3968"/>
      <c r="K3968"/>
      <c r="L3968"/>
      <c r="M3968"/>
      <c r="N3968"/>
      <c r="O3968"/>
    </row>
    <row r="3969" spans="1:15" hidden="1" x14ac:dyDescent="0.25">
      <c r="A3969" t="s">
        <v>43</v>
      </c>
      <c r="B3969" t="s">
        <v>115</v>
      </c>
      <c r="C3969" t="b">
        <v>0</v>
      </c>
      <c r="D3969" s="1">
        <v>41426</v>
      </c>
      <c r="E3969">
        <v>5</v>
      </c>
      <c r="F3969"/>
      <c r="G3969"/>
      <c r="H3969"/>
      <c r="I3969"/>
      <c r="J3969"/>
      <c r="K3969"/>
      <c r="L3969"/>
      <c r="M3969"/>
      <c r="N3969"/>
      <c r="O3969"/>
    </row>
    <row r="3970" spans="1:15" hidden="1" x14ac:dyDescent="0.25">
      <c r="A3970" t="s">
        <v>44</v>
      </c>
      <c r="B3970" t="s">
        <v>115</v>
      </c>
      <c r="C3970" t="b">
        <v>0</v>
      </c>
      <c r="D3970" s="1">
        <v>41426</v>
      </c>
      <c r="E3970">
        <v>5</v>
      </c>
      <c r="F3970"/>
      <c r="G3970"/>
      <c r="H3970"/>
      <c r="I3970"/>
      <c r="J3970"/>
      <c r="K3970"/>
      <c r="L3970"/>
      <c r="M3970"/>
      <c r="N3970"/>
      <c r="O3970"/>
    </row>
    <row r="3971" spans="1:15" hidden="1" x14ac:dyDescent="0.25">
      <c r="A3971" t="s">
        <v>46</v>
      </c>
      <c r="B3971" t="s">
        <v>115</v>
      </c>
      <c r="C3971" t="b">
        <v>0</v>
      </c>
      <c r="D3971" s="1">
        <v>41426</v>
      </c>
      <c r="E3971">
        <v>5</v>
      </c>
      <c r="F3971"/>
      <c r="G3971"/>
      <c r="H3971"/>
      <c r="I3971"/>
      <c r="J3971"/>
      <c r="K3971"/>
      <c r="L3971"/>
      <c r="M3971"/>
      <c r="N3971"/>
      <c r="O3971"/>
    </row>
    <row r="3972" spans="1:15" hidden="1" x14ac:dyDescent="0.25">
      <c r="A3972" t="s">
        <v>50</v>
      </c>
      <c r="B3972" t="s">
        <v>115</v>
      </c>
      <c r="C3972" t="b">
        <v>0</v>
      </c>
      <c r="D3972" s="1">
        <v>41426</v>
      </c>
      <c r="E3972">
        <v>5</v>
      </c>
      <c r="F3972"/>
      <c r="G3972"/>
      <c r="H3972"/>
      <c r="I3972"/>
      <c r="J3972"/>
      <c r="K3972"/>
      <c r="L3972"/>
      <c r="M3972"/>
      <c r="N3972"/>
      <c r="O3972"/>
    </row>
    <row r="3973" spans="1:15" hidden="1" x14ac:dyDescent="0.25">
      <c r="A3973" t="s">
        <v>54</v>
      </c>
      <c r="B3973" t="s">
        <v>115</v>
      </c>
      <c r="C3973" t="b">
        <v>0</v>
      </c>
      <c r="D3973" s="1">
        <v>41426</v>
      </c>
      <c r="E3973">
        <v>5</v>
      </c>
      <c r="F3973"/>
      <c r="G3973"/>
      <c r="H3973"/>
      <c r="I3973"/>
      <c r="J3973"/>
      <c r="K3973"/>
      <c r="L3973"/>
      <c r="M3973"/>
      <c r="N3973"/>
      <c r="O3973"/>
    </row>
    <row r="3974" spans="1:15" hidden="1" x14ac:dyDescent="0.25">
      <c r="A3974" t="s">
        <v>55</v>
      </c>
      <c r="B3974" t="s">
        <v>115</v>
      </c>
      <c r="C3974" t="b">
        <v>0</v>
      </c>
      <c r="D3974" s="1">
        <v>41426</v>
      </c>
      <c r="E3974">
        <v>5</v>
      </c>
      <c r="F3974"/>
      <c r="G3974"/>
      <c r="H3974"/>
      <c r="I3974"/>
      <c r="J3974"/>
      <c r="K3974"/>
      <c r="L3974"/>
      <c r="M3974"/>
      <c r="N3974"/>
      <c r="O3974"/>
    </row>
    <row r="3975" spans="1:15" hidden="1" x14ac:dyDescent="0.25">
      <c r="A3975" t="s">
        <v>59</v>
      </c>
      <c r="B3975" t="s">
        <v>115</v>
      </c>
      <c r="C3975" t="b">
        <v>0</v>
      </c>
      <c r="D3975" s="1">
        <v>41426</v>
      </c>
      <c r="E3975">
        <v>5</v>
      </c>
      <c r="F3975"/>
      <c r="G3975"/>
      <c r="H3975"/>
      <c r="I3975"/>
      <c r="J3975"/>
      <c r="K3975"/>
      <c r="L3975"/>
      <c r="M3975"/>
      <c r="N3975"/>
      <c r="O3975"/>
    </row>
    <row r="3976" spans="1:15" hidden="1" x14ac:dyDescent="0.25">
      <c r="A3976" t="s">
        <v>68</v>
      </c>
      <c r="B3976" t="s">
        <v>115</v>
      </c>
      <c r="C3976" t="b">
        <v>0</v>
      </c>
      <c r="D3976" s="1">
        <v>41426</v>
      </c>
      <c r="E3976">
        <v>5</v>
      </c>
      <c r="F3976"/>
      <c r="G3976"/>
      <c r="H3976"/>
      <c r="I3976"/>
      <c r="J3976"/>
      <c r="K3976"/>
      <c r="L3976"/>
      <c r="M3976"/>
      <c r="N3976"/>
      <c r="O3976"/>
    </row>
    <row r="3977" spans="1:15" hidden="1" x14ac:dyDescent="0.25">
      <c r="A3977" t="s">
        <v>69</v>
      </c>
      <c r="B3977" t="s">
        <v>115</v>
      </c>
      <c r="C3977" t="b">
        <v>0</v>
      </c>
      <c r="D3977" s="1">
        <v>41426</v>
      </c>
      <c r="E3977">
        <v>0</v>
      </c>
      <c r="F3977"/>
      <c r="G3977"/>
      <c r="H3977"/>
      <c r="I3977"/>
      <c r="J3977"/>
      <c r="K3977"/>
      <c r="L3977"/>
      <c r="M3977"/>
      <c r="N3977"/>
      <c r="O3977"/>
    </row>
    <row r="3978" spans="1:15" hidden="1" x14ac:dyDescent="0.25">
      <c r="A3978" t="s">
        <v>76</v>
      </c>
      <c r="B3978" t="s">
        <v>115</v>
      </c>
      <c r="C3978" t="b">
        <v>0</v>
      </c>
      <c r="D3978" s="1">
        <v>41426</v>
      </c>
      <c r="E3978">
        <v>1E-3</v>
      </c>
      <c r="F3978"/>
      <c r="G3978"/>
      <c r="H3978"/>
      <c r="I3978"/>
      <c r="J3978"/>
      <c r="K3978"/>
      <c r="L3978"/>
      <c r="M3978"/>
      <c r="N3978"/>
      <c r="O3978"/>
    </row>
    <row r="3979" spans="1:15" hidden="1" x14ac:dyDescent="0.25">
      <c r="A3979" t="s">
        <v>80</v>
      </c>
      <c r="B3979" t="s">
        <v>115</v>
      </c>
      <c r="C3979" t="b">
        <v>0</v>
      </c>
      <c r="D3979" s="1">
        <v>41426</v>
      </c>
      <c r="E3979">
        <v>5</v>
      </c>
      <c r="F3979"/>
      <c r="G3979"/>
      <c r="H3979"/>
      <c r="I3979"/>
      <c r="J3979"/>
      <c r="K3979"/>
      <c r="L3979"/>
      <c r="M3979"/>
      <c r="N3979"/>
      <c r="O3979"/>
    </row>
    <row r="3980" spans="1:15" hidden="1" x14ac:dyDescent="0.25">
      <c r="A3980" t="s">
        <v>84</v>
      </c>
      <c r="B3980" t="s">
        <v>115</v>
      </c>
      <c r="C3980" t="b">
        <v>0</v>
      </c>
      <c r="D3980" s="1">
        <v>41426</v>
      </c>
      <c r="E3980">
        <v>5</v>
      </c>
      <c r="F3980"/>
      <c r="G3980"/>
      <c r="H3980"/>
      <c r="I3980"/>
      <c r="J3980"/>
      <c r="K3980"/>
      <c r="L3980"/>
      <c r="M3980"/>
      <c r="N3980"/>
      <c r="O3980"/>
    </row>
    <row r="3981" spans="1:15" hidden="1" x14ac:dyDescent="0.25">
      <c r="A3981" t="s">
        <v>86</v>
      </c>
      <c r="B3981" t="s">
        <v>115</v>
      </c>
      <c r="C3981" t="b">
        <v>0</v>
      </c>
      <c r="D3981" s="1">
        <v>41426</v>
      </c>
      <c r="E3981">
        <v>5</v>
      </c>
      <c r="F3981"/>
      <c r="G3981"/>
      <c r="H3981"/>
      <c r="I3981"/>
      <c r="J3981"/>
      <c r="K3981"/>
      <c r="L3981"/>
      <c r="M3981"/>
      <c r="N3981"/>
      <c r="O3981"/>
    </row>
    <row r="3982" spans="1:15" hidden="1" x14ac:dyDescent="0.25">
      <c r="A3982" t="s">
        <v>88</v>
      </c>
      <c r="B3982" t="s">
        <v>115</v>
      </c>
      <c r="C3982" t="b">
        <v>0</v>
      </c>
      <c r="D3982" s="1">
        <v>41426</v>
      </c>
      <c r="E3982">
        <v>5</v>
      </c>
      <c r="F3982"/>
      <c r="G3982"/>
      <c r="H3982"/>
      <c r="I3982"/>
      <c r="J3982"/>
      <c r="K3982"/>
      <c r="L3982"/>
      <c r="M3982"/>
      <c r="N3982"/>
      <c r="O3982"/>
    </row>
    <row r="3983" spans="1:15" hidden="1" x14ac:dyDescent="0.25">
      <c r="A3983" t="s">
        <v>95</v>
      </c>
      <c r="B3983" t="s">
        <v>115</v>
      </c>
      <c r="C3983" t="b">
        <v>0</v>
      </c>
      <c r="D3983" s="1">
        <v>41426</v>
      </c>
      <c r="E3983">
        <v>5</v>
      </c>
      <c r="F3983"/>
      <c r="G3983"/>
      <c r="H3983"/>
      <c r="I3983"/>
      <c r="J3983"/>
      <c r="K3983"/>
      <c r="L3983"/>
      <c r="M3983"/>
      <c r="N3983"/>
      <c r="O3983"/>
    </row>
    <row r="3984" spans="1:15" hidden="1" x14ac:dyDescent="0.25">
      <c r="A3984" t="s">
        <v>96</v>
      </c>
      <c r="B3984" t="s">
        <v>115</v>
      </c>
      <c r="C3984" t="b">
        <v>0</v>
      </c>
      <c r="D3984" s="1">
        <v>41426</v>
      </c>
      <c r="E3984">
        <v>5</v>
      </c>
      <c r="F3984"/>
      <c r="G3984"/>
      <c r="H3984"/>
      <c r="I3984"/>
      <c r="J3984"/>
      <c r="K3984"/>
      <c r="L3984"/>
      <c r="M3984"/>
      <c r="N3984"/>
      <c r="O3984"/>
    </row>
    <row r="3985" spans="1:15" hidden="1" x14ac:dyDescent="0.25">
      <c r="A3985" t="s">
        <v>98</v>
      </c>
      <c r="B3985" t="s">
        <v>115</v>
      </c>
      <c r="C3985" t="b">
        <v>0</v>
      </c>
      <c r="D3985" s="1">
        <v>41426</v>
      </c>
      <c r="E3985">
        <v>5</v>
      </c>
      <c r="F3985"/>
      <c r="G3985"/>
      <c r="H3985"/>
      <c r="I3985"/>
      <c r="J3985"/>
      <c r="K3985"/>
      <c r="L3985"/>
      <c r="M3985"/>
      <c r="N3985"/>
      <c r="O3985"/>
    </row>
    <row r="3986" spans="1:15" hidden="1" x14ac:dyDescent="0.25">
      <c r="A3986" t="s">
        <v>99</v>
      </c>
      <c r="B3986" t="s">
        <v>114</v>
      </c>
      <c r="C3986" t="b">
        <v>0</v>
      </c>
      <c r="D3986" s="1">
        <v>41426</v>
      </c>
      <c r="E3986">
        <v>13.08</v>
      </c>
      <c r="F3986"/>
      <c r="G3986"/>
      <c r="H3986"/>
      <c r="I3986"/>
      <c r="J3986"/>
      <c r="K3986"/>
      <c r="L3986"/>
      <c r="M3986"/>
      <c r="N3986"/>
      <c r="O3986"/>
    </row>
    <row r="3987" spans="1:15" hidden="1" x14ac:dyDescent="0.25">
      <c r="A3987" t="s">
        <v>100</v>
      </c>
      <c r="B3987" t="s">
        <v>117</v>
      </c>
      <c r="C3987" t="b">
        <v>0</v>
      </c>
      <c r="D3987" s="1">
        <v>41456</v>
      </c>
      <c r="E3987" s="2">
        <v>-57.45</v>
      </c>
      <c r="F3987"/>
      <c r="G3987"/>
      <c r="H3987"/>
      <c r="I3987"/>
      <c r="J3987"/>
      <c r="K3987"/>
      <c r="L3987"/>
      <c r="M3987"/>
      <c r="N3987"/>
      <c r="O3987"/>
    </row>
    <row r="3988" spans="1:15" hidden="1" x14ac:dyDescent="0.25">
      <c r="A3988" t="s">
        <v>104</v>
      </c>
      <c r="B3988" t="s">
        <v>117</v>
      </c>
      <c r="C3988" t="b">
        <v>0</v>
      </c>
      <c r="D3988" s="1">
        <v>41456</v>
      </c>
      <c r="E3988" s="2">
        <v>-2</v>
      </c>
      <c r="F3988"/>
      <c r="G3988"/>
      <c r="H3988"/>
      <c r="I3988"/>
      <c r="J3988"/>
      <c r="K3988"/>
      <c r="L3988"/>
      <c r="M3988"/>
      <c r="N3988"/>
      <c r="O3988"/>
    </row>
    <row r="3989" spans="1:15" hidden="1" x14ac:dyDescent="0.25">
      <c r="A3989" t="s">
        <v>102</v>
      </c>
      <c r="B3989" t="s">
        <v>117</v>
      </c>
      <c r="C3989" t="b">
        <v>0</v>
      </c>
      <c r="D3989" s="1">
        <v>41456</v>
      </c>
      <c r="E3989" s="2">
        <v>-39.240000000000009</v>
      </c>
      <c r="F3989"/>
      <c r="G3989"/>
      <c r="H3989"/>
      <c r="I3989"/>
      <c r="J3989"/>
      <c r="K3989"/>
      <c r="L3989"/>
      <c r="M3989"/>
      <c r="N3989"/>
      <c r="O3989"/>
    </row>
    <row r="3990" spans="1:15" hidden="1" x14ac:dyDescent="0.25">
      <c r="A3990" t="s">
        <v>103</v>
      </c>
      <c r="B3990" t="s">
        <v>117</v>
      </c>
      <c r="C3990" t="b">
        <v>0</v>
      </c>
      <c r="D3990" s="1">
        <v>41456</v>
      </c>
      <c r="E3990" s="2">
        <v>-2.4900000000000002</v>
      </c>
      <c r="F3990"/>
      <c r="G3990"/>
      <c r="H3990"/>
      <c r="I3990"/>
      <c r="J3990"/>
      <c r="K3990"/>
      <c r="L3990"/>
      <c r="M3990"/>
      <c r="N3990"/>
      <c r="O3990"/>
    </row>
    <row r="3991" spans="1:15" hidden="1" x14ac:dyDescent="0.25">
      <c r="A3991" t="s">
        <v>101</v>
      </c>
      <c r="B3991" t="s">
        <v>117</v>
      </c>
      <c r="C3991" t="b">
        <v>0</v>
      </c>
      <c r="D3991" s="1">
        <v>41456</v>
      </c>
      <c r="E3991" s="2">
        <v>-14.99</v>
      </c>
      <c r="F3991"/>
      <c r="G3991"/>
      <c r="H3991"/>
      <c r="I3991"/>
      <c r="J3991"/>
      <c r="K3991"/>
      <c r="L3991"/>
      <c r="M3991"/>
      <c r="N3991"/>
      <c r="O3991"/>
    </row>
    <row r="3992" spans="1:15" hidden="1" x14ac:dyDescent="0.25">
      <c r="A3992" t="s">
        <v>43</v>
      </c>
      <c r="B3992" t="s">
        <v>115</v>
      </c>
      <c r="C3992" t="b">
        <v>0</v>
      </c>
      <c r="D3992" s="1">
        <v>41456</v>
      </c>
      <c r="E3992">
        <v>5</v>
      </c>
      <c r="F3992"/>
      <c r="G3992"/>
      <c r="H3992"/>
      <c r="I3992"/>
      <c r="J3992"/>
      <c r="K3992"/>
      <c r="L3992"/>
      <c r="M3992"/>
      <c r="N3992"/>
      <c r="O3992"/>
    </row>
    <row r="3993" spans="1:15" hidden="1" x14ac:dyDescent="0.25">
      <c r="A3993" t="s">
        <v>44</v>
      </c>
      <c r="B3993" t="s">
        <v>115</v>
      </c>
      <c r="C3993" t="b">
        <v>0</v>
      </c>
      <c r="D3993" s="1">
        <v>41456</v>
      </c>
      <c r="E3993">
        <v>5</v>
      </c>
      <c r="F3993"/>
      <c r="G3993"/>
      <c r="H3993"/>
      <c r="I3993"/>
      <c r="J3993"/>
      <c r="K3993"/>
      <c r="L3993"/>
      <c r="M3993"/>
      <c r="N3993"/>
      <c r="O3993"/>
    </row>
    <row r="3994" spans="1:15" hidden="1" x14ac:dyDescent="0.25">
      <c r="A3994" t="s">
        <v>46</v>
      </c>
      <c r="B3994" t="s">
        <v>115</v>
      </c>
      <c r="C3994" t="b">
        <v>0</v>
      </c>
      <c r="D3994" s="1">
        <v>41456</v>
      </c>
      <c r="E3994">
        <v>5</v>
      </c>
      <c r="F3994"/>
      <c r="G3994"/>
      <c r="H3994"/>
      <c r="I3994"/>
      <c r="J3994"/>
      <c r="K3994"/>
      <c r="L3994"/>
      <c r="M3994"/>
      <c r="N3994"/>
      <c r="O3994"/>
    </row>
    <row r="3995" spans="1:15" hidden="1" x14ac:dyDescent="0.25">
      <c r="A3995" t="s">
        <v>50</v>
      </c>
      <c r="B3995" t="s">
        <v>115</v>
      </c>
      <c r="C3995" t="b">
        <v>0</v>
      </c>
      <c r="D3995" s="1">
        <v>41456</v>
      </c>
      <c r="E3995">
        <v>5</v>
      </c>
      <c r="F3995"/>
      <c r="G3995"/>
      <c r="H3995"/>
      <c r="I3995"/>
      <c r="J3995"/>
      <c r="K3995"/>
      <c r="L3995"/>
      <c r="M3995"/>
      <c r="N3995"/>
      <c r="O3995"/>
    </row>
    <row r="3996" spans="1:15" hidden="1" x14ac:dyDescent="0.25">
      <c r="A3996" t="s">
        <v>54</v>
      </c>
      <c r="B3996" t="s">
        <v>115</v>
      </c>
      <c r="C3996" t="b">
        <v>0</v>
      </c>
      <c r="D3996" s="1">
        <v>41456</v>
      </c>
      <c r="E3996">
        <v>5</v>
      </c>
      <c r="F3996"/>
      <c r="G3996"/>
      <c r="H3996"/>
      <c r="I3996"/>
      <c r="J3996"/>
      <c r="K3996"/>
      <c r="L3996"/>
      <c r="M3996"/>
      <c r="N3996"/>
      <c r="O3996"/>
    </row>
    <row r="3997" spans="1:15" hidden="1" x14ac:dyDescent="0.25">
      <c r="A3997" t="s">
        <v>55</v>
      </c>
      <c r="B3997" t="s">
        <v>115</v>
      </c>
      <c r="C3997" t="b">
        <v>0</v>
      </c>
      <c r="D3997" s="1">
        <v>41456</v>
      </c>
      <c r="E3997">
        <v>5</v>
      </c>
      <c r="F3997"/>
      <c r="G3997"/>
      <c r="H3997"/>
      <c r="I3997"/>
      <c r="J3997"/>
      <c r="K3997"/>
      <c r="L3997"/>
      <c r="M3997"/>
      <c r="N3997"/>
      <c r="O3997"/>
    </row>
    <row r="3998" spans="1:15" hidden="1" x14ac:dyDescent="0.25">
      <c r="A3998" t="s">
        <v>58</v>
      </c>
      <c r="B3998" t="s">
        <v>115</v>
      </c>
      <c r="C3998" t="b">
        <v>0</v>
      </c>
      <c r="D3998" s="1">
        <v>41456</v>
      </c>
      <c r="E3998">
        <v>5</v>
      </c>
      <c r="F3998"/>
      <c r="G3998"/>
      <c r="H3998"/>
      <c r="I3998"/>
      <c r="J3998"/>
      <c r="K3998"/>
      <c r="L3998"/>
      <c r="M3998"/>
      <c r="N3998"/>
      <c r="O3998"/>
    </row>
    <row r="3999" spans="1:15" hidden="1" x14ac:dyDescent="0.25">
      <c r="A3999" t="s">
        <v>59</v>
      </c>
      <c r="B3999" t="s">
        <v>115</v>
      </c>
      <c r="C3999" t="b">
        <v>0</v>
      </c>
      <c r="D3999" s="1">
        <v>41456</v>
      </c>
      <c r="E3999">
        <v>5</v>
      </c>
      <c r="F3999"/>
      <c r="G3999"/>
      <c r="H3999"/>
      <c r="I3999"/>
      <c r="J3999"/>
      <c r="K3999"/>
      <c r="L3999"/>
      <c r="M3999"/>
      <c r="N3999"/>
      <c r="O3999"/>
    </row>
    <row r="4000" spans="1:15" hidden="1" x14ac:dyDescent="0.25">
      <c r="A4000" t="s">
        <v>68</v>
      </c>
      <c r="B4000" t="s">
        <v>115</v>
      </c>
      <c r="C4000" t="b">
        <v>0</v>
      </c>
      <c r="D4000" s="1">
        <v>41456</v>
      </c>
      <c r="E4000">
        <v>5</v>
      </c>
      <c r="F4000"/>
      <c r="G4000"/>
      <c r="H4000"/>
      <c r="I4000"/>
      <c r="J4000"/>
      <c r="K4000"/>
      <c r="L4000"/>
      <c r="M4000"/>
      <c r="N4000"/>
      <c r="O4000"/>
    </row>
    <row r="4001" spans="1:15" hidden="1" x14ac:dyDescent="0.25">
      <c r="A4001" t="s">
        <v>69</v>
      </c>
      <c r="B4001" t="s">
        <v>115</v>
      </c>
      <c r="C4001" t="b">
        <v>0</v>
      </c>
      <c r="D4001" s="1">
        <v>41456</v>
      </c>
      <c r="E4001">
        <v>5</v>
      </c>
      <c r="F4001"/>
      <c r="G4001"/>
      <c r="H4001"/>
      <c r="I4001"/>
      <c r="J4001"/>
      <c r="K4001"/>
      <c r="L4001"/>
      <c r="M4001"/>
      <c r="N4001"/>
      <c r="O4001"/>
    </row>
    <row r="4002" spans="1:15" hidden="1" x14ac:dyDescent="0.25">
      <c r="A4002" t="s">
        <v>76</v>
      </c>
      <c r="B4002" t="s">
        <v>115</v>
      </c>
      <c r="C4002" t="b">
        <v>0</v>
      </c>
      <c r="D4002" s="1">
        <v>41456</v>
      </c>
      <c r="E4002">
        <v>1E-3</v>
      </c>
      <c r="F4002"/>
      <c r="G4002"/>
      <c r="H4002"/>
      <c r="I4002"/>
      <c r="J4002"/>
      <c r="K4002"/>
      <c r="L4002"/>
      <c r="M4002"/>
      <c r="N4002"/>
      <c r="O4002"/>
    </row>
    <row r="4003" spans="1:15" hidden="1" x14ac:dyDescent="0.25">
      <c r="A4003" t="s">
        <v>80</v>
      </c>
      <c r="B4003" t="s">
        <v>115</v>
      </c>
      <c r="C4003" t="b">
        <v>0</v>
      </c>
      <c r="D4003" s="1">
        <v>41456</v>
      </c>
      <c r="E4003">
        <v>5</v>
      </c>
      <c r="F4003"/>
      <c r="G4003"/>
      <c r="H4003"/>
      <c r="I4003"/>
      <c r="J4003"/>
      <c r="K4003"/>
      <c r="L4003"/>
      <c r="M4003"/>
      <c r="N4003"/>
      <c r="O4003"/>
    </row>
    <row r="4004" spans="1:15" hidden="1" x14ac:dyDescent="0.25">
      <c r="A4004" t="s">
        <v>84</v>
      </c>
      <c r="B4004" t="s">
        <v>115</v>
      </c>
      <c r="C4004" t="b">
        <v>0</v>
      </c>
      <c r="D4004" s="1">
        <v>41456</v>
      </c>
      <c r="E4004">
        <v>5</v>
      </c>
      <c r="F4004"/>
      <c r="G4004"/>
      <c r="H4004"/>
      <c r="I4004"/>
      <c r="J4004"/>
      <c r="K4004"/>
      <c r="L4004"/>
      <c r="M4004"/>
      <c r="N4004"/>
      <c r="O4004"/>
    </row>
    <row r="4005" spans="1:15" hidden="1" x14ac:dyDescent="0.25">
      <c r="A4005" t="s">
        <v>86</v>
      </c>
      <c r="B4005" t="s">
        <v>115</v>
      </c>
      <c r="C4005" t="b">
        <v>0</v>
      </c>
      <c r="D4005" s="1">
        <v>41456</v>
      </c>
      <c r="E4005">
        <v>5</v>
      </c>
      <c r="F4005"/>
      <c r="G4005"/>
      <c r="H4005"/>
      <c r="I4005"/>
      <c r="J4005"/>
      <c r="K4005"/>
      <c r="L4005"/>
      <c r="M4005"/>
      <c r="N4005"/>
      <c r="O4005"/>
    </row>
    <row r="4006" spans="1:15" hidden="1" x14ac:dyDescent="0.25">
      <c r="A4006" t="s">
        <v>88</v>
      </c>
      <c r="B4006" t="s">
        <v>115</v>
      </c>
      <c r="C4006" t="b">
        <v>0</v>
      </c>
      <c r="D4006" s="1">
        <v>41456</v>
      </c>
      <c r="E4006">
        <v>5</v>
      </c>
      <c r="F4006"/>
      <c r="G4006"/>
      <c r="H4006"/>
      <c r="I4006"/>
      <c r="J4006"/>
      <c r="K4006"/>
      <c r="L4006"/>
      <c r="M4006"/>
      <c r="N4006"/>
      <c r="O4006"/>
    </row>
    <row r="4007" spans="1:15" hidden="1" x14ac:dyDescent="0.25">
      <c r="A4007" t="s">
        <v>95</v>
      </c>
      <c r="B4007" t="s">
        <v>115</v>
      </c>
      <c r="C4007" t="b">
        <v>0</v>
      </c>
      <c r="D4007" s="1">
        <v>41456</v>
      </c>
      <c r="E4007">
        <v>5</v>
      </c>
      <c r="F4007"/>
      <c r="G4007"/>
      <c r="H4007"/>
      <c r="I4007"/>
      <c r="J4007"/>
      <c r="K4007"/>
      <c r="L4007"/>
      <c r="M4007"/>
      <c r="N4007"/>
      <c r="O4007"/>
    </row>
    <row r="4008" spans="1:15" hidden="1" x14ac:dyDescent="0.25">
      <c r="A4008" t="s">
        <v>96</v>
      </c>
      <c r="B4008" t="s">
        <v>115</v>
      </c>
      <c r="C4008" t="b">
        <v>0</v>
      </c>
      <c r="D4008" s="1">
        <v>41456</v>
      </c>
      <c r="E4008">
        <v>5</v>
      </c>
      <c r="F4008"/>
      <c r="G4008"/>
      <c r="H4008"/>
      <c r="I4008"/>
      <c r="J4008"/>
      <c r="K4008"/>
      <c r="L4008"/>
      <c r="M4008"/>
      <c r="N4008"/>
      <c r="O4008"/>
    </row>
    <row r="4009" spans="1:15" hidden="1" x14ac:dyDescent="0.25">
      <c r="A4009" t="s">
        <v>98</v>
      </c>
      <c r="B4009" t="s">
        <v>115</v>
      </c>
      <c r="C4009" t="b">
        <v>0</v>
      </c>
      <c r="D4009" s="1">
        <v>41456</v>
      </c>
      <c r="E4009">
        <v>5</v>
      </c>
      <c r="F4009"/>
      <c r="G4009"/>
      <c r="H4009"/>
      <c r="I4009"/>
      <c r="J4009"/>
      <c r="K4009"/>
      <c r="L4009"/>
      <c r="M4009"/>
      <c r="N4009"/>
      <c r="O4009"/>
    </row>
    <row r="4010" spans="1:15" hidden="1" x14ac:dyDescent="0.25">
      <c r="A4010" t="s">
        <v>99</v>
      </c>
      <c r="B4010" t="s">
        <v>114</v>
      </c>
      <c r="C4010" t="b">
        <v>0</v>
      </c>
      <c r="D4010" s="1">
        <v>41456</v>
      </c>
      <c r="E4010">
        <v>26.15</v>
      </c>
      <c r="F4010"/>
      <c r="G4010"/>
      <c r="H4010"/>
      <c r="I4010"/>
      <c r="J4010"/>
      <c r="K4010"/>
      <c r="L4010"/>
      <c r="M4010"/>
      <c r="N4010"/>
      <c r="O4010"/>
    </row>
    <row r="4011" spans="1:15" hidden="1" x14ac:dyDescent="0.25">
      <c r="A4011" t="s">
        <v>100</v>
      </c>
      <c r="B4011" t="s">
        <v>117</v>
      </c>
      <c r="C4011" t="b">
        <v>0</v>
      </c>
      <c r="D4011" s="1">
        <v>41487</v>
      </c>
      <c r="E4011" s="2">
        <v>-46.2</v>
      </c>
      <c r="F4011"/>
      <c r="G4011"/>
      <c r="H4011"/>
      <c r="I4011"/>
      <c r="J4011"/>
      <c r="K4011"/>
      <c r="L4011"/>
      <c r="M4011"/>
      <c r="N4011"/>
      <c r="O4011"/>
    </row>
    <row r="4012" spans="1:15" hidden="1" x14ac:dyDescent="0.25">
      <c r="A4012" t="s">
        <v>104</v>
      </c>
      <c r="B4012" t="s">
        <v>117</v>
      </c>
      <c r="C4012" t="b">
        <v>0</v>
      </c>
      <c r="D4012" s="1">
        <v>41487</v>
      </c>
      <c r="E4012" s="2">
        <v>-15.47</v>
      </c>
      <c r="F4012"/>
      <c r="G4012"/>
      <c r="H4012"/>
      <c r="I4012"/>
      <c r="J4012"/>
      <c r="K4012"/>
      <c r="L4012"/>
      <c r="M4012"/>
      <c r="N4012"/>
      <c r="O4012"/>
    </row>
    <row r="4013" spans="1:15" hidden="1" x14ac:dyDescent="0.25">
      <c r="A4013" t="s">
        <v>102</v>
      </c>
      <c r="B4013" t="s">
        <v>117</v>
      </c>
      <c r="C4013" t="b">
        <v>0</v>
      </c>
      <c r="D4013" s="1">
        <v>41487</v>
      </c>
      <c r="E4013" s="2">
        <v>-18.87</v>
      </c>
      <c r="F4013"/>
      <c r="G4013"/>
      <c r="H4013"/>
      <c r="I4013"/>
      <c r="J4013"/>
      <c r="K4013"/>
      <c r="L4013"/>
      <c r="M4013"/>
      <c r="N4013"/>
      <c r="O4013"/>
    </row>
    <row r="4014" spans="1:15" hidden="1" x14ac:dyDescent="0.25">
      <c r="A4014" t="s">
        <v>103</v>
      </c>
      <c r="B4014" t="s">
        <v>117</v>
      </c>
      <c r="C4014" t="b">
        <v>0</v>
      </c>
      <c r="D4014" s="1">
        <v>41487</v>
      </c>
      <c r="E4014" s="2">
        <v>-19</v>
      </c>
      <c r="F4014"/>
      <c r="G4014"/>
      <c r="H4014"/>
      <c r="I4014"/>
      <c r="J4014"/>
      <c r="K4014"/>
      <c r="L4014"/>
      <c r="M4014"/>
      <c r="N4014"/>
      <c r="O4014"/>
    </row>
    <row r="4015" spans="1:15" hidden="1" x14ac:dyDescent="0.25">
      <c r="A4015" t="s">
        <v>43</v>
      </c>
      <c r="B4015" t="s">
        <v>115</v>
      </c>
      <c r="C4015" t="b">
        <v>0</v>
      </c>
      <c r="D4015" s="1">
        <v>41487</v>
      </c>
      <c r="E4015">
        <v>5</v>
      </c>
      <c r="F4015"/>
      <c r="G4015"/>
      <c r="H4015"/>
      <c r="I4015"/>
      <c r="J4015"/>
      <c r="K4015"/>
      <c r="L4015"/>
      <c r="M4015"/>
      <c r="N4015"/>
      <c r="O4015"/>
    </row>
    <row r="4016" spans="1:15" hidden="1" x14ac:dyDescent="0.25">
      <c r="A4016" t="s">
        <v>44</v>
      </c>
      <c r="B4016" t="s">
        <v>115</v>
      </c>
      <c r="C4016" t="b">
        <v>0</v>
      </c>
      <c r="D4016" s="1">
        <v>41487</v>
      </c>
      <c r="E4016">
        <v>5</v>
      </c>
      <c r="F4016"/>
      <c r="G4016"/>
      <c r="H4016"/>
      <c r="I4016"/>
      <c r="J4016"/>
      <c r="K4016"/>
      <c r="L4016"/>
      <c r="M4016"/>
      <c r="N4016"/>
      <c r="O4016"/>
    </row>
    <row r="4017" spans="1:15" hidden="1" x14ac:dyDescent="0.25">
      <c r="A4017" t="s">
        <v>46</v>
      </c>
      <c r="B4017" t="s">
        <v>115</v>
      </c>
      <c r="C4017" t="b">
        <v>0</v>
      </c>
      <c r="D4017" s="1">
        <v>41487</v>
      </c>
      <c r="E4017">
        <v>5</v>
      </c>
      <c r="F4017"/>
      <c r="G4017"/>
      <c r="H4017"/>
      <c r="I4017"/>
      <c r="J4017"/>
      <c r="K4017"/>
      <c r="L4017"/>
      <c r="M4017"/>
      <c r="N4017"/>
      <c r="O4017"/>
    </row>
    <row r="4018" spans="1:15" hidden="1" x14ac:dyDescent="0.25">
      <c r="A4018" t="s">
        <v>50</v>
      </c>
      <c r="B4018" t="s">
        <v>115</v>
      </c>
      <c r="C4018" t="b">
        <v>0</v>
      </c>
      <c r="D4018" s="1">
        <v>41487</v>
      </c>
      <c r="E4018">
        <v>5</v>
      </c>
      <c r="F4018"/>
      <c r="G4018"/>
      <c r="H4018"/>
      <c r="I4018"/>
      <c r="J4018"/>
      <c r="K4018"/>
      <c r="L4018"/>
      <c r="M4018"/>
      <c r="N4018"/>
      <c r="O4018"/>
    </row>
    <row r="4019" spans="1:15" hidden="1" x14ac:dyDescent="0.25">
      <c r="A4019" t="s">
        <v>54</v>
      </c>
      <c r="B4019" t="s">
        <v>115</v>
      </c>
      <c r="C4019" t="b">
        <v>0</v>
      </c>
      <c r="D4019" s="1">
        <v>41487</v>
      </c>
      <c r="E4019">
        <v>5</v>
      </c>
      <c r="F4019"/>
      <c r="G4019"/>
      <c r="H4019"/>
      <c r="I4019"/>
      <c r="J4019"/>
      <c r="K4019"/>
      <c r="L4019"/>
      <c r="M4019"/>
      <c r="N4019"/>
      <c r="O4019"/>
    </row>
    <row r="4020" spans="1:15" hidden="1" x14ac:dyDescent="0.25">
      <c r="A4020" t="s">
        <v>55</v>
      </c>
      <c r="B4020" t="s">
        <v>115</v>
      </c>
      <c r="C4020" t="b">
        <v>0</v>
      </c>
      <c r="D4020" s="1">
        <v>41487</v>
      </c>
      <c r="E4020">
        <v>5</v>
      </c>
      <c r="F4020"/>
      <c r="G4020"/>
      <c r="H4020"/>
      <c r="I4020"/>
      <c r="J4020"/>
      <c r="K4020"/>
      <c r="L4020"/>
      <c r="M4020"/>
      <c r="N4020"/>
      <c r="O4020"/>
    </row>
    <row r="4021" spans="1:15" hidden="1" x14ac:dyDescent="0.25">
      <c r="A4021" t="s">
        <v>58</v>
      </c>
      <c r="B4021" t="s">
        <v>115</v>
      </c>
      <c r="C4021" t="b">
        <v>0</v>
      </c>
      <c r="D4021" s="1">
        <v>41487</v>
      </c>
      <c r="E4021">
        <v>5</v>
      </c>
      <c r="F4021"/>
      <c r="G4021"/>
      <c r="H4021"/>
      <c r="I4021"/>
      <c r="J4021"/>
      <c r="K4021"/>
      <c r="L4021"/>
      <c r="M4021"/>
      <c r="N4021"/>
      <c r="O4021"/>
    </row>
    <row r="4022" spans="1:15" hidden="1" x14ac:dyDescent="0.25">
      <c r="A4022" t="s">
        <v>59</v>
      </c>
      <c r="B4022" t="s">
        <v>115</v>
      </c>
      <c r="C4022" t="b">
        <v>0</v>
      </c>
      <c r="D4022" s="1">
        <v>41487</v>
      </c>
      <c r="E4022">
        <v>5</v>
      </c>
      <c r="F4022"/>
      <c r="G4022"/>
      <c r="H4022"/>
      <c r="I4022"/>
      <c r="J4022"/>
      <c r="K4022"/>
      <c r="L4022"/>
      <c r="M4022"/>
      <c r="N4022"/>
      <c r="O4022"/>
    </row>
    <row r="4023" spans="1:15" hidden="1" x14ac:dyDescent="0.25">
      <c r="A4023" t="s">
        <v>68</v>
      </c>
      <c r="B4023" t="s">
        <v>115</v>
      </c>
      <c r="C4023" t="b">
        <v>0</v>
      </c>
      <c r="D4023" s="1">
        <v>41487</v>
      </c>
      <c r="E4023">
        <v>5</v>
      </c>
      <c r="F4023"/>
      <c r="G4023"/>
      <c r="H4023"/>
      <c r="I4023"/>
      <c r="J4023"/>
      <c r="K4023"/>
      <c r="L4023"/>
      <c r="M4023"/>
      <c r="N4023"/>
      <c r="O4023"/>
    </row>
    <row r="4024" spans="1:15" hidden="1" x14ac:dyDescent="0.25">
      <c r="A4024" t="s">
        <v>69</v>
      </c>
      <c r="B4024" t="s">
        <v>115</v>
      </c>
      <c r="C4024" t="b">
        <v>0</v>
      </c>
      <c r="D4024" s="1">
        <v>41487</v>
      </c>
      <c r="E4024">
        <v>5</v>
      </c>
      <c r="F4024"/>
      <c r="G4024"/>
      <c r="H4024"/>
      <c r="I4024"/>
      <c r="J4024"/>
      <c r="K4024"/>
      <c r="L4024"/>
      <c r="M4024"/>
      <c r="N4024"/>
      <c r="O4024"/>
    </row>
    <row r="4025" spans="1:15" hidden="1" x14ac:dyDescent="0.25">
      <c r="A4025" t="s">
        <v>76</v>
      </c>
      <c r="B4025" t="s">
        <v>115</v>
      </c>
      <c r="C4025" t="b">
        <v>0</v>
      </c>
      <c r="D4025" s="1">
        <v>41487</v>
      </c>
      <c r="E4025">
        <v>1E-3</v>
      </c>
      <c r="F4025"/>
      <c r="G4025"/>
      <c r="H4025"/>
      <c r="I4025"/>
      <c r="J4025"/>
      <c r="K4025"/>
      <c r="L4025"/>
      <c r="M4025"/>
      <c r="N4025"/>
      <c r="O4025"/>
    </row>
    <row r="4026" spans="1:15" hidden="1" x14ac:dyDescent="0.25">
      <c r="A4026" t="s">
        <v>80</v>
      </c>
      <c r="B4026" t="s">
        <v>115</v>
      </c>
      <c r="C4026" t="b">
        <v>0</v>
      </c>
      <c r="D4026" s="1">
        <v>41487</v>
      </c>
      <c r="E4026">
        <v>5</v>
      </c>
      <c r="F4026"/>
      <c r="G4026"/>
      <c r="H4026"/>
      <c r="I4026"/>
      <c r="J4026"/>
      <c r="K4026"/>
      <c r="L4026"/>
      <c r="M4026"/>
      <c r="N4026"/>
      <c r="O4026"/>
    </row>
    <row r="4027" spans="1:15" hidden="1" x14ac:dyDescent="0.25">
      <c r="A4027" t="s">
        <v>84</v>
      </c>
      <c r="B4027" t="s">
        <v>115</v>
      </c>
      <c r="C4027" t="b">
        <v>0</v>
      </c>
      <c r="D4027" s="1">
        <v>41487</v>
      </c>
      <c r="E4027">
        <v>5</v>
      </c>
      <c r="F4027"/>
      <c r="G4027"/>
      <c r="H4027"/>
      <c r="I4027"/>
      <c r="J4027"/>
      <c r="K4027"/>
      <c r="L4027"/>
      <c r="M4027"/>
      <c r="N4027"/>
      <c r="O4027"/>
    </row>
    <row r="4028" spans="1:15" hidden="1" x14ac:dyDescent="0.25">
      <c r="A4028" t="s">
        <v>86</v>
      </c>
      <c r="B4028" t="s">
        <v>115</v>
      </c>
      <c r="C4028" t="b">
        <v>0</v>
      </c>
      <c r="D4028" s="1">
        <v>41487</v>
      </c>
      <c r="E4028">
        <v>5</v>
      </c>
      <c r="F4028"/>
      <c r="G4028"/>
      <c r="H4028"/>
      <c r="I4028"/>
      <c r="J4028"/>
      <c r="K4028"/>
      <c r="L4028"/>
      <c r="M4028"/>
      <c r="N4028"/>
      <c r="O4028"/>
    </row>
    <row r="4029" spans="1:15" hidden="1" x14ac:dyDescent="0.25">
      <c r="A4029" t="s">
        <v>88</v>
      </c>
      <c r="B4029" t="s">
        <v>115</v>
      </c>
      <c r="C4029" t="b">
        <v>0</v>
      </c>
      <c r="D4029" s="1">
        <v>41487</v>
      </c>
      <c r="E4029">
        <v>5</v>
      </c>
      <c r="F4029"/>
      <c r="G4029"/>
      <c r="H4029"/>
      <c r="I4029"/>
      <c r="J4029"/>
      <c r="K4029"/>
      <c r="L4029"/>
      <c r="M4029"/>
      <c r="N4029"/>
      <c r="O4029"/>
    </row>
    <row r="4030" spans="1:15" hidden="1" x14ac:dyDescent="0.25">
      <c r="A4030" t="s">
        <v>95</v>
      </c>
      <c r="B4030" t="s">
        <v>115</v>
      </c>
      <c r="C4030" t="b">
        <v>0</v>
      </c>
      <c r="D4030" s="1">
        <v>41487</v>
      </c>
      <c r="E4030">
        <v>5</v>
      </c>
      <c r="F4030"/>
      <c r="G4030"/>
      <c r="H4030"/>
      <c r="I4030"/>
      <c r="J4030"/>
      <c r="K4030"/>
      <c r="L4030"/>
      <c r="M4030"/>
      <c r="N4030"/>
      <c r="O4030"/>
    </row>
    <row r="4031" spans="1:15" hidden="1" x14ac:dyDescent="0.25">
      <c r="A4031" t="s">
        <v>96</v>
      </c>
      <c r="B4031" t="s">
        <v>115</v>
      </c>
      <c r="C4031" t="b">
        <v>0</v>
      </c>
      <c r="D4031" s="1">
        <v>41487</v>
      </c>
      <c r="E4031">
        <v>5</v>
      </c>
      <c r="F4031"/>
      <c r="G4031"/>
      <c r="H4031"/>
      <c r="I4031"/>
      <c r="J4031"/>
      <c r="K4031"/>
      <c r="L4031"/>
      <c r="M4031"/>
      <c r="N4031"/>
      <c r="O4031"/>
    </row>
    <row r="4032" spans="1:15" hidden="1" x14ac:dyDescent="0.25">
      <c r="A4032" t="s">
        <v>98</v>
      </c>
      <c r="B4032" t="s">
        <v>115</v>
      </c>
      <c r="C4032" t="b">
        <v>0</v>
      </c>
      <c r="D4032" s="1">
        <v>41487</v>
      </c>
      <c r="E4032">
        <v>5</v>
      </c>
      <c r="F4032"/>
      <c r="G4032"/>
      <c r="H4032"/>
      <c r="I4032"/>
      <c r="J4032"/>
      <c r="K4032"/>
      <c r="L4032"/>
      <c r="M4032"/>
      <c r="N4032"/>
      <c r="O4032"/>
    </row>
    <row r="4033" spans="1:15" hidden="1" x14ac:dyDescent="0.25">
      <c r="A4033" t="s">
        <v>99</v>
      </c>
      <c r="B4033" t="s">
        <v>114</v>
      </c>
      <c r="C4033" t="b">
        <v>0</v>
      </c>
      <c r="D4033" s="1">
        <v>41487</v>
      </c>
      <c r="E4033">
        <v>19.079999999999998</v>
      </c>
      <c r="F4033"/>
      <c r="G4033"/>
      <c r="H4033"/>
      <c r="I4033"/>
      <c r="J4033"/>
      <c r="K4033"/>
      <c r="L4033"/>
      <c r="M4033"/>
      <c r="N4033"/>
      <c r="O4033"/>
    </row>
    <row r="4034" spans="1:15" hidden="1" x14ac:dyDescent="0.25">
      <c r="A4034" t="s">
        <v>100</v>
      </c>
      <c r="B4034" t="s">
        <v>117</v>
      </c>
      <c r="C4034" t="b">
        <v>0</v>
      </c>
      <c r="D4034" s="1">
        <v>41518</v>
      </c>
      <c r="E4034" s="2">
        <v>-49.95</v>
      </c>
      <c r="F4034"/>
      <c r="G4034"/>
      <c r="H4034"/>
      <c r="I4034"/>
      <c r="J4034"/>
      <c r="K4034"/>
      <c r="L4034"/>
      <c r="M4034"/>
      <c r="N4034"/>
      <c r="O4034"/>
    </row>
    <row r="4035" spans="1:15" hidden="1" x14ac:dyDescent="0.25">
      <c r="A4035" t="s">
        <v>102</v>
      </c>
      <c r="B4035" t="s">
        <v>117</v>
      </c>
      <c r="C4035" t="b">
        <v>0</v>
      </c>
      <c r="D4035" s="1">
        <v>41518</v>
      </c>
      <c r="E4035" s="2">
        <v>-30.39</v>
      </c>
      <c r="F4035"/>
      <c r="G4035"/>
      <c r="H4035"/>
      <c r="I4035"/>
      <c r="J4035"/>
      <c r="K4035"/>
      <c r="L4035"/>
      <c r="M4035"/>
      <c r="N4035"/>
      <c r="O4035"/>
    </row>
    <row r="4036" spans="1:15" hidden="1" x14ac:dyDescent="0.25">
      <c r="A4036" t="s">
        <v>103</v>
      </c>
      <c r="B4036" t="s">
        <v>117</v>
      </c>
      <c r="C4036" t="b">
        <v>0</v>
      </c>
      <c r="D4036" s="1">
        <v>41518</v>
      </c>
      <c r="E4036" s="2">
        <v>-3.17</v>
      </c>
      <c r="F4036"/>
      <c r="G4036"/>
      <c r="H4036"/>
      <c r="I4036"/>
      <c r="J4036"/>
      <c r="K4036"/>
      <c r="L4036"/>
      <c r="M4036"/>
      <c r="N4036"/>
      <c r="O4036"/>
    </row>
    <row r="4037" spans="1:15" hidden="1" x14ac:dyDescent="0.25">
      <c r="A4037" t="s">
        <v>101</v>
      </c>
      <c r="B4037" t="s">
        <v>117</v>
      </c>
      <c r="C4037" t="b">
        <v>0</v>
      </c>
      <c r="D4037" s="1">
        <v>41518</v>
      </c>
      <c r="E4037" s="2">
        <v>-2.79</v>
      </c>
      <c r="F4037"/>
      <c r="G4037"/>
      <c r="H4037"/>
      <c r="I4037"/>
      <c r="J4037"/>
      <c r="K4037"/>
      <c r="L4037"/>
      <c r="M4037"/>
      <c r="N4037"/>
      <c r="O4037"/>
    </row>
    <row r="4038" spans="1:15" hidden="1" x14ac:dyDescent="0.25">
      <c r="A4038" t="s">
        <v>43</v>
      </c>
      <c r="B4038" t="s">
        <v>115</v>
      </c>
      <c r="C4038" t="b">
        <v>0</v>
      </c>
      <c r="D4038" s="1">
        <v>41518</v>
      </c>
      <c r="E4038">
        <v>5</v>
      </c>
      <c r="F4038"/>
      <c r="G4038"/>
      <c r="H4038"/>
      <c r="I4038"/>
      <c r="J4038"/>
      <c r="K4038"/>
      <c r="L4038"/>
      <c r="M4038"/>
      <c r="N4038"/>
      <c r="O4038"/>
    </row>
    <row r="4039" spans="1:15" hidden="1" x14ac:dyDescent="0.25">
      <c r="A4039" t="s">
        <v>44</v>
      </c>
      <c r="B4039" t="s">
        <v>115</v>
      </c>
      <c r="C4039" t="b">
        <v>0</v>
      </c>
      <c r="D4039" s="1">
        <v>41518</v>
      </c>
      <c r="E4039">
        <v>5</v>
      </c>
      <c r="F4039"/>
      <c r="G4039"/>
      <c r="H4039"/>
      <c r="I4039"/>
      <c r="J4039"/>
      <c r="K4039"/>
      <c r="L4039"/>
      <c r="M4039"/>
      <c r="N4039"/>
      <c r="O4039"/>
    </row>
    <row r="4040" spans="1:15" hidden="1" x14ac:dyDescent="0.25">
      <c r="A4040" t="s">
        <v>46</v>
      </c>
      <c r="B4040" t="s">
        <v>115</v>
      </c>
      <c r="C4040" t="b">
        <v>0</v>
      </c>
      <c r="D4040" s="1">
        <v>41518</v>
      </c>
      <c r="E4040">
        <v>5</v>
      </c>
      <c r="F4040"/>
      <c r="G4040"/>
      <c r="H4040"/>
      <c r="I4040"/>
      <c r="J4040"/>
      <c r="K4040"/>
      <c r="L4040"/>
      <c r="M4040"/>
      <c r="N4040"/>
      <c r="O4040"/>
    </row>
    <row r="4041" spans="1:15" hidden="1" x14ac:dyDescent="0.25">
      <c r="A4041" t="s">
        <v>50</v>
      </c>
      <c r="B4041" t="s">
        <v>115</v>
      </c>
      <c r="C4041" t="b">
        <v>0</v>
      </c>
      <c r="D4041" s="1">
        <v>41518</v>
      </c>
      <c r="E4041">
        <v>5</v>
      </c>
      <c r="F4041"/>
      <c r="G4041"/>
      <c r="H4041"/>
      <c r="I4041"/>
      <c r="J4041"/>
      <c r="K4041"/>
      <c r="L4041"/>
      <c r="M4041"/>
      <c r="N4041"/>
      <c r="O4041"/>
    </row>
    <row r="4042" spans="1:15" hidden="1" x14ac:dyDescent="0.25">
      <c r="A4042" t="s">
        <v>54</v>
      </c>
      <c r="B4042" t="s">
        <v>115</v>
      </c>
      <c r="C4042" t="b">
        <v>0</v>
      </c>
      <c r="D4042" s="1">
        <v>41518</v>
      </c>
      <c r="E4042">
        <v>5</v>
      </c>
      <c r="F4042"/>
      <c r="G4042"/>
      <c r="H4042"/>
      <c r="I4042"/>
      <c r="J4042"/>
      <c r="K4042"/>
      <c r="L4042"/>
      <c r="M4042"/>
      <c r="N4042"/>
      <c r="O4042"/>
    </row>
    <row r="4043" spans="1:15" hidden="1" x14ac:dyDescent="0.25">
      <c r="A4043" t="s">
        <v>55</v>
      </c>
      <c r="B4043" t="s">
        <v>115</v>
      </c>
      <c r="C4043" t="b">
        <v>0</v>
      </c>
      <c r="D4043" s="1">
        <v>41518</v>
      </c>
      <c r="E4043">
        <v>5</v>
      </c>
      <c r="F4043"/>
      <c r="G4043"/>
      <c r="H4043"/>
      <c r="I4043"/>
      <c r="J4043"/>
      <c r="K4043"/>
      <c r="L4043"/>
      <c r="M4043"/>
      <c r="N4043"/>
      <c r="O4043"/>
    </row>
    <row r="4044" spans="1:15" hidden="1" x14ac:dyDescent="0.25">
      <c r="A4044" t="s">
        <v>58</v>
      </c>
      <c r="B4044" t="s">
        <v>115</v>
      </c>
      <c r="C4044" t="b">
        <v>0</v>
      </c>
      <c r="D4044" s="1">
        <v>41518</v>
      </c>
      <c r="E4044">
        <v>5</v>
      </c>
      <c r="F4044"/>
      <c r="G4044"/>
      <c r="H4044"/>
      <c r="I4044"/>
      <c r="J4044"/>
      <c r="K4044"/>
      <c r="L4044"/>
      <c r="M4044"/>
      <c r="N4044"/>
      <c r="O4044"/>
    </row>
    <row r="4045" spans="1:15" hidden="1" x14ac:dyDescent="0.25">
      <c r="A4045" t="s">
        <v>59</v>
      </c>
      <c r="B4045" t="s">
        <v>115</v>
      </c>
      <c r="C4045" t="b">
        <v>0</v>
      </c>
      <c r="D4045" s="1">
        <v>41518</v>
      </c>
      <c r="E4045">
        <v>5</v>
      </c>
      <c r="F4045"/>
      <c r="G4045"/>
      <c r="H4045"/>
      <c r="I4045"/>
      <c r="J4045"/>
      <c r="K4045"/>
      <c r="L4045"/>
      <c r="M4045"/>
      <c r="N4045"/>
      <c r="O4045"/>
    </row>
    <row r="4046" spans="1:15" hidden="1" x14ac:dyDescent="0.25">
      <c r="A4046" t="s">
        <v>68</v>
      </c>
      <c r="B4046" t="s">
        <v>115</v>
      </c>
      <c r="C4046" t="b">
        <v>0</v>
      </c>
      <c r="D4046" s="1">
        <v>41518</v>
      </c>
      <c r="E4046">
        <v>5</v>
      </c>
      <c r="F4046"/>
      <c r="G4046"/>
      <c r="H4046"/>
      <c r="I4046"/>
      <c r="J4046"/>
      <c r="K4046"/>
      <c r="L4046"/>
      <c r="M4046"/>
      <c r="N4046"/>
      <c r="O4046"/>
    </row>
    <row r="4047" spans="1:15" hidden="1" x14ac:dyDescent="0.25">
      <c r="A4047" t="s">
        <v>69</v>
      </c>
      <c r="B4047" t="s">
        <v>115</v>
      </c>
      <c r="C4047" t="b">
        <v>0</v>
      </c>
      <c r="D4047" s="1">
        <v>41518</v>
      </c>
      <c r="E4047">
        <v>5</v>
      </c>
      <c r="F4047"/>
      <c r="G4047"/>
      <c r="H4047"/>
      <c r="I4047"/>
      <c r="J4047"/>
      <c r="K4047"/>
      <c r="L4047"/>
      <c r="M4047"/>
      <c r="N4047"/>
      <c r="O4047"/>
    </row>
    <row r="4048" spans="1:15" hidden="1" x14ac:dyDescent="0.25">
      <c r="A4048" t="s">
        <v>76</v>
      </c>
      <c r="B4048" t="s">
        <v>115</v>
      </c>
      <c r="C4048" t="b">
        <v>0</v>
      </c>
      <c r="D4048" s="1">
        <v>41518</v>
      </c>
      <c r="E4048">
        <v>1E-3</v>
      </c>
      <c r="F4048"/>
      <c r="G4048"/>
      <c r="H4048"/>
      <c r="I4048"/>
      <c r="J4048"/>
      <c r="K4048"/>
      <c r="L4048"/>
      <c r="M4048"/>
      <c r="N4048"/>
      <c r="O4048"/>
    </row>
    <row r="4049" spans="1:15" hidden="1" x14ac:dyDescent="0.25">
      <c r="A4049" t="s">
        <v>80</v>
      </c>
      <c r="B4049" t="s">
        <v>115</v>
      </c>
      <c r="C4049" t="b">
        <v>0</v>
      </c>
      <c r="D4049" s="1">
        <v>41518</v>
      </c>
      <c r="E4049">
        <v>5</v>
      </c>
      <c r="F4049"/>
      <c r="G4049"/>
      <c r="H4049"/>
      <c r="I4049"/>
      <c r="J4049"/>
      <c r="K4049"/>
      <c r="L4049"/>
      <c r="M4049"/>
      <c r="N4049"/>
      <c r="O4049"/>
    </row>
    <row r="4050" spans="1:15" hidden="1" x14ac:dyDescent="0.25">
      <c r="A4050" t="s">
        <v>84</v>
      </c>
      <c r="B4050" t="s">
        <v>115</v>
      </c>
      <c r="C4050" t="b">
        <v>0</v>
      </c>
      <c r="D4050" s="1">
        <v>41518</v>
      </c>
      <c r="E4050">
        <v>5</v>
      </c>
      <c r="F4050"/>
      <c r="G4050"/>
      <c r="H4050"/>
      <c r="I4050"/>
      <c r="J4050"/>
      <c r="K4050"/>
      <c r="L4050"/>
      <c r="M4050"/>
      <c r="N4050"/>
      <c r="O4050"/>
    </row>
    <row r="4051" spans="1:15" hidden="1" x14ac:dyDescent="0.25">
      <c r="A4051" t="s">
        <v>86</v>
      </c>
      <c r="B4051" t="s">
        <v>115</v>
      </c>
      <c r="C4051" t="b">
        <v>0</v>
      </c>
      <c r="D4051" s="1">
        <v>41518</v>
      </c>
      <c r="E4051">
        <v>5</v>
      </c>
      <c r="F4051"/>
      <c r="G4051"/>
      <c r="H4051"/>
      <c r="I4051"/>
      <c r="J4051"/>
      <c r="K4051"/>
      <c r="L4051"/>
      <c r="M4051"/>
      <c r="N4051"/>
      <c r="O4051"/>
    </row>
    <row r="4052" spans="1:15" hidden="1" x14ac:dyDescent="0.25">
      <c r="A4052" t="s">
        <v>88</v>
      </c>
      <c r="B4052" t="s">
        <v>115</v>
      </c>
      <c r="C4052" t="b">
        <v>0</v>
      </c>
      <c r="D4052" s="1">
        <v>41518</v>
      </c>
      <c r="E4052">
        <v>5</v>
      </c>
      <c r="F4052"/>
      <c r="G4052"/>
      <c r="H4052"/>
      <c r="I4052"/>
      <c r="J4052"/>
      <c r="K4052"/>
      <c r="L4052"/>
      <c r="M4052"/>
      <c r="N4052"/>
      <c r="O4052"/>
    </row>
    <row r="4053" spans="1:15" hidden="1" x14ac:dyDescent="0.25">
      <c r="A4053" t="s">
        <v>95</v>
      </c>
      <c r="B4053" t="s">
        <v>115</v>
      </c>
      <c r="C4053" t="b">
        <v>0</v>
      </c>
      <c r="D4053" s="1">
        <v>41518</v>
      </c>
      <c r="E4053">
        <v>5</v>
      </c>
      <c r="F4053"/>
      <c r="G4053"/>
      <c r="H4053"/>
      <c r="I4053"/>
      <c r="J4053"/>
      <c r="K4053"/>
      <c r="L4053"/>
      <c r="M4053"/>
      <c r="N4053"/>
      <c r="O4053"/>
    </row>
    <row r="4054" spans="1:15" hidden="1" x14ac:dyDescent="0.25">
      <c r="A4054" t="s">
        <v>96</v>
      </c>
      <c r="B4054" t="s">
        <v>115</v>
      </c>
      <c r="C4054" t="b">
        <v>0</v>
      </c>
      <c r="D4054" s="1">
        <v>41518</v>
      </c>
      <c r="E4054">
        <v>5</v>
      </c>
      <c r="F4054"/>
      <c r="G4054"/>
      <c r="H4054"/>
      <c r="I4054"/>
      <c r="J4054"/>
      <c r="K4054"/>
      <c r="L4054"/>
      <c r="M4054"/>
      <c r="N4054"/>
      <c r="O4054"/>
    </row>
    <row r="4055" spans="1:15" hidden="1" x14ac:dyDescent="0.25">
      <c r="A4055" t="s">
        <v>98</v>
      </c>
      <c r="B4055" t="s">
        <v>115</v>
      </c>
      <c r="C4055" t="b">
        <v>0</v>
      </c>
      <c r="D4055" s="1">
        <v>41518</v>
      </c>
      <c r="E4055">
        <v>5</v>
      </c>
      <c r="F4055"/>
      <c r="G4055"/>
      <c r="H4055"/>
      <c r="I4055"/>
      <c r="J4055"/>
      <c r="K4055"/>
      <c r="L4055"/>
      <c r="M4055"/>
      <c r="N4055"/>
      <c r="O4055"/>
    </row>
    <row r="4056" spans="1:15" hidden="1" x14ac:dyDescent="0.25">
      <c r="A4056" t="s">
        <v>99</v>
      </c>
      <c r="B4056" t="s">
        <v>114</v>
      </c>
      <c r="C4056" t="b">
        <v>0</v>
      </c>
      <c r="D4056" s="1">
        <v>41518</v>
      </c>
      <c r="E4056">
        <v>17.260000000000002</v>
      </c>
      <c r="F4056"/>
      <c r="G4056"/>
      <c r="H4056"/>
      <c r="I4056"/>
      <c r="J4056"/>
      <c r="K4056"/>
      <c r="L4056"/>
      <c r="M4056"/>
      <c r="N4056"/>
      <c r="O4056"/>
    </row>
    <row r="4057" spans="1:15" hidden="1" x14ac:dyDescent="0.25">
      <c r="A4057" t="s">
        <v>100</v>
      </c>
      <c r="B4057" t="s">
        <v>117</v>
      </c>
      <c r="C4057" t="b">
        <v>0</v>
      </c>
      <c r="D4057" s="1">
        <v>41548</v>
      </c>
      <c r="E4057" s="2">
        <v>-49.900000000000006</v>
      </c>
      <c r="F4057"/>
      <c r="G4057"/>
      <c r="H4057"/>
      <c r="I4057"/>
      <c r="J4057"/>
      <c r="K4057"/>
      <c r="L4057"/>
      <c r="M4057"/>
      <c r="N4057"/>
      <c r="O4057"/>
    </row>
    <row r="4058" spans="1:15" hidden="1" x14ac:dyDescent="0.25">
      <c r="A4058" t="s">
        <v>104</v>
      </c>
      <c r="B4058" t="s">
        <v>117</v>
      </c>
      <c r="C4058" t="b">
        <v>0</v>
      </c>
      <c r="D4058" s="1">
        <v>41548</v>
      </c>
      <c r="E4058" s="2">
        <v>-2.4900000000000002</v>
      </c>
      <c r="F4058"/>
      <c r="G4058"/>
      <c r="H4058"/>
      <c r="I4058"/>
      <c r="J4058"/>
      <c r="K4058"/>
      <c r="L4058"/>
      <c r="M4058"/>
      <c r="N4058"/>
      <c r="O4058"/>
    </row>
    <row r="4059" spans="1:15" hidden="1" x14ac:dyDescent="0.25">
      <c r="A4059" t="s">
        <v>102</v>
      </c>
      <c r="B4059" t="s">
        <v>117</v>
      </c>
      <c r="C4059" t="b">
        <v>0</v>
      </c>
      <c r="D4059" s="1">
        <v>41548</v>
      </c>
      <c r="E4059" s="2">
        <v>-32.03</v>
      </c>
      <c r="F4059"/>
      <c r="G4059"/>
      <c r="H4059"/>
      <c r="I4059"/>
      <c r="J4059"/>
      <c r="K4059"/>
      <c r="L4059"/>
      <c r="M4059"/>
      <c r="N4059"/>
      <c r="O4059"/>
    </row>
    <row r="4060" spans="1:15" hidden="1" x14ac:dyDescent="0.25">
      <c r="A4060" t="s">
        <v>103</v>
      </c>
      <c r="B4060" t="s">
        <v>117</v>
      </c>
      <c r="C4060" t="b">
        <v>0</v>
      </c>
      <c r="D4060" s="1">
        <v>41548</v>
      </c>
      <c r="E4060" s="2">
        <v>-4.78</v>
      </c>
      <c r="F4060"/>
      <c r="G4060"/>
      <c r="H4060"/>
      <c r="I4060"/>
      <c r="J4060"/>
      <c r="K4060"/>
      <c r="L4060"/>
      <c r="M4060"/>
      <c r="N4060"/>
      <c r="O4060"/>
    </row>
    <row r="4061" spans="1:15" hidden="1" x14ac:dyDescent="0.25">
      <c r="A4061" t="s">
        <v>43</v>
      </c>
      <c r="B4061" t="s">
        <v>115</v>
      </c>
      <c r="C4061" t="b">
        <v>0</v>
      </c>
      <c r="D4061" s="1">
        <v>41548</v>
      </c>
      <c r="E4061">
        <v>5</v>
      </c>
      <c r="F4061"/>
      <c r="G4061"/>
      <c r="H4061"/>
      <c r="I4061"/>
      <c r="J4061"/>
      <c r="K4061"/>
      <c r="L4061"/>
      <c r="M4061"/>
      <c r="N4061"/>
      <c r="O4061"/>
    </row>
    <row r="4062" spans="1:15" hidden="1" x14ac:dyDescent="0.25">
      <c r="A4062" t="s">
        <v>44</v>
      </c>
      <c r="B4062" t="s">
        <v>115</v>
      </c>
      <c r="C4062" t="b">
        <v>0</v>
      </c>
      <c r="D4062" s="1">
        <v>41548</v>
      </c>
      <c r="E4062">
        <v>5</v>
      </c>
      <c r="F4062"/>
      <c r="G4062"/>
      <c r="H4062"/>
      <c r="I4062"/>
      <c r="J4062"/>
      <c r="K4062"/>
      <c r="L4062"/>
      <c r="M4062"/>
      <c r="N4062"/>
      <c r="O4062"/>
    </row>
    <row r="4063" spans="1:15" hidden="1" x14ac:dyDescent="0.25">
      <c r="A4063" t="s">
        <v>46</v>
      </c>
      <c r="B4063" t="s">
        <v>115</v>
      </c>
      <c r="C4063" t="b">
        <v>0</v>
      </c>
      <c r="D4063" s="1">
        <v>41548</v>
      </c>
      <c r="E4063">
        <v>5</v>
      </c>
      <c r="F4063"/>
      <c r="G4063"/>
      <c r="H4063"/>
      <c r="I4063"/>
      <c r="J4063"/>
      <c r="K4063"/>
      <c r="L4063"/>
      <c r="M4063"/>
      <c r="N4063"/>
      <c r="O4063"/>
    </row>
    <row r="4064" spans="1:15" hidden="1" x14ac:dyDescent="0.25">
      <c r="A4064" t="s">
        <v>50</v>
      </c>
      <c r="B4064" t="s">
        <v>115</v>
      </c>
      <c r="C4064" t="b">
        <v>0</v>
      </c>
      <c r="D4064" s="1">
        <v>41548</v>
      </c>
      <c r="E4064">
        <v>5</v>
      </c>
      <c r="F4064"/>
      <c r="G4064"/>
      <c r="H4064"/>
      <c r="I4064"/>
      <c r="J4064"/>
      <c r="K4064"/>
      <c r="L4064"/>
      <c r="M4064"/>
      <c r="N4064"/>
      <c r="O4064"/>
    </row>
    <row r="4065" spans="1:15" hidden="1" x14ac:dyDescent="0.25">
      <c r="A4065" t="s">
        <v>54</v>
      </c>
      <c r="B4065" t="s">
        <v>115</v>
      </c>
      <c r="C4065" t="b">
        <v>0</v>
      </c>
      <c r="D4065" s="1">
        <v>41548</v>
      </c>
      <c r="E4065">
        <v>5</v>
      </c>
      <c r="F4065"/>
      <c r="G4065"/>
      <c r="H4065"/>
      <c r="I4065"/>
      <c r="J4065"/>
      <c r="K4065"/>
      <c r="L4065"/>
      <c r="M4065"/>
      <c r="N4065"/>
      <c r="O4065"/>
    </row>
    <row r="4066" spans="1:15" hidden="1" x14ac:dyDescent="0.25">
      <c r="A4066" t="s">
        <v>55</v>
      </c>
      <c r="B4066" t="s">
        <v>115</v>
      </c>
      <c r="C4066" t="b">
        <v>0</v>
      </c>
      <c r="D4066" s="1">
        <v>41548</v>
      </c>
      <c r="E4066">
        <v>5</v>
      </c>
      <c r="F4066"/>
      <c r="G4066"/>
      <c r="H4066"/>
      <c r="I4066"/>
      <c r="J4066"/>
      <c r="K4066"/>
      <c r="L4066"/>
      <c r="M4066"/>
      <c r="N4066"/>
      <c r="O4066"/>
    </row>
    <row r="4067" spans="1:15" hidden="1" x14ac:dyDescent="0.25">
      <c r="A4067" t="s">
        <v>58</v>
      </c>
      <c r="B4067" t="s">
        <v>115</v>
      </c>
      <c r="C4067" t="b">
        <v>0</v>
      </c>
      <c r="D4067" s="1">
        <v>41548</v>
      </c>
      <c r="E4067">
        <v>5</v>
      </c>
      <c r="F4067"/>
      <c r="G4067"/>
      <c r="H4067"/>
      <c r="I4067"/>
      <c r="J4067"/>
      <c r="K4067"/>
      <c r="L4067"/>
      <c r="M4067"/>
      <c r="N4067"/>
      <c r="O4067"/>
    </row>
    <row r="4068" spans="1:15" hidden="1" x14ac:dyDescent="0.25">
      <c r="A4068" t="s">
        <v>59</v>
      </c>
      <c r="B4068" t="s">
        <v>115</v>
      </c>
      <c r="C4068" t="b">
        <v>0</v>
      </c>
      <c r="D4068" s="1">
        <v>41548</v>
      </c>
      <c r="E4068">
        <v>5</v>
      </c>
      <c r="F4068"/>
      <c r="G4068"/>
      <c r="H4068"/>
      <c r="I4068"/>
      <c r="J4068"/>
      <c r="K4068"/>
      <c r="L4068"/>
      <c r="M4068"/>
      <c r="N4068"/>
      <c r="O4068"/>
    </row>
    <row r="4069" spans="1:15" hidden="1" x14ac:dyDescent="0.25">
      <c r="A4069" t="s">
        <v>68</v>
      </c>
      <c r="B4069" t="s">
        <v>115</v>
      </c>
      <c r="C4069" t="b">
        <v>0</v>
      </c>
      <c r="D4069" s="1">
        <v>41548</v>
      </c>
      <c r="E4069">
        <v>5</v>
      </c>
      <c r="F4069"/>
      <c r="G4069"/>
      <c r="H4069"/>
      <c r="I4069"/>
      <c r="J4069"/>
      <c r="K4069"/>
      <c r="L4069"/>
      <c r="M4069"/>
      <c r="N4069"/>
      <c r="O4069"/>
    </row>
    <row r="4070" spans="1:15" hidden="1" x14ac:dyDescent="0.25">
      <c r="A4070" t="s">
        <v>69</v>
      </c>
      <c r="B4070" t="s">
        <v>115</v>
      </c>
      <c r="C4070" t="b">
        <v>0</v>
      </c>
      <c r="D4070" s="1">
        <v>41548</v>
      </c>
      <c r="E4070">
        <v>5</v>
      </c>
      <c r="F4070"/>
      <c r="G4070"/>
      <c r="H4070"/>
      <c r="I4070"/>
      <c r="J4070"/>
      <c r="K4070"/>
      <c r="L4070"/>
      <c r="M4070"/>
      <c r="N4070"/>
      <c r="O4070"/>
    </row>
    <row r="4071" spans="1:15" hidden="1" x14ac:dyDescent="0.25">
      <c r="A4071" t="s">
        <v>76</v>
      </c>
      <c r="B4071" t="s">
        <v>115</v>
      </c>
      <c r="C4071" t="b">
        <v>0</v>
      </c>
      <c r="D4071" s="1">
        <v>41548</v>
      </c>
      <c r="E4071">
        <v>1E-3</v>
      </c>
      <c r="F4071"/>
      <c r="G4071"/>
      <c r="H4071"/>
      <c r="I4071"/>
      <c r="J4071"/>
      <c r="K4071"/>
      <c r="L4071"/>
      <c r="M4071"/>
      <c r="N4071"/>
      <c r="O4071"/>
    </row>
    <row r="4072" spans="1:15" hidden="1" x14ac:dyDescent="0.25">
      <c r="A4072" t="s">
        <v>80</v>
      </c>
      <c r="B4072" t="s">
        <v>115</v>
      </c>
      <c r="C4072" t="b">
        <v>0</v>
      </c>
      <c r="D4072" s="1">
        <v>41548</v>
      </c>
      <c r="E4072">
        <v>5</v>
      </c>
      <c r="F4072"/>
      <c r="G4072"/>
      <c r="H4072"/>
      <c r="I4072"/>
      <c r="J4072"/>
      <c r="K4072"/>
      <c r="L4072"/>
      <c r="M4072"/>
      <c r="N4072"/>
      <c r="O4072"/>
    </row>
    <row r="4073" spans="1:15" hidden="1" x14ac:dyDescent="0.25">
      <c r="A4073" t="s">
        <v>84</v>
      </c>
      <c r="B4073" t="s">
        <v>115</v>
      </c>
      <c r="C4073" t="b">
        <v>0</v>
      </c>
      <c r="D4073" s="1">
        <v>41548</v>
      </c>
      <c r="E4073">
        <v>5</v>
      </c>
      <c r="F4073"/>
      <c r="G4073"/>
      <c r="H4073"/>
      <c r="I4073"/>
      <c r="J4073"/>
      <c r="K4073"/>
      <c r="L4073"/>
      <c r="M4073"/>
      <c r="N4073"/>
      <c r="O4073"/>
    </row>
    <row r="4074" spans="1:15" hidden="1" x14ac:dyDescent="0.25">
      <c r="A4074" t="s">
        <v>86</v>
      </c>
      <c r="B4074" t="s">
        <v>115</v>
      </c>
      <c r="C4074" t="b">
        <v>0</v>
      </c>
      <c r="D4074" s="1">
        <v>41548</v>
      </c>
      <c r="E4074">
        <v>5</v>
      </c>
      <c r="F4074"/>
      <c r="G4074"/>
      <c r="H4074"/>
      <c r="I4074"/>
      <c r="J4074"/>
      <c r="K4074"/>
      <c r="L4074"/>
      <c r="M4074"/>
      <c r="N4074"/>
      <c r="O4074"/>
    </row>
    <row r="4075" spans="1:15" hidden="1" x14ac:dyDescent="0.25">
      <c r="A4075" t="s">
        <v>88</v>
      </c>
      <c r="B4075" t="s">
        <v>115</v>
      </c>
      <c r="C4075" t="b">
        <v>0</v>
      </c>
      <c r="D4075" s="1">
        <v>41548</v>
      </c>
      <c r="E4075">
        <v>5</v>
      </c>
      <c r="F4075"/>
      <c r="G4075"/>
      <c r="H4075"/>
      <c r="I4075"/>
      <c r="J4075"/>
      <c r="K4075"/>
      <c r="L4075"/>
      <c r="M4075"/>
      <c r="N4075"/>
      <c r="O4075"/>
    </row>
    <row r="4076" spans="1:15" hidden="1" x14ac:dyDescent="0.25">
      <c r="A4076" t="s">
        <v>95</v>
      </c>
      <c r="B4076" t="s">
        <v>115</v>
      </c>
      <c r="C4076" t="b">
        <v>0</v>
      </c>
      <c r="D4076" s="1">
        <v>41548</v>
      </c>
      <c r="E4076">
        <v>5</v>
      </c>
      <c r="F4076"/>
      <c r="G4076"/>
      <c r="H4076"/>
      <c r="I4076"/>
      <c r="J4076"/>
      <c r="K4076"/>
      <c r="L4076"/>
      <c r="M4076"/>
      <c r="N4076"/>
      <c r="O4076"/>
    </row>
    <row r="4077" spans="1:15" hidden="1" x14ac:dyDescent="0.25">
      <c r="A4077" t="s">
        <v>96</v>
      </c>
      <c r="B4077" t="s">
        <v>115</v>
      </c>
      <c r="C4077" t="b">
        <v>0</v>
      </c>
      <c r="D4077" s="1">
        <v>41548</v>
      </c>
      <c r="E4077">
        <v>5</v>
      </c>
      <c r="F4077"/>
      <c r="G4077"/>
      <c r="H4077"/>
      <c r="I4077"/>
      <c r="J4077"/>
      <c r="K4077"/>
      <c r="L4077"/>
      <c r="M4077"/>
      <c r="N4077"/>
      <c r="O4077"/>
    </row>
    <row r="4078" spans="1:15" hidden="1" x14ac:dyDescent="0.25">
      <c r="A4078" t="s">
        <v>98</v>
      </c>
      <c r="B4078" t="s">
        <v>115</v>
      </c>
      <c r="C4078" t="b">
        <v>0</v>
      </c>
      <c r="D4078" s="1">
        <v>41548</v>
      </c>
      <c r="E4078">
        <v>5</v>
      </c>
      <c r="F4078"/>
      <c r="G4078"/>
      <c r="H4078"/>
      <c r="I4078"/>
      <c r="J4078"/>
      <c r="K4078"/>
      <c r="L4078"/>
      <c r="M4078"/>
      <c r="N4078"/>
      <c r="O4078"/>
    </row>
    <row r="4079" spans="1:15" hidden="1" x14ac:dyDescent="0.25">
      <c r="A4079" t="s">
        <v>99</v>
      </c>
      <c r="B4079" t="s">
        <v>114</v>
      </c>
      <c r="C4079" t="b">
        <v>0</v>
      </c>
      <c r="D4079" s="1">
        <v>41548</v>
      </c>
      <c r="E4079">
        <v>18.900000000000002</v>
      </c>
      <c r="F4079"/>
      <c r="G4079"/>
      <c r="H4079"/>
      <c r="I4079"/>
      <c r="J4079"/>
      <c r="K4079"/>
      <c r="L4079"/>
      <c r="M4079"/>
      <c r="N4079"/>
      <c r="O4079"/>
    </row>
    <row r="4080" spans="1:15" hidden="1" x14ac:dyDescent="0.25">
      <c r="A4080" t="s">
        <v>100</v>
      </c>
      <c r="B4080" t="s">
        <v>117</v>
      </c>
      <c r="C4080" t="b">
        <v>0</v>
      </c>
      <c r="D4080" s="1">
        <v>41579</v>
      </c>
      <c r="E4080" s="2">
        <v>-59.94</v>
      </c>
      <c r="F4080"/>
      <c r="G4080"/>
      <c r="H4080"/>
      <c r="I4080"/>
      <c r="J4080"/>
      <c r="K4080"/>
      <c r="L4080"/>
      <c r="M4080"/>
      <c r="N4080"/>
      <c r="O4080"/>
    </row>
    <row r="4081" spans="1:15" hidden="1" x14ac:dyDescent="0.25">
      <c r="A4081" t="s">
        <v>104</v>
      </c>
      <c r="B4081" t="s">
        <v>117</v>
      </c>
      <c r="C4081" t="b">
        <v>0</v>
      </c>
      <c r="D4081" s="1">
        <v>41579</v>
      </c>
      <c r="E4081" s="2">
        <v>-15</v>
      </c>
      <c r="F4081"/>
      <c r="G4081"/>
      <c r="H4081"/>
      <c r="I4081"/>
      <c r="J4081"/>
      <c r="K4081"/>
      <c r="L4081"/>
      <c r="M4081"/>
      <c r="N4081"/>
      <c r="O4081"/>
    </row>
    <row r="4082" spans="1:15" hidden="1" x14ac:dyDescent="0.25">
      <c r="A4082" t="s">
        <v>102</v>
      </c>
      <c r="B4082" t="s">
        <v>117</v>
      </c>
      <c r="C4082" t="b">
        <v>0</v>
      </c>
      <c r="D4082" s="1">
        <v>41579</v>
      </c>
      <c r="E4082" s="2">
        <v>-26.66</v>
      </c>
      <c r="F4082"/>
      <c r="G4082"/>
      <c r="H4082"/>
      <c r="I4082"/>
      <c r="J4082"/>
      <c r="K4082"/>
      <c r="L4082"/>
      <c r="M4082"/>
      <c r="N4082"/>
      <c r="O4082"/>
    </row>
    <row r="4083" spans="1:15" hidden="1" x14ac:dyDescent="0.25">
      <c r="A4083" t="s">
        <v>103</v>
      </c>
      <c r="B4083" t="s">
        <v>117</v>
      </c>
      <c r="C4083" t="b">
        <v>0</v>
      </c>
      <c r="D4083" s="1">
        <v>41579</v>
      </c>
      <c r="E4083" s="2">
        <v>-4.9999999999999991</v>
      </c>
      <c r="F4083"/>
      <c r="G4083"/>
      <c r="H4083"/>
      <c r="I4083"/>
      <c r="J4083"/>
      <c r="K4083"/>
      <c r="L4083"/>
      <c r="M4083"/>
      <c r="N4083"/>
      <c r="O4083"/>
    </row>
    <row r="4084" spans="1:15" hidden="1" x14ac:dyDescent="0.25">
      <c r="A4084" t="s">
        <v>43</v>
      </c>
      <c r="B4084" t="s">
        <v>115</v>
      </c>
      <c r="C4084" t="b">
        <v>0</v>
      </c>
      <c r="D4084" s="1">
        <v>41579</v>
      </c>
      <c r="E4084">
        <v>5</v>
      </c>
      <c r="F4084"/>
      <c r="G4084"/>
      <c r="H4084"/>
      <c r="I4084"/>
      <c r="J4084"/>
      <c r="K4084"/>
      <c r="L4084"/>
      <c r="M4084"/>
      <c r="N4084"/>
      <c r="O4084"/>
    </row>
    <row r="4085" spans="1:15" hidden="1" x14ac:dyDescent="0.25">
      <c r="A4085" t="s">
        <v>44</v>
      </c>
      <c r="B4085" t="s">
        <v>115</v>
      </c>
      <c r="C4085" t="b">
        <v>0</v>
      </c>
      <c r="D4085" s="1">
        <v>41579</v>
      </c>
      <c r="E4085">
        <v>5</v>
      </c>
      <c r="F4085"/>
      <c r="G4085"/>
      <c r="H4085"/>
      <c r="I4085"/>
      <c r="J4085"/>
      <c r="K4085"/>
      <c r="L4085"/>
      <c r="M4085"/>
      <c r="N4085"/>
      <c r="O4085"/>
    </row>
    <row r="4086" spans="1:15" hidden="1" x14ac:dyDescent="0.25">
      <c r="A4086" t="s">
        <v>46</v>
      </c>
      <c r="B4086" t="s">
        <v>115</v>
      </c>
      <c r="C4086" t="b">
        <v>0</v>
      </c>
      <c r="D4086" s="1">
        <v>41579</v>
      </c>
      <c r="E4086">
        <v>5</v>
      </c>
      <c r="F4086"/>
      <c r="G4086"/>
      <c r="H4086"/>
      <c r="I4086"/>
      <c r="J4086"/>
      <c r="K4086"/>
      <c r="L4086"/>
      <c r="M4086"/>
      <c r="N4086"/>
      <c r="O4086"/>
    </row>
    <row r="4087" spans="1:15" hidden="1" x14ac:dyDescent="0.25">
      <c r="A4087" t="s">
        <v>50</v>
      </c>
      <c r="B4087" t="s">
        <v>115</v>
      </c>
      <c r="C4087" t="b">
        <v>0</v>
      </c>
      <c r="D4087" s="1">
        <v>41579</v>
      </c>
      <c r="E4087">
        <v>5</v>
      </c>
      <c r="F4087"/>
      <c r="G4087"/>
      <c r="H4087"/>
      <c r="I4087"/>
      <c r="J4087"/>
      <c r="K4087"/>
      <c r="L4087"/>
      <c r="M4087"/>
      <c r="N4087"/>
      <c r="O4087"/>
    </row>
    <row r="4088" spans="1:15" hidden="1" x14ac:dyDescent="0.25">
      <c r="A4088" t="s">
        <v>54</v>
      </c>
      <c r="B4088" t="s">
        <v>115</v>
      </c>
      <c r="C4088" t="b">
        <v>0</v>
      </c>
      <c r="D4088" s="1">
        <v>41579</v>
      </c>
      <c r="E4088">
        <v>5</v>
      </c>
      <c r="F4088"/>
      <c r="G4088"/>
      <c r="H4088"/>
      <c r="I4088"/>
      <c r="J4088"/>
      <c r="K4088"/>
      <c r="L4088"/>
      <c r="M4088"/>
      <c r="N4088"/>
      <c r="O4088"/>
    </row>
    <row r="4089" spans="1:15" hidden="1" x14ac:dyDescent="0.25">
      <c r="A4089" t="s">
        <v>55</v>
      </c>
      <c r="B4089" t="s">
        <v>115</v>
      </c>
      <c r="C4089" t="b">
        <v>0</v>
      </c>
      <c r="D4089" s="1">
        <v>41579</v>
      </c>
      <c r="E4089">
        <v>5</v>
      </c>
      <c r="F4089"/>
      <c r="G4089"/>
      <c r="H4089"/>
      <c r="I4089"/>
      <c r="J4089"/>
      <c r="K4089"/>
      <c r="L4089"/>
      <c r="M4089"/>
      <c r="N4089"/>
      <c r="O4089"/>
    </row>
    <row r="4090" spans="1:15" hidden="1" x14ac:dyDescent="0.25">
      <c r="A4090" t="s">
        <v>58</v>
      </c>
      <c r="B4090" t="s">
        <v>115</v>
      </c>
      <c r="C4090" t="b">
        <v>0</v>
      </c>
      <c r="D4090" s="1">
        <v>41579</v>
      </c>
      <c r="E4090">
        <v>5</v>
      </c>
      <c r="F4090"/>
      <c r="G4090"/>
      <c r="H4090"/>
      <c r="I4090"/>
      <c r="J4090"/>
      <c r="K4090"/>
      <c r="L4090"/>
      <c r="M4090"/>
      <c r="N4090"/>
      <c r="O4090"/>
    </row>
    <row r="4091" spans="1:15" hidden="1" x14ac:dyDescent="0.25">
      <c r="A4091" t="s">
        <v>59</v>
      </c>
      <c r="B4091" t="s">
        <v>115</v>
      </c>
      <c r="C4091" t="b">
        <v>0</v>
      </c>
      <c r="D4091" s="1">
        <v>41579</v>
      </c>
      <c r="E4091">
        <v>5</v>
      </c>
      <c r="F4091"/>
      <c r="G4091"/>
      <c r="H4091"/>
      <c r="I4091"/>
      <c r="J4091"/>
      <c r="K4091"/>
      <c r="L4091"/>
      <c r="M4091"/>
      <c r="N4091"/>
      <c r="O4091"/>
    </row>
    <row r="4092" spans="1:15" hidden="1" x14ac:dyDescent="0.25">
      <c r="A4092" t="s">
        <v>68</v>
      </c>
      <c r="B4092" t="s">
        <v>115</v>
      </c>
      <c r="C4092" t="b">
        <v>0</v>
      </c>
      <c r="D4092" s="1">
        <v>41579</v>
      </c>
      <c r="E4092">
        <v>5</v>
      </c>
      <c r="F4092"/>
      <c r="G4092"/>
      <c r="H4092"/>
      <c r="I4092"/>
      <c r="J4092"/>
      <c r="K4092"/>
      <c r="L4092"/>
      <c r="M4092"/>
      <c r="N4092"/>
      <c r="O4092"/>
    </row>
    <row r="4093" spans="1:15" hidden="1" x14ac:dyDescent="0.25">
      <c r="A4093" t="s">
        <v>69</v>
      </c>
      <c r="B4093" t="s">
        <v>115</v>
      </c>
      <c r="C4093" t="b">
        <v>0</v>
      </c>
      <c r="D4093" s="1">
        <v>41579</v>
      </c>
      <c r="E4093">
        <v>5</v>
      </c>
      <c r="F4093"/>
      <c r="G4093"/>
      <c r="H4093"/>
      <c r="I4093"/>
      <c r="J4093"/>
      <c r="K4093"/>
      <c r="L4093"/>
      <c r="M4093"/>
      <c r="N4093"/>
      <c r="O4093"/>
    </row>
    <row r="4094" spans="1:15" hidden="1" x14ac:dyDescent="0.25">
      <c r="A4094" t="s">
        <v>76</v>
      </c>
      <c r="B4094" t="s">
        <v>115</v>
      </c>
      <c r="C4094" t="b">
        <v>0</v>
      </c>
      <c r="D4094" s="1">
        <v>41579</v>
      </c>
      <c r="E4094">
        <v>1E-3</v>
      </c>
      <c r="F4094"/>
      <c r="G4094"/>
      <c r="H4094"/>
      <c r="I4094"/>
      <c r="J4094"/>
      <c r="K4094"/>
      <c r="L4094"/>
      <c r="M4094"/>
      <c r="N4094"/>
      <c r="O4094"/>
    </row>
    <row r="4095" spans="1:15" hidden="1" x14ac:dyDescent="0.25">
      <c r="A4095" t="s">
        <v>80</v>
      </c>
      <c r="B4095" t="s">
        <v>115</v>
      </c>
      <c r="C4095" t="b">
        <v>0</v>
      </c>
      <c r="D4095" s="1">
        <v>41579</v>
      </c>
      <c r="E4095">
        <v>5</v>
      </c>
      <c r="F4095"/>
      <c r="G4095"/>
      <c r="H4095"/>
      <c r="I4095"/>
      <c r="J4095"/>
      <c r="K4095"/>
      <c r="L4095"/>
      <c r="M4095"/>
      <c r="N4095"/>
      <c r="O4095"/>
    </row>
    <row r="4096" spans="1:15" hidden="1" x14ac:dyDescent="0.25">
      <c r="A4096" t="s">
        <v>84</v>
      </c>
      <c r="B4096" t="s">
        <v>115</v>
      </c>
      <c r="C4096" t="b">
        <v>0</v>
      </c>
      <c r="D4096" s="1">
        <v>41579</v>
      </c>
      <c r="E4096">
        <v>5</v>
      </c>
      <c r="F4096"/>
      <c r="G4096"/>
      <c r="H4096"/>
      <c r="I4096"/>
      <c r="J4096"/>
      <c r="K4096"/>
      <c r="L4096"/>
      <c r="M4096"/>
      <c r="N4096"/>
      <c r="O4096"/>
    </row>
    <row r="4097" spans="1:15" hidden="1" x14ac:dyDescent="0.25">
      <c r="A4097" t="s">
        <v>86</v>
      </c>
      <c r="B4097" t="s">
        <v>115</v>
      </c>
      <c r="C4097" t="b">
        <v>0</v>
      </c>
      <c r="D4097" s="1">
        <v>41579</v>
      </c>
      <c r="E4097">
        <v>5</v>
      </c>
      <c r="F4097"/>
      <c r="G4097"/>
      <c r="H4097"/>
      <c r="I4097"/>
      <c r="J4097"/>
      <c r="K4097"/>
      <c r="L4097"/>
      <c r="M4097"/>
      <c r="N4097"/>
      <c r="O4097"/>
    </row>
    <row r="4098" spans="1:15" hidden="1" x14ac:dyDescent="0.25">
      <c r="A4098" t="s">
        <v>88</v>
      </c>
      <c r="B4098" t="s">
        <v>115</v>
      </c>
      <c r="C4098" t="b">
        <v>0</v>
      </c>
      <c r="D4098" s="1">
        <v>41579</v>
      </c>
      <c r="E4098">
        <v>5</v>
      </c>
      <c r="F4098"/>
      <c r="G4098"/>
      <c r="H4098"/>
      <c r="I4098"/>
      <c r="J4098"/>
      <c r="K4098"/>
      <c r="L4098"/>
      <c r="M4098"/>
      <c r="N4098"/>
      <c r="O4098"/>
    </row>
    <row r="4099" spans="1:15" hidden="1" x14ac:dyDescent="0.25">
      <c r="A4099" t="s">
        <v>95</v>
      </c>
      <c r="B4099" t="s">
        <v>115</v>
      </c>
      <c r="C4099" t="b">
        <v>0</v>
      </c>
      <c r="D4099" s="1">
        <v>41579</v>
      </c>
      <c r="E4099">
        <v>5</v>
      </c>
      <c r="F4099"/>
      <c r="G4099"/>
      <c r="H4099"/>
      <c r="I4099"/>
      <c r="J4099"/>
      <c r="K4099"/>
      <c r="L4099"/>
      <c r="M4099"/>
      <c r="N4099"/>
      <c r="O4099"/>
    </row>
    <row r="4100" spans="1:15" hidden="1" x14ac:dyDescent="0.25">
      <c r="A4100" t="s">
        <v>96</v>
      </c>
      <c r="B4100" t="s">
        <v>115</v>
      </c>
      <c r="C4100" t="b">
        <v>0</v>
      </c>
      <c r="D4100" s="1">
        <v>41579</v>
      </c>
      <c r="E4100">
        <v>5</v>
      </c>
      <c r="F4100"/>
      <c r="G4100"/>
      <c r="H4100"/>
      <c r="I4100"/>
      <c r="J4100"/>
      <c r="K4100"/>
      <c r="L4100"/>
      <c r="M4100"/>
      <c r="N4100"/>
      <c r="O4100"/>
    </row>
    <row r="4101" spans="1:15" hidden="1" x14ac:dyDescent="0.25">
      <c r="A4101" t="s">
        <v>98</v>
      </c>
      <c r="B4101" t="s">
        <v>115</v>
      </c>
      <c r="C4101" t="b">
        <v>0</v>
      </c>
      <c r="D4101" s="1">
        <v>41579</v>
      </c>
      <c r="E4101">
        <v>5</v>
      </c>
      <c r="F4101"/>
      <c r="G4101"/>
      <c r="H4101"/>
      <c r="I4101"/>
      <c r="J4101"/>
      <c r="K4101"/>
      <c r="L4101"/>
      <c r="M4101"/>
      <c r="N4101"/>
      <c r="O4101"/>
    </row>
    <row r="4102" spans="1:15" hidden="1" x14ac:dyDescent="0.25">
      <c r="A4102" t="s">
        <v>99</v>
      </c>
      <c r="B4102" t="s">
        <v>114</v>
      </c>
      <c r="C4102" t="b">
        <v>0</v>
      </c>
      <c r="D4102" s="1">
        <v>41579</v>
      </c>
      <c r="E4102">
        <v>19.929999999999996</v>
      </c>
      <c r="F4102"/>
      <c r="G4102"/>
      <c r="H4102"/>
      <c r="I4102"/>
      <c r="J4102"/>
      <c r="K4102"/>
      <c r="L4102"/>
      <c r="M4102"/>
      <c r="N4102"/>
      <c r="O4102"/>
    </row>
    <row r="4103" spans="1:15" hidden="1" x14ac:dyDescent="0.25">
      <c r="A4103" t="s">
        <v>100</v>
      </c>
      <c r="B4103" t="s">
        <v>117</v>
      </c>
      <c r="C4103" t="b">
        <v>0</v>
      </c>
      <c r="D4103" s="1">
        <v>41609</v>
      </c>
      <c r="E4103" s="2">
        <v>-49.95</v>
      </c>
      <c r="F4103"/>
      <c r="G4103"/>
      <c r="H4103"/>
      <c r="I4103"/>
      <c r="J4103"/>
      <c r="K4103"/>
      <c r="L4103"/>
      <c r="M4103"/>
      <c r="N4103"/>
      <c r="O4103"/>
    </row>
    <row r="4104" spans="1:15" hidden="1" x14ac:dyDescent="0.25">
      <c r="A4104" t="s">
        <v>104</v>
      </c>
      <c r="B4104" t="s">
        <v>117</v>
      </c>
      <c r="C4104" t="b">
        <v>0</v>
      </c>
      <c r="D4104" s="1">
        <v>41609</v>
      </c>
      <c r="E4104" s="2">
        <v>-4.74</v>
      </c>
      <c r="F4104"/>
      <c r="G4104"/>
      <c r="H4104"/>
      <c r="I4104"/>
      <c r="J4104"/>
      <c r="K4104"/>
      <c r="L4104"/>
      <c r="M4104"/>
      <c r="N4104"/>
      <c r="O4104"/>
    </row>
    <row r="4105" spans="1:15" hidden="1" x14ac:dyDescent="0.25">
      <c r="A4105" t="s">
        <v>102</v>
      </c>
      <c r="B4105" t="s">
        <v>117</v>
      </c>
      <c r="C4105" t="b">
        <v>0</v>
      </c>
      <c r="D4105" s="1">
        <v>41609</v>
      </c>
      <c r="E4105" s="2">
        <v>-26.66</v>
      </c>
      <c r="F4105"/>
      <c r="G4105"/>
      <c r="H4105"/>
      <c r="I4105"/>
      <c r="J4105"/>
      <c r="K4105"/>
      <c r="L4105"/>
      <c r="M4105"/>
      <c r="N4105"/>
      <c r="O4105"/>
    </row>
    <row r="4106" spans="1:15" hidden="1" x14ac:dyDescent="0.25">
      <c r="A4106" t="s">
        <v>103</v>
      </c>
      <c r="B4106" t="s">
        <v>117</v>
      </c>
      <c r="C4106" t="b">
        <v>0</v>
      </c>
      <c r="D4106" s="1">
        <v>41609</v>
      </c>
      <c r="E4106" s="2">
        <v>-9.5</v>
      </c>
      <c r="F4106"/>
      <c r="G4106"/>
      <c r="H4106"/>
      <c r="I4106"/>
      <c r="J4106"/>
      <c r="K4106"/>
      <c r="L4106"/>
      <c r="M4106"/>
      <c r="N4106"/>
      <c r="O4106"/>
    </row>
    <row r="4107" spans="1:15" hidden="1" x14ac:dyDescent="0.25">
      <c r="A4107" t="s">
        <v>101</v>
      </c>
      <c r="B4107" t="s">
        <v>117</v>
      </c>
      <c r="C4107" t="b">
        <v>0</v>
      </c>
      <c r="D4107" s="1">
        <v>41609</v>
      </c>
      <c r="E4107" s="2">
        <v>-2.76</v>
      </c>
      <c r="F4107"/>
      <c r="G4107"/>
      <c r="H4107"/>
      <c r="I4107"/>
      <c r="J4107"/>
      <c r="K4107"/>
      <c r="L4107"/>
      <c r="M4107"/>
      <c r="N4107"/>
      <c r="O4107"/>
    </row>
    <row r="4108" spans="1:15" hidden="1" x14ac:dyDescent="0.25">
      <c r="A4108" t="s">
        <v>43</v>
      </c>
      <c r="B4108" t="s">
        <v>115</v>
      </c>
      <c r="C4108" t="b">
        <v>0</v>
      </c>
      <c r="D4108" s="1">
        <v>41609</v>
      </c>
      <c r="E4108">
        <v>5</v>
      </c>
      <c r="F4108"/>
      <c r="G4108"/>
      <c r="H4108"/>
      <c r="I4108"/>
      <c r="J4108"/>
      <c r="K4108"/>
      <c r="L4108"/>
      <c r="M4108"/>
      <c r="N4108"/>
      <c r="O4108"/>
    </row>
    <row r="4109" spans="1:15" hidden="1" x14ac:dyDescent="0.25">
      <c r="A4109" t="s">
        <v>44</v>
      </c>
      <c r="B4109" t="s">
        <v>115</v>
      </c>
      <c r="C4109" t="b">
        <v>0</v>
      </c>
      <c r="D4109" s="1">
        <v>41609</v>
      </c>
      <c r="E4109">
        <v>5</v>
      </c>
      <c r="F4109"/>
      <c r="G4109"/>
      <c r="H4109"/>
      <c r="I4109"/>
      <c r="J4109"/>
      <c r="K4109"/>
      <c r="L4109"/>
      <c r="M4109"/>
      <c r="N4109"/>
      <c r="O4109"/>
    </row>
    <row r="4110" spans="1:15" hidden="1" x14ac:dyDescent="0.25">
      <c r="A4110" t="s">
        <v>46</v>
      </c>
      <c r="B4110" t="s">
        <v>115</v>
      </c>
      <c r="C4110" t="b">
        <v>0</v>
      </c>
      <c r="D4110" s="1">
        <v>41609</v>
      </c>
      <c r="E4110">
        <v>5</v>
      </c>
      <c r="F4110"/>
      <c r="G4110"/>
      <c r="H4110"/>
      <c r="I4110"/>
      <c r="J4110"/>
      <c r="K4110"/>
      <c r="L4110"/>
      <c r="M4110"/>
      <c r="N4110"/>
      <c r="O4110"/>
    </row>
    <row r="4111" spans="1:15" hidden="1" x14ac:dyDescent="0.25">
      <c r="A4111" t="s">
        <v>50</v>
      </c>
      <c r="B4111" t="s">
        <v>115</v>
      </c>
      <c r="C4111" t="b">
        <v>0</v>
      </c>
      <c r="D4111" s="1">
        <v>41609</v>
      </c>
      <c r="E4111">
        <v>5</v>
      </c>
      <c r="F4111"/>
      <c r="G4111"/>
      <c r="H4111"/>
      <c r="I4111"/>
      <c r="J4111"/>
      <c r="K4111"/>
      <c r="L4111"/>
      <c r="M4111"/>
      <c r="N4111"/>
      <c r="O4111"/>
    </row>
    <row r="4112" spans="1:15" hidden="1" x14ac:dyDescent="0.25">
      <c r="A4112" t="s">
        <v>54</v>
      </c>
      <c r="B4112" t="s">
        <v>115</v>
      </c>
      <c r="C4112" t="b">
        <v>0</v>
      </c>
      <c r="D4112" s="1">
        <v>41609</v>
      </c>
      <c r="E4112">
        <v>5</v>
      </c>
      <c r="F4112"/>
      <c r="G4112"/>
      <c r="H4112"/>
      <c r="I4112"/>
      <c r="J4112"/>
      <c r="K4112"/>
      <c r="L4112"/>
      <c r="M4112"/>
      <c r="N4112"/>
      <c r="O4112"/>
    </row>
    <row r="4113" spans="1:15" hidden="1" x14ac:dyDescent="0.25">
      <c r="A4113" t="s">
        <v>55</v>
      </c>
      <c r="B4113" t="s">
        <v>115</v>
      </c>
      <c r="C4113" t="b">
        <v>0</v>
      </c>
      <c r="D4113" s="1">
        <v>41609</v>
      </c>
      <c r="E4113">
        <v>5</v>
      </c>
      <c r="F4113"/>
      <c r="G4113"/>
      <c r="H4113"/>
      <c r="I4113"/>
      <c r="J4113"/>
      <c r="K4113"/>
      <c r="L4113"/>
      <c r="M4113"/>
      <c r="N4113"/>
      <c r="O4113"/>
    </row>
    <row r="4114" spans="1:15" hidden="1" x14ac:dyDescent="0.25">
      <c r="A4114" t="s">
        <v>58</v>
      </c>
      <c r="B4114" t="s">
        <v>115</v>
      </c>
      <c r="C4114" t="b">
        <v>0</v>
      </c>
      <c r="D4114" s="1">
        <v>41609</v>
      </c>
      <c r="E4114">
        <v>5</v>
      </c>
      <c r="F4114"/>
      <c r="G4114"/>
      <c r="H4114"/>
      <c r="I4114"/>
      <c r="J4114"/>
      <c r="K4114"/>
      <c r="L4114"/>
      <c r="M4114"/>
      <c r="N4114"/>
      <c r="O4114"/>
    </row>
    <row r="4115" spans="1:15" hidden="1" x14ac:dyDescent="0.25">
      <c r="A4115" t="s">
        <v>59</v>
      </c>
      <c r="B4115" t="s">
        <v>115</v>
      </c>
      <c r="C4115" t="b">
        <v>0</v>
      </c>
      <c r="D4115" s="1">
        <v>41609</v>
      </c>
      <c r="E4115">
        <v>5</v>
      </c>
      <c r="F4115"/>
      <c r="G4115"/>
      <c r="H4115"/>
      <c r="I4115"/>
      <c r="J4115"/>
      <c r="K4115"/>
      <c r="L4115"/>
      <c r="M4115"/>
      <c r="N4115"/>
      <c r="O4115"/>
    </row>
    <row r="4116" spans="1:15" hidden="1" x14ac:dyDescent="0.25">
      <c r="A4116" t="s">
        <v>68</v>
      </c>
      <c r="B4116" t="s">
        <v>115</v>
      </c>
      <c r="C4116" t="b">
        <v>0</v>
      </c>
      <c r="D4116" s="1">
        <v>41609</v>
      </c>
      <c r="E4116">
        <v>5</v>
      </c>
      <c r="F4116"/>
      <c r="G4116"/>
      <c r="H4116"/>
      <c r="I4116"/>
      <c r="J4116"/>
      <c r="K4116"/>
      <c r="L4116"/>
      <c r="M4116"/>
      <c r="N4116"/>
      <c r="O4116"/>
    </row>
    <row r="4117" spans="1:15" hidden="1" x14ac:dyDescent="0.25">
      <c r="A4117" t="s">
        <v>69</v>
      </c>
      <c r="B4117" t="s">
        <v>115</v>
      </c>
      <c r="C4117" t="b">
        <v>0</v>
      </c>
      <c r="D4117" s="1">
        <v>41609</v>
      </c>
      <c r="E4117">
        <v>5</v>
      </c>
      <c r="F4117"/>
      <c r="G4117"/>
      <c r="H4117"/>
      <c r="I4117"/>
      <c r="J4117"/>
      <c r="K4117"/>
      <c r="L4117"/>
      <c r="M4117"/>
      <c r="N4117"/>
      <c r="O4117"/>
    </row>
    <row r="4118" spans="1:15" hidden="1" x14ac:dyDescent="0.25">
      <c r="A4118" t="s">
        <v>76</v>
      </c>
      <c r="B4118" t="s">
        <v>115</v>
      </c>
      <c r="C4118" t="b">
        <v>0</v>
      </c>
      <c r="D4118" s="1">
        <v>41609</v>
      </c>
      <c r="E4118">
        <v>1E-3</v>
      </c>
      <c r="F4118"/>
      <c r="G4118"/>
      <c r="H4118"/>
      <c r="I4118"/>
      <c r="J4118"/>
      <c r="K4118"/>
      <c r="L4118"/>
      <c r="M4118"/>
      <c r="N4118"/>
      <c r="O4118"/>
    </row>
    <row r="4119" spans="1:15" hidden="1" x14ac:dyDescent="0.25">
      <c r="A4119" t="s">
        <v>80</v>
      </c>
      <c r="B4119" t="s">
        <v>115</v>
      </c>
      <c r="C4119" t="b">
        <v>0</v>
      </c>
      <c r="D4119" s="1">
        <v>41609</v>
      </c>
      <c r="E4119">
        <v>5</v>
      </c>
      <c r="F4119"/>
      <c r="G4119"/>
      <c r="H4119"/>
      <c r="I4119"/>
      <c r="J4119"/>
      <c r="K4119"/>
      <c r="L4119"/>
      <c r="M4119"/>
      <c r="N4119"/>
      <c r="O4119"/>
    </row>
    <row r="4120" spans="1:15" hidden="1" x14ac:dyDescent="0.25">
      <c r="A4120" t="s">
        <v>84</v>
      </c>
      <c r="B4120" t="s">
        <v>115</v>
      </c>
      <c r="C4120" t="b">
        <v>0</v>
      </c>
      <c r="D4120" s="1">
        <v>41609</v>
      </c>
      <c r="E4120">
        <v>5</v>
      </c>
      <c r="F4120"/>
      <c r="G4120"/>
      <c r="H4120"/>
      <c r="I4120"/>
      <c r="J4120"/>
      <c r="K4120"/>
      <c r="L4120"/>
      <c r="M4120"/>
      <c r="N4120"/>
      <c r="O4120"/>
    </row>
    <row r="4121" spans="1:15" hidden="1" x14ac:dyDescent="0.25">
      <c r="A4121" t="s">
        <v>86</v>
      </c>
      <c r="B4121" t="s">
        <v>115</v>
      </c>
      <c r="C4121" t="b">
        <v>0</v>
      </c>
      <c r="D4121" s="1">
        <v>41609</v>
      </c>
      <c r="E4121">
        <v>5</v>
      </c>
      <c r="F4121"/>
      <c r="G4121"/>
      <c r="H4121"/>
      <c r="I4121"/>
      <c r="J4121"/>
      <c r="K4121"/>
      <c r="L4121"/>
      <c r="M4121"/>
      <c r="N4121"/>
      <c r="O4121"/>
    </row>
    <row r="4122" spans="1:15" hidden="1" x14ac:dyDescent="0.25">
      <c r="A4122" t="s">
        <v>88</v>
      </c>
      <c r="B4122" t="s">
        <v>115</v>
      </c>
      <c r="C4122" t="b">
        <v>0</v>
      </c>
      <c r="D4122" s="1">
        <v>41609</v>
      </c>
      <c r="E4122">
        <v>5</v>
      </c>
      <c r="F4122"/>
      <c r="G4122"/>
      <c r="H4122"/>
      <c r="I4122"/>
      <c r="J4122"/>
      <c r="K4122"/>
      <c r="L4122"/>
      <c r="M4122"/>
      <c r="N4122"/>
      <c r="O4122"/>
    </row>
    <row r="4123" spans="1:15" hidden="1" x14ac:dyDescent="0.25">
      <c r="A4123" t="s">
        <v>95</v>
      </c>
      <c r="B4123" t="s">
        <v>115</v>
      </c>
      <c r="C4123" t="b">
        <v>0</v>
      </c>
      <c r="D4123" s="1">
        <v>41609</v>
      </c>
      <c r="E4123">
        <v>5</v>
      </c>
      <c r="F4123"/>
      <c r="G4123"/>
      <c r="H4123"/>
      <c r="I4123"/>
      <c r="J4123"/>
      <c r="K4123"/>
      <c r="L4123"/>
      <c r="M4123"/>
      <c r="N4123"/>
      <c r="O4123"/>
    </row>
    <row r="4124" spans="1:15" hidden="1" x14ac:dyDescent="0.25">
      <c r="A4124" t="s">
        <v>96</v>
      </c>
      <c r="B4124" t="s">
        <v>115</v>
      </c>
      <c r="C4124" t="b">
        <v>0</v>
      </c>
      <c r="D4124" s="1">
        <v>41609</v>
      </c>
      <c r="E4124">
        <v>5</v>
      </c>
      <c r="F4124"/>
      <c r="G4124"/>
      <c r="H4124"/>
      <c r="I4124"/>
      <c r="J4124"/>
      <c r="K4124"/>
      <c r="L4124"/>
      <c r="M4124"/>
      <c r="N4124"/>
      <c r="O4124"/>
    </row>
    <row r="4125" spans="1:15" hidden="1" x14ac:dyDescent="0.25">
      <c r="A4125" t="s">
        <v>98</v>
      </c>
      <c r="B4125" t="s">
        <v>115</v>
      </c>
      <c r="C4125" t="b">
        <v>0</v>
      </c>
      <c r="D4125" s="1">
        <v>41609</v>
      </c>
      <c r="E4125">
        <v>5</v>
      </c>
      <c r="F4125"/>
      <c r="G4125"/>
      <c r="H4125"/>
      <c r="I4125"/>
      <c r="J4125"/>
      <c r="K4125"/>
      <c r="L4125"/>
      <c r="M4125"/>
      <c r="N4125"/>
      <c r="O4125"/>
    </row>
    <row r="4126" spans="1:15" hidden="1" x14ac:dyDescent="0.25">
      <c r="A4126" t="s">
        <v>99</v>
      </c>
      <c r="B4126" t="s">
        <v>114</v>
      </c>
      <c r="C4126" t="b">
        <v>0</v>
      </c>
      <c r="D4126" s="1">
        <v>41609</v>
      </c>
      <c r="E4126">
        <v>15.23</v>
      </c>
      <c r="F4126"/>
      <c r="G4126"/>
      <c r="H4126"/>
      <c r="I4126"/>
      <c r="J4126"/>
      <c r="K4126"/>
      <c r="L4126"/>
      <c r="M4126"/>
      <c r="N4126"/>
      <c r="O4126"/>
    </row>
    <row r="4127" spans="1:15" hidden="1" x14ac:dyDescent="0.25">
      <c r="A4127" t="s">
        <v>100</v>
      </c>
      <c r="B4127" t="s">
        <v>117</v>
      </c>
      <c r="C4127" t="b">
        <v>0</v>
      </c>
      <c r="D4127" s="1">
        <v>41640</v>
      </c>
      <c r="E4127" s="2">
        <v>-49.95</v>
      </c>
      <c r="F4127"/>
      <c r="G4127"/>
      <c r="H4127"/>
      <c r="I4127"/>
      <c r="J4127"/>
      <c r="K4127"/>
      <c r="L4127"/>
      <c r="M4127"/>
      <c r="N4127"/>
      <c r="O4127"/>
    </row>
    <row r="4128" spans="1:15" hidden="1" x14ac:dyDescent="0.25">
      <c r="A4128" t="s">
        <v>104</v>
      </c>
      <c r="B4128" t="s">
        <v>117</v>
      </c>
      <c r="C4128" t="b">
        <v>0</v>
      </c>
      <c r="D4128" s="1">
        <v>41640</v>
      </c>
      <c r="E4128" s="2">
        <v>-2.4900000000000002</v>
      </c>
      <c r="F4128"/>
      <c r="G4128"/>
      <c r="H4128"/>
      <c r="I4128"/>
      <c r="J4128"/>
      <c r="K4128"/>
      <c r="L4128"/>
      <c r="M4128"/>
      <c r="N4128"/>
      <c r="O4128"/>
    </row>
    <row r="4129" spans="1:15" hidden="1" x14ac:dyDescent="0.25">
      <c r="A4129" t="s">
        <v>102</v>
      </c>
      <c r="B4129" t="s">
        <v>117</v>
      </c>
      <c r="C4129" t="b">
        <v>0</v>
      </c>
      <c r="D4129" s="1">
        <v>41640</v>
      </c>
      <c r="E4129" s="2">
        <v>-19.37</v>
      </c>
      <c r="F4129"/>
      <c r="G4129"/>
      <c r="H4129"/>
      <c r="I4129"/>
      <c r="J4129"/>
      <c r="K4129"/>
      <c r="L4129"/>
      <c r="M4129"/>
      <c r="N4129"/>
      <c r="O4129"/>
    </row>
    <row r="4130" spans="1:15" hidden="1" x14ac:dyDescent="0.25">
      <c r="A4130" t="s">
        <v>103</v>
      </c>
      <c r="B4130" t="s">
        <v>117</v>
      </c>
      <c r="C4130" t="b">
        <v>0</v>
      </c>
      <c r="D4130" s="1">
        <v>41640</v>
      </c>
      <c r="E4130" s="2">
        <v>-0.16129032258064516</v>
      </c>
      <c r="F4130"/>
      <c r="G4130"/>
      <c r="H4130"/>
      <c r="I4130"/>
      <c r="J4130"/>
      <c r="K4130"/>
      <c r="L4130"/>
      <c r="M4130"/>
      <c r="N4130"/>
      <c r="O4130"/>
    </row>
    <row r="4131" spans="1:15" hidden="1" x14ac:dyDescent="0.25">
      <c r="A4131" t="s">
        <v>101</v>
      </c>
      <c r="B4131" t="s">
        <v>117</v>
      </c>
      <c r="C4131" t="b">
        <v>0</v>
      </c>
      <c r="D4131" s="1">
        <v>41640</v>
      </c>
      <c r="E4131" s="2">
        <v>-5</v>
      </c>
      <c r="F4131"/>
      <c r="G4131"/>
      <c r="H4131"/>
      <c r="I4131"/>
      <c r="J4131"/>
      <c r="K4131"/>
      <c r="L4131"/>
      <c r="M4131"/>
      <c r="N4131"/>
      <c r="O4131"/>
    </row>
    <row r="4132" spans="1:15" hidden="1" x14ac:dyDescent="0.25">
      <c r="A4132" t="s">
        <v>43</v>
      </c>
      <c r="B4132" t="s">
        <v>115</v>
      </c>
      <c r="C4132" t="b">
        <v>0</v>
      </c>
      <c r="D4132" s="1">
        <v>41640</v>
      </c>
      <c r="E4132">
        <v>5</v>
      </c>
      <c r="F4132"/>
      <c r="G4132"/>
      <c r="H4132"/>
      <c r="I4132"/>
      <c r="J4132"/>
      <c r="K4132"/>
      <c r="L4132"/>
      <c r="M4132"/>
      <c r="N4132"/>
      <c r="O4132"/>
    </row>
    <row r="4133" spans="1:15" hidden="1" x14ac:dyDescent="0.25">
      <c r="A4133" t="s">
        <v>44</v>
      </c>
      <c r="B4133" t="s">
        <v>115</v>
      </c>
      <c r="C4133" t="b">
        <v>0</v>
      </c>
      <c r="D4133" s="1">
        <v>41640</v>
      </c>
      <c r="E4133">
        <v>5</v>
      </c>
      <c r="F4133"/>
      <c r="G4133"/>
      <c r="H4133"/>
      <c r="I4133"/>
      <c r="J4133"/>
      <c r="K4133"/>
      <c r="L4133"/>
      <c r="M4133"/>
      <c r="N4133"/>
      <c r="O4133"/>
    </row>
    <row r="4134" spans="1:15" hidden="1" x14ac:dyDescent="0.25">
      <c r="A4134" t="s">
        <v>46</v>
      </c>
      <c r="B4134" t="s">
        <v>115</v>
      </c>
      <c r="C4134" t="b">
        <v>0</v>
      </c>
      <c r="D4134" s="1">
        <v>41640</v>
      </c>
      <c r="E4134">
        <v>5</v>
      </c>
      <c r="F4134"/>
      <c r="G4134"/>
      <c r="H4134"/>
      <c r="I4134"/>
      <c r="J4134"/>
      <c r="K4134"/>
      <c r="L4134"/>
      <c r="M4134"/>
      <c r="N4134"/>
      <c r="O4134"/>
    </row>
    <row r="4135" spans="1:15" hidden="1" x14ac:dyDescent="0.25">
      <c r="A4135" t="s">
        <v>50</v>
      </c>
      <c r="B4135" t="s">
        <v>115</v>
      </c>
      <c r="C4135" t="b">
        <v>0</v>
      </c>
      <c r="D4135" s="1">
        <v>41640</v>
      </c>
      <c r="E4135">
        <v>5</v>
      </c>
      <c r="F4135"/>
      <c r="G4135"/>
      <c r="H4135"/>
      <c r="I4135"/>
      <c r="J4135"/>
      <c r="K4135"/>
      <c r="L4135"/>
      <c r="M4135"/>
      <c r="N4135"/>
      <c r="O4135"/>
    </row>
    <row r="4136" spans="1:15" hidden="1" x14ac:dyDescent="0.25">
      <c r="A4136" t="s">
        <v>54</v>
      </c>
      <c r="B4136" t="s">
        <v>115</v>
      </c>
      <c r="C4136" t="b">
        <v>0</v>
      </c>
      <c r="D4136" s="1">
        <v>41640</v>
      </c>
      <c r="E4136">
        <v>5</v>
      </c>
      <c r="F4136"/>
      <c r="G4136"/>
      <c r="H4136"/>
      <c r="I4136"/>
      <c r="J4136"/>
      <c r="K4136"/>
      <c r="L4136"/>
      <c r="M4136"/>
      <c r="N4136"/>
      <c r="O4136"/>
    </row>
    <row r="4137" spans="1:15" hidden="1" x14ac:dyDescent="0.25">
      <c r="A4137" t="s">
        <v>55</v>
      </c>
      <c r="B4137" t="s">
        <v>115</v>
      </c>
      <c r="C4137" t="b">
        <v>0</v>
      </c>
      <c r="D4137" s="1">
        <v>41640</v>
      </c>
      <c r="E4137">
        <v>5</v>
      </c>
      <c r="F4137"/>
      <c r="G4137"/>
      <c r="H4137"/>
      <c r="I4137"/>
      <c r="J4137"/>
      <c r="K4137"/>
      <c r="L4137"/>
      <c r="M4137"/>
      <c r="N4137"/>
      <c r="O4137"/>
    </row>
    <row r="4138" spans="1:15" hidden="1" x14ac:dyDescent="0.25">
      <c r="A4138" t="s">
        <v>58</v>
      </c>
      <c r="B4138" t="s">
        <v>115</v>
      </c>
      <c r="C4138" t="b">
        <v>0</v>
      </c>
      <c r="D4138" s="1">
        <v>41640</v>
      </c>
      <c r="E4138">
        <v>5</v>
      </c>
      <c r="F4138"/>
      <c r="G4138"/>
      <c r="H4138"/>
      <c r="I4138"/>
      <c r="J4138"/>
      <c r="K4138"/>
      <c r="L4138"/>
      <c r="M4138"/>
      <c r="N4138"/>
      <c r="O4138"/>
    </row>
    <row r="4139" spans="1:15" hidden="1" x14ac:dyDescent="0.25">
      <c r="A4139" t="s">
        <v>59</v>
      </c>
      <c r="B4139" t="s">
        <v>115</v>
      </c>
      <c r="C4139" t="b">
        <v>0</v>
      </c>
      <c r="D4139" s="1">
        <v>41640</v>
      </c>
      <c r="E4139">
        <v>5</v>
      </c>
      <c r="F4139"/>
      <c r="G4139"/>
      <c r="H4139"/>
      <c r="I4139"/>
      <c r="J4139"/>
      <c r="K4139"/>
      <c r="L4139"/>
      <c r="M4139"/>
      <c r="N4139"/>
      <c r="O4139"/>
    </row>
    <row r="4140" spans="1:15" hidden="1" x14ac:dyDescent="0.25">
      <c r="A4140" t="s">
        <v>68</v>
      </c>
      <c r="B4140" t="s">
        <v>115</v>
      </c>
      <c r="C4140" t="b">
        <v>0</v>
      </c>
      <c r="D4140" s="1">
        <v>41640</v>
      </c>
      <c r="E4140">
        <v>5</v>
      </c>
      <c r="F4140"/>
      <c r="G4140"/>
      <c r="H4140"/>
      <c r="I4140"/>
      <c r="J4140"/>
      <c r="K4140"/>
      <c r="L4140"/>
      <c r="M4140"/>
      <c r="N4140"/>
      <c r="O4140"/>
    </row>
    <row r="4141" spans="1:15" hidden="1" x14ac:dyDescent="0.25">
      <c r="A4141" t="s">
        <v>69</v>
      </c>
      <c r="B4141" t="s">
        <v>115</v>
      </c>
      <c r="C4141" t="b">
        <v>0</v>
      </c>
      <c r="D4141" s="1">
        <v>41640</v>
      </c>
      <c r="E4141">
        <v>5</v>
      </c>
      <c r="F4141"/>
      <c r="G4141"/>
      <c r="H4141"/>
      <c r="I4141"/>
      <c r="J4141"/>
      <c r="K4141"/>
      <c r="L4141"/>
      <c r="M4141"/>
      <c r="N4141"/>
      <c r="O4141"/>
    </row>
    <row r="4142" spans="1:15" hidden="1" x14ac:dyDescent="0.25">
      <c r="A4142" t="s">
        <v>76</v>
      </c>
      <c r="B4142" t="s">
        <v>115</v>
      </c>
      <c r="C4142" t="b">
        <v>0</v>
      </c>
      <c r="D4142" s="1">
        <v>41640</v>
      </c>
      <c r="E4142">
        <v>1E-3</v>
      </c>
      <c r="F4142"/>
      <c r="G4142"/>
      <c r="H4142"/>
      <c r="I4142"/>
      <c r="J4142"/>
      <c r="K4142"/>
      <c r="L4142"/>
      <c r="M4142"/>
      <c r="N4142"/>
      <c r="O4142"/>
    </row>
    <row r="4143" spans="1:15" hidden="1" x14ac:dyDescent="0.25">
      <c r="A4143" t="s">
        <v>80</v>
      </c>
      <c r="B4143" t="s">
        <v>115</v>
      </c>
      <c r="C4143" t="b">
        <v>0</v>
      </c>
      <c r="D4143" s="1">
        <v>41640</v>
      </c>
      <c r="E4143">
        <v>5</v>
      </c>
      <c r="F4143"/>
      <c r="G4143"/>
      <c r="H4143"/>
      <c r="I4143"/>
      <c r="J4143"/>
      <c r="K4143"/>
      <c r="L4143"/>
      <c r="M4143"/>
      <c r="N4143"/>
      <c r="O4143"/>
    </row>
    <row r="4144" spans="1:15" hidden="1" x14ac:dyDescent="0.25">
      <c r="A4144" t="s">
        <v>84</v>
      </c>
      <c r="B4144" t="s">
        <v>115</v>
      </c>
      <c r="C4144" t="b">
        <v>0</v>
      </c>
      <c r="D4144" s="1">
        <v>41640</v>
      </c>
      <c r="E4144">
        <v>5</v>
      </c>
      <c r="F4144"/>
      <c r="G4144"/>
      <c r="H4144"/>
      <c r="I4144"/>
      <c r="J4144"/>
      <c r="K4144"/>
      <c r="L4144"/>
      <c r="M4144"/>
      <c r="N4144"/>
      <c r="O4144"/>
    </row>
    <row r="4145" spans="1:15" hidden="1" x14ac:dyDescent="0.25">
      <c r="A4145" t="s">
        <v>86</v>
      </c>
      <c r="B4145" t="s">
        <v>115</v>
      </c>
      <c r="C4145" t="b">
        <v>0</v>
      </c>
      <c r="D4145" s="1">
        <v>41640</v>
      </c>
      <c r="E4145">
        <v>5</v>
      </c>
      <c r="F4145"/>
      <c r="G4145"/>
      <c r="H4145"/>
      <c r="I4145"/>
      <c r="J4145"/>
      <c r="K4145"/>
      <c r="L4145"/>
      <c r="M4145"/>
      <c r="N4145"/>
      <c r="O4145"/>
    </row>
    <row r="4146" spans="1:15" hidden="1" x14ac:dyDescent="0.25">
      <c r="A4146" t="s">
        <v>88</v>
      </c>
      <c r="B4146" t="s">
        <v>115</v>
      </c>
      <c r="C4146" t="b">
        <v>0</v>
      </c>
      <c r="D4146" s="1">
        <v>41640</v>
      </c>
      <c r="E4146">
        <v>5</v>
      </c>
      <c r="F4146"/>
      <c r="G4146"/>
      <c r="H4146"/>
      <c r="I4146"/>
      <c r="J4146"/>
      <c r="K4146"/>
      <c r="L4146"/>
      <c r="M4146"/>
      <c r="N4146"/>
      <c r="O4146"/>
    </row>
    <row r="4147" spans="1:15" hidden="1" x14ac:dyDescent="0.25">
      <c r="A4147" t="s">
        <v>95</v>
      </c>
      <c r="B4147" t="s">
        <v>115</v>
      </c>
      <c r="C4147" t="b">
        <v>0</v>
      </c>
      <c r="D4147" s="1">
        <v>41640</v>
      </c>
      <c r="E4147">
        <v>5</v>
      </c>
      <c r="F4147"/>
      <c r="G4147"/>
      <c r="H4147"/>
      <c r="I4147"/>
      <c r="J4147"/>
      <c r="K4147"/>
      <c r="L4147"/>
      <c r="M4147"/>
      <c r="N4147"/>
      <c r="O4147"/>
    </row>
    <row r="4148" spans="1:15" hidden="1" x14ac:dyDescent="0.25">
      <c r="A4148" t="s">
        <v>96</v>
      </c>
      <c r="B4148" t="s">
        <v>115</v>
      </c>
      <c r="C4148" t="b">
        <v>0</v>
      </c>
      <c r="D4148" s="1">
        <v>41640</v>
      </c>
      <c r="E4148">
        <v>5</v>
      </c>
      <c r="F4148"/>
      <c r="G4148"/>
      <c r="H4148"/>
      <c r="I4148"/>
      <c r="J4148"/>
      <c r="K4148"/>
      <c r="L4148"/>
      <c r="M4148"/>
      <c r="N4148"/>
      <c r="O4148"/>
    </row>
    <row r="4149" spans="1:15" hidden="1" x14ac:dyDescent="0.25">
      <c r="A4149" t="s">
        <v>98</v>
      </c>
      <c r="B4149" t="s">
        <v>115</v>
      </c>
      <c r="C4149" t="b">
        <v>0</v>
      </c>
      <c r="D4149" s="1">
        <v>41640</v>
      </c>
      <c r="E4149">
        <v>5</v>
      </c>
      <c r="F4149"/>
      <c r="G4149"/>
      <c r="H4149"/>
      <c r="I4149"/>
      <c r="J4149"/>
      <c r="K4149"/>
      <c r="L4149"/>
      <c r="M4149"/>
      <c r="N4149"/>
      <c r="O4149"/>
    </row>
    <row r="4150" spans="1:15" hidden="1" x14ac:dyDescent="0.25">
      <c r="A4150" t="s">
        <v>99</v>
      </c>
      <c r="B4150" t="s">
        <v>114</v>
      </c>
      <c r="C4150" t="b">
        <v>0</v>
      </c>
      <c r="D4150" s="1">
        <v>41640</v>
      </c>
      <c r="E4150">
        <v>16.690000000000001</v>
      </c>
      <c r="F4150"/>
      <c r="G4150"/>
      <c r="H4150"/>
      <c r="I4150"/>
      <c r="J4150"/>
      <c r="K4150"/>
      <c r="L4150"/>
      <c r="M4150"/>
      <c r="N4150"/>
      <c r="O4150"/>
    </row>
    <row r="4151" spans="1:15" hidden="1" x14ac:dyDescent="0.25">
      <c r="A4151" t="s">
        <v>100</v>
      </c>
      <c r="B4151" t="s">
        <v>117</v>
      </c>
      <c r="C4151" t="b">
        <v>0</v>
      </c>
      <c r="D4151" s="1">
        <v>41671</v>
      </c>
      <c r="E4151" s="2">
        <v>-49.95</v>
      </c>
      <c r="F4151"/>
      <c r="G4151"/>
      <c r="H4151"/>
      <c r="I4151"/>
      <c r="J4151"/>
      <c r="K4151"/>
      <c r="L4151"/>
      <c r="M4151"/>
      <c r="N4151"/>
      <c r="O4151"/>
    </row>
    <row r="4152" spans="1:15" hidden="1" x14ac:dyDescent="0.25">
      <c r="A4152" t="s">
        <v>102</v>
      </c>
      <c r="B4152" t="s">
        <v>117</v>
      </c>
      <c r="C4152" t="b">
        <v>0</v>
      </c>
      <c r="D4152" s="1">
        <v>41671</v>
      </c>
      <c r="E4152" s="2">
        <v>-26.66</v>
      </c>
      <c r="F4152"/>
      <c r="G4152"/>
      <c r="H4152"/>
      <c r="I4152"/>
      <c r="J4152"/>
      <c r="K4152"/>
      <c r="L4152"/>
      <c r="M4152"/>
      <c r="N4152"/>
      <c r="O4152"/>
    </row>
    <row r="4153" spans="1:15" hidden="1" x14ac:dyDescent="0.25">
      <c r="A4153" t="s">
        <v>103</v>
      </c>
      <c r="B4153" t="s">
        <v>117</v>
      </c>
      <c r="C4153" t="b">
        <v>0</v>
      </c>
      <c r="D4153" s="1">
        <v>41671</v>
      </c>
      <c r="E4153" s="2">
        <v>-31.479999999999997</v>
      </c>
      <c r="F4153"/>
      <c r="G4153"/>
      <c r="H4153"/>
      <c r="I4153"/>
      <c r="J4153"/>
      <c r="K4153"/>
      <c r="L4153"/>
      <c r="M4153"/>
      <c r="N4153"/>
      <c r="O4153"/>
    </row>
    <row r="4154" spans="1:15" hidden="1" x14ac:dyDescent="0.25">
      <c r="A4154" t="s">
        <v>101</v>
      </c>
      <c r="B4154" t="s">
        <v>117</v>
      </c>
      <c r="C4154" t="b">
        <v>0</v>
      </c>
      <c r="D4154" s="1">
        <v>41671</v>
      </c>
      <c r="E4154" s="2">
        <v>-2.5</v>
      </c>
      <c r="F4154"/>
      <c r="G4154"/>
      <c r="H4154"/>
      <c r="I4154"/>
      <c r="J4154"/>
      <c r="K4154"/>
      <c r="L4154"/>
      <c r="M4154"/>
      <c r="N4154"/>
      <c r="O4154"/>
    </row>
    <row r="4155" spans="1:15" hidden="1" x14ac:dyDescent="0.25">
      <c r="A4155" t="s">
        <v>43</v>
      </c>
      <c r="B4155" t="s">
        <v>115</v>
      </c>
      <c r="C4155" t="b">
        <v>0</v>
      </c>
      <c r="D4155" s="1">
        <v>41671</v>
      </c>
      <c r="E4155">
        <v>5</v>
      </c>
      <c r="F4155"/>
      <c r="G4155"/>
      <c r="H4155"/>
      <c r="I4155"/>
      <c r="J4155"/>
      <c r="K4155"/>
      <c r="L4155"/>
      <c r="M4155"/>
      <c r="N4155"/>
      <c r="O4155"/>
    </row>
    <row r="4156" spans="1:15" hidden="1" x14ac:dyDescent="0.25">
      <c r="A4156" t="s">
        <v>44</v>
      </c>
      <c r="B4156" t="s">
        <v>115</v>
      </c>
      <c r="C4156" t="b">
        <v>0</v>
      </c>
      <c r="D4156" s="1">
        <v>41671</v>
      </c>
      <c r="E4156">
        <v>5</v>
      </c>
      <c r="F4156"/>
      <c r="G4156"/>
      <c r="H4156"/>
      <c r="I4156"/>
      <c r="J4156"/>
      <c r="K4156"/>
      <c r="L4156"/>
      <c r="M4156"/>
      <c r="N4156"/>
      <c r="O4156"/>
    </row>
    <row r="4157" spans="1:15" hidden="1" x14ac:dyDescent="0.25">
      <c r="A4157" t="s">
        <v>46</v>
      </c>
      <c r="B4157" t="s">
        <v>115</v>
      </c>
      <c r="C4157" t="b">
        <v>0</v>
      </c>
      <c r="D4157" s="1">
        <v>41671</v>
      </c>
      <c r="E4157">
        <v>5</v>
      </c>
      <c r="F4157"/>
      <c r="G4157"/>
      <c r="H4157"/>
      <c r="I4157"/>
      <c r="J4157"/>
      <c r="K4157"/>
      <c r="L4157"/>
      <c r="M4157"/>
      <c r="N4157"/>
      <c r="O4157"/>
    </row>
    <row r="4158" spans="1:15" hidden="1" x14ac:dyDescent="0.25">
      <c r="A4158" t="s">
        <v>50</v>
      </c>
      <c r="B4158" t="s">
        <v>115</v>
      </c>
      <c r="C4158" t="b">
        <v>0</v>
      </c>
      <c r="D4158" s="1">
        <v>41671</v>
      </c>
      <c r="E4158">
        <v>5</v>
      </c>
      <c r="F4158"/>
      <c r="G4158"/>
      <c r="H4158"/>
      <c r="I4158"/>
      <c r="J4158"/>
      <c r="K4158"/>
      <c r="L4158"/>
      <c r="M4158"/>
      <c r="N4158"/>
      <c r="O4158"/>
    </row>
    <row r="4159" spans="1:15" hidden="1" x14ac:dyDescent="0.25">
      <c r="A4159" t="s">
        <v>54</v>
      </c>
      <c r="B4159" t="s">
        <v>115</v>
      </c>
      <c r="C4159" t="b">
        <v>0</v>
      </c>
      <c r="D4159" s="1">
        <v>41671</v>
      </c>
      <c r="E4159">
        <v>5</v>
      </c>
      <c r="F4159"/>
      <c r="G4159"/>
      <c r="H4159"/>
      <c r="I4159"/>
      <c r="J4159"/>
      <c r="K4159"/>
      <c r="L4159"/>
      <c r="M4159"/>
      <c r="N4159"/>
      <c r="O4159"/>
    </row>
    <row r="4160" spans="1:15" hidden="1" x14ac:dyDescent="0.25">
      <c r="A4160" t="s">
        <v>55</v>
      </c>
      <c r="B4160" t="s">
        <v>115</v>
      </c>
      <c r="C4160" t="b">
        <v>0</v>
      </c>
      <c r="D4160" s="1">
        <v>41671</v>
      </c>
      <c r="E4160">
        <v>5</v>
      </c>
      <c r="F4160"/>
      <c r="G4160"/>
      <c r="H4160"/>
      <c r="I4160"/>
      <c r="J4160"/>
      <c r="K4160"/>
      <c r="L4160"/>
      <c r="M4160"/>
      <c r="N4160"/>
      <c r="O4160"/>
    </row>
    <row r="4161" spans="1:15" hidden="1" x14ac:dyDescent="0.25">
      <c r="A4161" t="s">
        <v>58</v>
      </c>
      <c r="B4161" t="s">
        <v>115</v>
      </c>
      <c r="C4161" t="b">
        <v>0</v>
      </c>
      <c r="D4161" s="1">
        <v>41671</v>
      </c>
      <c r="E4161">
        <v>5</v>
      </c>
      <c r="F4161"/>
      <c r="G4161"/>
      <c r="H4161"/>
      <c r="I4161"/>
      <c r="J4161"/>
      <c r="K4161"/>
      <c r="L4161"/>
      <c r="M4161"/>
      <c r="N4161"/>
      <c r="O4161"/>
    </row>
    <row r="4162" spans="1:15" hidden="1" x14ac:dyDescent="0.25">
      <c r="A4162" t="s">
        <v>59</v>
      </c>
      <c r="B4162" t="s">
        <v>115</v>
      </c>
      <c r="C4162" t="b">
        <v>0</v>
      </c>
      <c r="D4162" s="1">
        <v>41671</v>
      </c>
      <c r="E4162">
        <v>5</v>
      </c>
      <c r="F4162"/>
      <c r="G4162"/>
      <c r="H4162"/>
      <c r="I4162"/>
      <c r="J4162"/>
      <c r="K4162"/>
      <c r="L4162"/>
      <c r="M4162"/>
      <c r="N4162"/>
      <c r="O4162"/>
    </row>
    <row r="4163" spans="1:15" hidden="1" x14ac:dyDescent="0.25">
      <c r="A4163" t="s">
        <v>68</v>
      </c>
      <c r="B4163" t="s">
        <v>115</v>
      </c>
      <c r="C4163" t="b">
        <v>0</v>
      </c>
      <c r="D4163" s="1">
        <v>41671</v>
      </c>
      <c r="E4163">
        <v>5</v>
      </c>
      <c r="F4163"/>
      <c r="G4163"/>
      <c r="H4163"/>
      <c r="I4163"/>
      <c r="J4163"/>
      <c r="K4163"/>
      <c r="L4163"/>
      <c r="M4163"/>
      <c r="N4163"/>
      <c r="O4163"/>
    </row>
    <row r="4164" spans="1:15" hidden="1" x14ac:dyDescent="0.25">
      <c r="A4164" t="s">
        <v>69</v>
      </c>
      <c r="B4164" t="s">
        <v>115</v>
      </c>
      <c r="C4164" t="b">
        <v>0</v>
      </c>
      <c r="D4164" s="1">
        <v>41671</v>
      </c>
      <c r="E4164">
        <v>5</v>
      </c>
      <c r="F4164"/>
      <c r="G4164"/>
      <c r="H4164"/>
      <c r="I4164"/>
      <c r="J4164"/>
      <c r="K4164"/>
      <c r="L4164"/>
      <c r="M4164"/>
      <c r="N4164"/>
      <c r="O4164"/>
    </row>
    <row r="4165" spans="1:15" hidden="1" x14ac:dyDescent="0.25">
      <c r="A4165" t="s">
        <v>76</v>
      </c>
      <c r="B4165" t="s">
        <v>115</v>
      </c>
      <c r="C4165" t="b">
        <v>0</v>
      </c>
      <c r="D4165" s="1">
        <v>41671</v>
      </c>
      <c r="E4165">
        <v>1E-3</v>
      </c>
      <c r="F4165"/>
      <c r="G4165"/>
      <c r="H4165"/>
      <c r="I4165"/>
      <c r="J4165"/>
      <c r="K4165"/>
      <c r="L4165"/>
      <c r="M4165"/>
      <c r="N4165"/>
      <c r="O4165"/>
    </row>
    <row r="4166" spans="1:15" hidden="1" x14ac:dyDescent="0.25">
      <c r="A4166" t="s">
        <v>80</v>
      </c>
      <c r="B4166" t="s">
        <v>115</v>
      </c>
      <c r="C4166" t="b">
        <v>0</v>
      </c>
      <c r="D4166" s="1">
        <v>41671</v>
      </c>
      <c r="E4166">
        <v>5</v>
      </c>
      <c r="F4166"/>
      <c r="G4166"/>
      <c r="H4166"/>
      <c r="I4166"/>
      <c r="J4166"/>
      <c r="K4166"/>
      <c r="L4166"/>
      <c r="M4166"/>
      <c r="N4166"/>
      <c r="O4166"/>
    </row>
    <row r="4167" spans="1:15" hidden="1" x14ac:dyDescent="0.25">
      <c r="A4167" t="s">
        <v>84</v>
      </c>
      <c r="B4167" t="s">
        <v>115</v>
      </c>
      <c r="C4167" t="b">
        <v>0</v>
      </c>
      <c r="D4167" s="1">
        <v>41671</v>
      </c>
      <c r="E4167">
        <v>5</v>
      </c>
      <c r="F4167"/>
      <c r="G4167"/>
      <c r="H4167"/>
      <c r="I4167"/>
      <c r="J4167"/>
      <c r="K4167"/>
      <c r="L4167"/>
      <c r="M4167"/>
      <c r="N4167"/>
      <c r="O4167"/>
    </row>
    <row r="4168" spans="1:15" hidden="1" x14ac:dyDescent="0.25">
      <c r="A4168" t="s">
        <v>86</v>
      </c>
      <c r="B4168" t="s">
        <v>115</v>
      </c>
      <c r="C4168" t="b">
        <v>0</v>
      </c>
      <c r="D4168" s="1">
        <v>41671</v>
      </c>
      <c r="E4168">
        <v>5</v>
      </c>
      <c r="F4168"/>
      <c r="G4168"/>
      <c r="H4168"/>
      <c r="I4168"/>
      <c r="J4168"/>
      <c r="K4168"/>
      <c r="L4168"/>
      <c r="M4168"/>
      <c r="N4168"/>
      <c r="O4168"/>
    </row>
    <row r="4169" spans="1:15" hidden="1" x14ac:dyDescent="0.25">
      <c r="A4169" t="s">
        <v>88</v>
      </c>
      <c r="B4169" t="s">
        <v>115</v>
      </c>
      <c r="C4169" t="b">
        <v>0</v>
      </c>
      <c r="D4169" s="1">
        <v>41671</v>
      </c>
      <c r="E4169">
        <v>5</v>
      </c>
      <c r="F4169"/>
      <c r="G4169"/>
      <c r="H4169"/>
      <c r="I4169"/>
      <c r="J4169"/>
      <c r="K4169"/>
      <c r="L4169"/>
      <c r="M4169"/>
      <c r="N4169"/>
      <c r="O4169"/>
    </row>
    <row r="4170" spans="1:15" hidden="1" x14ac:dyDescent="0.25">
      <c r="A4170" t="s">
        <v>95</v>
      </c>
      <c r="B4170" t="s">
        <v>115</v>
      </c>
      <c r="C4170" t="b">
        <v>0</v>
      </c>
      <c r="D4170" s="1">
        <v>41671</v>
      </c>
      <c r="E4170">
        <v>5</v>
      </c>
      <c r="F4170"/>
      <c r="G4170"/>
      <c r="H4170"/>
      <c r="I4170"/>
      <c r="J4170"/>
      <c r="K4170"/>
      <c r="L4170"/>
      <c r="M4170"/>
      <c r="N4170"/>
      <c r="O4170"/>
    </row>
    <row r="4171" spans="1:15" hidden="1" x14ac:dyDescent="0.25">
      <c r="A4171" t="s">
        <v>96</v>
      </c>
      <c r="B4171" t="s">
        <v>115</v>
      </c>
      <c r="C4171" t="b">
        <v>0</v>
      </c>
      <c r="D4171" s="1">
        <v>41671</v>
      </c>
      <c r="E4171">
        <v>5</v>
      </c>
      <c r="F4171"/>
      <c r="G4171"/>
      <c r="H4171"/>
      <c r="I4171"/>
      <c r="J4171"/>
      <c r="K4171"/>
      <c r="L4171"/>
      <c r="M4171"/>
      <c r="N4171"/>
      <c r="O4171"/>
    </row>
    <row r="4172" spans="1:15" hidden="1" x14ac:dyDescent="0.25">
      <c r="A4172" t="s">
        <v>98</v>
      </c>
      <c r="B4172" t="s">
        <v>115</v>
      </c>
      <c r="C4172" t="b">
        <v>0</v>
      </c>
      <c r="D4172" s="1">
        <v>41671</v>
      </c>
      <c r="E4172">
        <v>5</v>
      </c>
      <c r="F4172"/>
      <c r="G4172"/>
      <c r="H4172"/>
      <c r="I4172"/>
      <c r="J4172"/>
      <c r="K4172"/>
      <c r="L4172"/>
      <c r="M4172"/>
      <c r="N4172"/>
      <c r="O4172"/>
    </row>
    <row r="4173" spans="1:15" hidden="1" x14ac:dyDescent="0.25">
      <c r="A4173" t="s">
        <v>99</v>
      </c>
      <c r="B4173" t="s">
        <v>114</v>
      </c>
      <c r="C4173" t="b">
        <v>0</v>
      </c>
      <c r="D4173" s="1">
        <v>41671</v>
      </c>
      <c r="E4173">
        <v>21.02</v>
      </c>
      <c r="F4173"/>
      <c r="G4173"/>
      <c r="H4173"/>
      <c r="I4173"/>
      <c r="J4173"/>
      <c r="K4173"/>
      <c r="L4173"/>
      <c r="M4173"/>
      <c r="N4173"/>
      <c r="O4173"/>
    </row>
    <row r="4174" spans="1:15" hidden="1" x14ac:dyDescent="0.25">
      <c r="A4174" t="s">
        <v>100</v>
      </c>
      <c r="B4174" t="s">
        <v>117</v>
      </c>
      <c r="C4174" t="b">
        <v>0</v>
      </c>
      <c r="D4174" s="1">
        <v>41699</v>
      </c>
      <c r="E4174" s="2">
        <v>-59.94</v>
      </c>
      <c r="F4174"/>
      <c r="G4174"/>
      <c r="H4174"/>
      <c r="I4174"/>
      <c r="J4174"/>
      <c r="K4174"/>
      <c r="L4174"/>
      <c r="M4174"/>
      <c r="N4174"/>
      <c r="O4174"/>
    </row>
    <row r="4175" spans="1:15" hidden="1" x14ac:dyDescent="0.25">
      <c r="A4175" t="s">
        <v>102</v>
      </c>
      <c r="B4175" t="s">
        <v>117</v>
      </c>
      <c r="C4175" t="b">
        <v>0</v>
      </c>
      <c r="D4175" s="1">
        <v>41699</v>
      </c>
      <c r="E4175" s="2">
        <v>-26.66</v>
      </c>
      <c r="F4175"/>
      <c r="G4175"/>
      <c r="H4175"/>
      <c r="I4175"/>
      <c r="J4175"/>
      <c r="K4175"/>
      <c r="L4175"/>
      <c r="M4175"/>
      <c r="N4175"/>
      <c r="O4175"/>
    </row>
    <row r="4176" spans="1:15" hidden="1" x14ac:dyDescent="0.25">
      <c r="A4176" t="s">
        <v>103</v>
      </c>
      <c r="B4176" t="s">
        <v>117</v>
      </c>
      <c r="C4176" t="b">
        <v>0</v>
      </c>
      <c r="D4176" s="1">
        <v>41699</v>
      </c>
      <c r="E4176" s="2">
        <v>-3.17</v>
      </c>
      <c r="F4176"/>
      <c r="G4176"/>
      <c r="H4176"/>
      <c r="I4176"/>
      <c r="J4176"/>
      <c r="K4176"/>
      <c r="L4176"/>
      <c r="M4176"/>
      <c r="N4176"/>
      <c r="O4176"/>
    </row>
    <row r="4177" spans="1:15" hidden="1" x14ac:dyDescent="0.25">
      <c r="A4177" t="s">
        <v>43</v>
      </c>
      <c r="B4177" t="s">
        <v>115</v>
      </c>
      <c r="C4177" t="b">
        <v>0</v>
      </c>
      <c r="D4177" s="1">
        <v>41699</v>
      </c>
      <c r="E4177">
        <v>5</v>
      </c>
      <c r="F4177"/>
      <c r="G4177"/>
      <c r="H4177"/>
      <c r="I4177"/>
      <c r="J4177"/>
      <c r="K4177"/>
      <c r="L4177"/>
      <c r="M4177"/>
      <c r="N4177"/>
      <c r="O4177"/>
    </row>
    <row r="4178" spans="1:15" hidden="1" x14ac:dyDescent="0.25">
      <c r="A4178" t="s">
        <v>44</v>
      </c>
      <c r="B4178" t="s">
        <v>115</v>
      </c>
      <c r="C4178" t="b">
        <v>0</v>
      </c>
      <c r="D4178" s="1">
        <v>41699</v>
      </c>
      <c r="E4178">
        <v>5</v>
      </c>
      <c r="F4178"/>
      <c r="G4178"/>
      <c r="H4178"/>
      <c r="I4178"/>
      <c r="J4178"/>
      <c r="K4178"/>
      <c r="L4178"/>
      <c r="M4178"/>
      <c r="N4178"/>
      <c r="O4178"/>
    </row>
    <row r="4179" spans="1:15" hidden="1" x14ac:dyDescent="0.25">
      <c r="A4179" t="s">
        <v>46</v>
      </c>
      <c r="B4179" t="s">
        <v>115</v>
      </c>
      <c r="C4179" t="b">
        <v>0</v>
      </c>
      <c r="D4179" s="1">
        <v>41699</v>
      </c>
      <c r="E4179">
        <v>5</v>
      </c>
      <c r="F4179"/>
      <c r="G4179"/>
      <c r="H4179"/>
      <c r="I4179"/>
      <c r="J4179"/>
      <c r="K4179"/>
      <c r="L4179"/>
      <c r="M4179"/>
      <c r="N4179"/>
      <c r="O4179"/>
    </row>
    <row r="4180" spans="1:15" hidden="1" x14ac:dyDescent="0.25">
      <c r="A4180" t="s">
        <v>50</v>
      </c>
      <c r="B4180" t="s">
        <v>115</v>
      </c>
      <c r="C4180" t="b">
        <v>0</v>
      </c>
      <c r="D4180" s="1">
        <v>41699</v>
      </c>
      <c r="E4180">
        <v>5</v>
      </c>
      <c r="F4180"/>
      <c r="G4180"/>
      <c r="H4180"/>
      <c r="I4180"/>
      <c r="J4180"/>
      <c r="K4180"/>
      <c r="L4180"/>
      <c r="M4180"/>
      <c r="N4180"/>
      <c r="O4180"/>
    </row>
    <row r="4181" spans="1:15" hidden="1" x14ac:dyDescent="0.25">
      <c r="A4181" t="s">
        <v>54</v>
      </c>
      <c r="B4181" t="s">
        <v>115</v>
      </c>
      <c r="C4181" t="b">
        <v>0</v>
      </c>
      <c r="D4181" s="1">
        <v>41699</v>
      </c>
      <c r="E4181">
        <v>5</v>
      </c>
      <c r="F4181"/>
      <c r="G4181"/>
      <c r="H4181"/>
      <c r="I4181"/>
      <c r="J4181"/>
      <c r="K4181"/>
      <c r="L4181"/>
      <c r="M4181"/>
      <c r="N4181"/>
      <c r="O4181"/>
    </row>
    <row r="4182" spans="1:15" hidden="1" x14ac:dyDescent="0.25">
      <c r="A4182" t="s">
        <v>55</v>
      </c>
      <c r="B4182" t="s">
        <v>115</v>
      </c>
      <c r="C4182" t="b">
        <v>0</v>
      </c>
      <c r="D4182" s="1">
        <v>41699</v>
      </c>
      <c r="E4182">
        <v>5</v>
      </c>
      <c r="F4182"/>
      <c r="G4182"/>
      <c r="H4182"/>
      <c r="I4182"/>
      <c r="J4182"/>
      <c r="K4182"/>
      <c r="L4182"/>
      <c r="M4182"/>
      <c r="N4182"/>
      <c r="O4182"/>
    </row>
    <row r="4183" spans="1:15" hidden="1" x14ac:dyDescent="0.25">
      <c r="A4183" t="s">
        <v>58</v>
      </c>
      <c r="B4183" t="s">
        <v>115</v>
      </c>
      <c r="C4183" t="b">
        <v>0</v>
      </c>
      <c r="D4183" s="1">
        <v>41699</v>
      </c>
      <c r="E4183">
        <v>5</v>
      </c>
      <c r="F4183"/>
      <c r="G4183"/>
      <c r="H4183"/>
      <c r="I4183"/>
      <c r="J4183"/>
      <c r="K4183"/>
      <c r="L4183"/>
      <c r="M4183"/>
      <c r="N4183"/>
      <c r="O4183"/>
    </row>
    <row r="4184" spans="1:15" hidden="1" x14ac:dyDescent="0.25">
      <c r="A4184" t="s">
        <v>59</v>
      </c>
      <c r="B4184" t="s">
        <v>115</v>
      </c>
      <c r="C4184" t="b">
        <v>0</v>
      </c>
      <c r="D4184" s="1">
        <v>41699</v>
      </c>
      <c r="E4184">
        <v>5</v>
      </c>
      <c r="F4184"/>
      <c r="G4184"/>
      <c r="H4184"/>
      <c r="I4184"/>
      <c r="J4184"/>
      <c r="K4184"/>
      <c r="L4184"/>
      <c r="M4184"/>
      <c r="N4184"/>
      <c r="O4184"/>
    </row>
    <row r="4185" spans="1:15" hidden="1" x14ac:dyDescent="0.25">
      <c r="A4185" t="s">
        <v>68</v>
      </c>
      <c r="B4185" t="s">
        <v>115</v>
      </c>
      <c r="C4185" t="b">
        <v>0</v>
      </c>
      <c r="D4185" s="1">
        <v>41699</v>
      </c>
      <c r="E4185">
        <v>5</v>
      </c>
      <c r="F4185"/>
      <c r="G4185"/>
      <c r="H4185"/>
      <c r="I4185"/>
      <c r="J4185"/>
      <c r="K4185"/>
      <c r="L4185"/>
      <c r="M4185"/>
      <c r="N4185"/>
      <c r="O4185"/>
    </row>
    <row r="4186" spans="1:15" hidden="1" x14ac:dyDescent="0.25">
      <c r="A4186" t="s">
        <v>69</v>
      </c>
      <c r="B4186" t="s">
        <v>115</v>
      </c>
      <c r="C4186" t="b">
        <v>0</v>
      </c>
      <c r="D4186" s="1">
        <v>41699</v>
      </c>
      <c r="E4186">
        <v>0</v>
      </c>
      <c r="F4186"/>
      <c r="G4186"/>
      <c r="H4186"/>
      <c r="I4186"/>
      <c r="J4186"/>
      <c r="K4186"/>
      <c r="L4186"/>
      <c r="M4186"/>
      <c r="N4186"/>
      <c r="O4186"/>
    </row>
    <row r="4187" spans="1:15" hidden="1" x14ac:dyDescent="0.25">
      <c r="A4187" t="s">
        <v>76</v>
      </c>
      <c r="B4187" t="s">
        <v>115</v>
      </c>
      <c r="C4187" t="b">
        <v>0</v>
      </c>
      <c r="D4187" s="1">
        <v>41699</v>
      </c>
      <c r="E4187">
        <v>1E-3</v>
      </c>
      <c r="F4187"/>
      <c r="G4187"/>
      <c r="H4187"/>
      <c r="I4187"/>
      <c r="J4187"/>
      <c r="K4187"/>
      <c r="L4187"/>
      <c r="M4187"/>
      <c r="N4187"/>
      <c r="O4187"/>
    </row>
    <row r="4188" spans="1:15" hidden="1" x14ac:dyDescent="0.25">
      <c r="A4188" t="s">
        <v>80</v>
      </c>
      <c r="B4188" t="s">
        <v>115</v>
      </c>
      <c r="C4188" t="b">
        <v>0</v>
      </c>
      <c r="D4188" s="1">
        <v>41699</v>
      </c>
      <c r="E4188">
        <v>5</v>
      </c>
      <c r="F4188"/>
      <c r="G4188"/>
      <c r="H4188"/>
      <c r="I4188"/>
      <c r="J4188"/>
      <c r="K4188"/>
      <c r="L4188"/>
      <c r="M4188"/>
      <c r="N4188"/>
      <c r="O4188"/>
    </row>
    <row r="4189" spans="1:15" hidden="1" x14ac:dyDescent="0.25">
      <c r="A4189" t="s">
        <v>84</v>
      </c>
      <c r="B4189" t="s">
        <v>115</v>
      </c>
      <c r="C4189" t="b">
        <v>0</v>
      </c>
      <c r="D4189" s="1">
        <v>41699</v>
      </c>
      <c r="E4189">
        <v>5</v>
      </c>
      <c r="F4189"/>
      <c r="G4189"/>
      <c r="H4189"/>
      <c r="I4189"/>
      <c r="J4189"/>
      <c r="K4189"/>
      <c r="L4189"/>
      <c r="M4189"/>
      <c r="N4189"/>
      <c r="O4189"/>
    </row>
    <row r="4190" spans="1:15" hidden="1" x14ac:dyDescent="0.25">
      <c r="A4190" t="s">
        <v>86</v>
      </c>
      <c r="B4190" t="s">
        <v>115</v>
      </c>
      <c r="C4190" t="b">
        <v>0</v>
      </c>
      <c r="D4190" s="1">
        <v>41699</v>
      </c>
      <c r="E4190">
        <v>5</v>
      </c>
      <c r="F4190"/>
      <c r="G4190"/>
      <c r="H4190"/>
      <c r="I4190"/>
      <c r="J4190"/>
      <c r="K4190"/>
      <c r="L4190"/>
      <c r="M4190"/>
      <c r="N4190"/>
      <c r="O4190"/>
    </row>
    <row r="4191" spans="1:15" hidden="1" x14ac:dyDescent="0.25">
      <c r="A4191" t="s">
        <v>88</v>
      </c>
      <c r="B4191" t="s">
        <v>115</v>
      </c>
      <c r="C4191" t="b">
        <v>0</v>
      </c>
      <c r="D4191" s="1">
        <v>41699</v>
      </c>
      <c r="E4191">
        <v>5</v>
      </c>
      <c r="F4191"/>
      <c r="G4191"/>
      <c r="H4191"/>
      <c r="I4191"/>
      <c r="J4191"/>
      <c r="K4191"/>
      <c r="L4191"/>
      <c r="M4191"/>
      <c r="N4191"/>
      <c r="O4191"/>
    </row>
    <row r="4192" spans="1:15" hidden="1" x14ac:dyDescent="0.25">
      <c r="A4192" t="s">
        <v>95</v>
      </c>
      <c r="B4192" t="s">
        <v>115</v>
      </c>
      <c r="C4192" t="b">
        <v>0</v>
      </c>
      <c r="D4192" s="1">
        <v>41699</v>
      </c>
      <c r="E4192">
        <v>5</v>
      </c>
      <c r="F4192"/>
      <c r="G4192"/>
      <c r="H4192"/>
      <c r="I4192"/>
      <c r="J4192"/>
      <c r="K4192"/>
      <c r="L4192"/>
      <c r="M4192"/>
      <c r="N4192"/>
      <c r="O4192"/>
    </row>
    <row r="4193" spans="1:15" hidden="1" x14ac:dyDescent="0.25">
      <c r="A4193" t="s">
        <v>96</v>
      </c>
      <c r="B4193" t="s">
        <v>115</v>
      </c>
      <c r="C4193" t="b">
        <v>0</v>
      </c>
      <c r="D4193" s="1">
        <v>41699</v>
      </c>
      <c r="E4193">
        <v>5</v>
      </c>
      <c r="F4193"/>
      <c r="G4193"/>
      <c r="H4193"/>
      <c r="I4193"/>
      <c r="J4193"/>
      <c r="K4193"/>
      <c r="L4193"/>
      <c r="M4193"/>
      <c r="N4193"/>
      <c r="O4193"/>
    </row>
    <row r="4194" spans="1:15" hidden="1" x14ac:dyDescent="0.25">
      <c r="A4194" t="s">
        <v>98</v>
      </c>
      <c r="B4194" t="s">
        <v>115</v>
      </c>
      <c r="C4194" t="b">
        <v>0</v>
      </c>
      <c r="D4194" s="1">
        <v>41699</v>
      </c>
      <c r="E4194">
        <v>5</v>
      </c>
      <c r="F4194"/>
      <c r="G4194"/>
      <c r="H4194"/>
      <c r="I4194"/>
      <c r="J4194"/>
      <c r="K4194"/>
      <c r="L4194"/>
      <c r="M4194"/>
      <c r="N4194"/>
      <c r="O4194"/>
    </row>
    <row r="4195" spans="1:15" hidden="1" x14ac:dyDescent="0.25">
      <c r="A4195" t="s">
        <v>99</v>
      </c>
      <c r="B4195" t="s">
        <v>114</v>
      </c>
      <c r="C4195" t="b">
        <v>0</v>
      </c>
      <c r="D4195" s="1">
        <v>41699</v>
      </c>
      <c r="E4195">
        <v>22</v>
      </c>
      <c r="F4195"/>
      <c r="G4195"/>
      <c r="H4195"/>
      <c r="I4195"/>
      <c r="J4195"/>
      <c r="K4195"/>
      <c r="L4195"/>
      <c r="M4195"/>
      <c r="N4195"/>
      <c r="O4195"/>
    </row>
    <row r="4196" spans="1:15" hidden="1" x14ac:dyDescent="0.25">
      <c r="A4196" t="s">
        <v>100</v>
      </c>
      <c r="B4196" t="s">
        <v>117</v>
      </c>
      <c r="C4196" t="b">
        <v>0</v>
      </c>
      <c r="D4196" s="1">
        <v>41730</v>
      </c>
      <c r="E4196" s="2">
        <v>-49.95</v>
      </c>
      <c r="F4196"/>
      <c r="G4196"/>
      <c r="H4196"/>
      <c r="I4196"/>
      <c r="J4196"/>
      <c r="K4196"/>
      <c r="L4196"/>
      <c r="M4196"/>
      <c r="N4196"/>
      <c r="O4196"/>
    </row>
    <row r="4197" spans="1:15" hidden="1" x14ac:dyDescent="0.25">
      <c r="A4197" t="s">
        <v>104</v>
      </c>
      <c r="B4197" t="s">
        <v>117</v>
      </c>
      <c r="C4197" t="b">
        <v>0</v>
      </c>
      <c r="D4197" s="1">
        <v>41730</v>
      </c>
      <c r="E4197" s="2">
        <v>-10.29</v>
      </c>
      <c r="F4197"/>
      <c r="G4197"/>
      <c r="H4197"/>
      <c r="I4197"/>
      <c r="J4197"/>
      <c r="K4197"/>
      <c r="L4197"/>
      <c r="M4197"/>
      <c r="N4197"/>
      <c r="O4197"/>
    </row>
    <row r="4198" spans="1:15" hidden="1" x14ac:dyDescent="0.25">
      <c r="A4198" t="s">
        <v>102</v>
      </c>
      <c r="B4198" t="s">
        <v>117</v>
      </c>
      <c r="C4198" t="b">
        <v>0</v>
      </c>
      <c r="D4198" s="1">
        <v>41730</v>
      </c>
      <c r="E4198" s="2">
        <v>-26.66</v>
      </c>
      <c r="F4198"/>
      <c r="G4198"/>
      <c r="H4198"/>
      <c r="I4198"/>
      <c r="J4198"/>
      <c r="K4198"/>
      <c r="L4198"/>
      <c r="M4198"/>
      <c r="N4198"/>
      <c r="O4198"/>
    </row>
    <row r="4199" spans="1:15" hidden="1" x14ac:dyDescent="0.25">
      <c r="A4199" t="s">
        <v>103</v>
      </c>
      <c r="B4199" t="s">
        <v>117</v>
      </c>
      <c r="C4199" t="b">
        <v>0</v>
      </c>
      <c r="D4199" s="1">
        <v>41730</v>
      </c>
      <c r="E4199" s="2">
        <v>-2.89</v>
      </c>
      <c r="F4199"/>
      <c r="G4199"/>
      <c r="H4199"/>
      <c r="I4199"/>
      <c r="J4199"/>
      <c r="K4199"/>
      <c r="L4199"/>
      <c r="M4199"/>
      <c r="N4199"/>
      <c r="O4199"/>
    </row>
    <row r="4200" spans="1:15" hidden="1" x14ac:dyDescent="0.25">
      <c r="A4200" t="s">
        <v>101</v>
      </c>
      <c r="B4200" t="s">
        <v>117</v>
      </c>
      <c r="C4200" t="b">
        <v>0</v>
      </c>
      <c r="D4200" s="1">
        <v>41730</v>
      </c>
      <c r="E4200" s="2">
        <v>-7.08</v>
      </c>
      <c r="F4200"/>
      <c r="G4200"/>
      <c r="H4200"/>
      <c r="I4200"/>
      <c r="J4200"/>
      <c r="K4200"/>
      <c r="L4200"/>
      <c r="M4200"/>
      <c r="N4200"/>
      <c r="O4200"/>
    </row>
    <row r="4201" spans="1:15" hidden="1" x14ac:dyDescent="0.25">
      <c r="A4201" t="s">
        <v>43</v>
      </c>
      <c r="B4201" t="s">
        <v>115</v>
      </c>
      <c r="C4201" t="b">
        <v>0</v>
      </c>
      <c r="D4201" s="1">
        <v>41730</v>
      </c>
      <c r="E4201">
        <v>5</v>
      </c>
      <c r="F4201"/>
      <c r="G4201"/>
      <c r="H4201"/>
      <c r="I4201"/>
      <c r="J4201"/>
      <c r="K4201"/>
      <c r="L4201"/>
      <c r="M4201"/>
      <c r="N4201"/>
      <c r="O4201"/>
    </row>
    <row r="4202" spans="1:15" hidden="1" x14ac:dyDescent="0.25">
      <c r="A4202" t="s">
        <v>44</v>
      </c>
      <c r="B4202" t="s">
        <v>115</v>
      </c>
      <c r="C4202" t="b">
        <v>0</v>
      </c>
      <c r="D4202" s="1">
        <v>41730</v>
      </c>
      <c r="E4202">
        <v>5</v>
      </c>
      <c r="F4202"/>
      <c r="G4202"/>
      <c r="H4202"/>
      <c r="I4202"/>
      <c r="J4202"/>
      <c r="K4202"/>
      <c r="L4202"/>
      <c r="M4202"/>
      <c r="N4202"/>
      <c r="O4202"/>
    </row>
    <row r="4203" spans="1:15" hidden="1" x14ac:dyDescent="0.25">
      <c r="A4203" t="s">
        <v>46</v>
      </c>
      <c r="B4203" t="s">
        <v>115</v>
      </c>
      <c r="C4203" t="b">
        <v>0</v>
      </c>
      <c r="D4203" s="1">
        <v>41730</v>
      </c>
      <c r="E4203">
        <v>5</v>
      </c>
      <c r="F4203"/>
      <c r="G4203"/>
      <c r="H4203"/>
      <c r="I4203"/>
      <c r="J4203"/>
      <c r="K4203"/>
      <c r="L4203"/>
      <c r="M4203"/>
      <c r="N4203"/>
      <c r="O4203"/>
    </row>
    <row r="4204" spans="1:15" hidden="1" x14ac:dyDescent="0.25">
      <c r="A4204" t="s">
        <v>50</v>
      </c>
      <c r="B4204" t="s">
        <v>115</v>
      </c>
      <c r="C4204" t="b">
        <v>0</v>
      </c>
      <c r="D4204" s="1">
        <v>41730</v>
      </c>
      <c r="E4204">
        <v>5</v>
      </c>
      <c r="F4204"/>
      <c r="G4204"/>
      <c r="H4204"/>
      <c r="I4204"/>
      <c r="J4204"/>
      <c r="K4204"/>
      <c r="L4204"/>
      <c r="M4204"/>
      <c r="N4204"/>
      <c r="O4204"/>
    </row>
    <row r="4205" spans="1:15" hidden="1" x14ac:dyDescent="0.25">
      <c r="A4205" t="s">
        <v>54</v>
      </c>
      <c r="B4205" t="s">
        <v>115</v>
      </c>
      <c r="C4205" t="b">
        <v>0</v>
      </c>
      <c r="D4205" s="1">
        <v>41730</v>
      </c>
      <c r="E4205">
        <v>5</v>
      </c>
      <c r="F4205"/>
      <c r="G4205"/>
      <c r="H4205"/>
      <c r="I4205"/>
      <c r="J4205"/>
      <c r="K4205"/>
      <c r="L4205"/>
      <c r="M4205"/>
      <c r="N4205"/>
      <c r="O4205"/>
    </row>
    <row r="4206" spans="1:15" hidden="1" x14ac:dyDescent="0.25">
      <c r="A4206" t="s">
        <v>55</v>
      </c>
      <c r="B4206" t="s">
        <v>115</v>
      </c>
      <c r="C4206" t="b">
        <v>0</v>
      </c>
      <c r="D4206" s="1">
        <v>41730</v>
      </c>
      <c r="E4206">
        <v>5</v>
      </c>
      <c r="F4206"/>
      <c r="G4206"/>
      <c r="H4206"/>
      <c r="I4206"/>
      <c r="J4206"/>
      <c r="K4206"/>
      <c r="L4206"/>
      <c r="M4206"/>
      <c r="N4206"/>
      <c r="O4206"/>
    </row>
    <row r="4207" spans="1:15" hidden="1" x14ac:dyDescent="0.25">
      <c r="A4207" t="s">
        <v>58</v>
      </c>
      <c r="B4207" t="s">
        <v>115</v>
      </c>
      <c r="C4207" t="b">
        <v>0</v>
      </c>
      <c r="D4207" s="1">
        <v>41730</v>
      </c>
      <c r="E4207">
        <v>5</v>
      </c>
      <c r="F4207"/>
      <c r="G4207"/>
      <c r="H4207"/>
      <c r="I4207"/>
      <c r="J4207"/>
      <c r="K4207"/>
      <c r="L4207"/>
      <c r="M4207"/>
      <c r="N4207"/>
      <c r="O4207"/>
    </row>
    <row r="4208" spans="1:15" hidden="1" x14ac:dyDescent="0.25">
      <c r="A4208" t="s">
        <v>59</v>
      </c>
      <c r="B4208" t="s">
        <v>115</v>
      </c>
      <c r="C4208" t="b">
        <v>0</v>
      </c>
      <c r="D4208" s="1">
        <v>41730</v>
      </c>
      <c r="E4208">
        <v>5</v>
      </c>
      <c r="F4208"/>
      <c r="G4208"/>
      <c r="H4208"/>
      <c r="I4208"/>
      <c r="J4208"/>
      <c r="K4208"/>
      <c r="L4208"/>
      <c r="M4208"/>
      <c r="N4208"/>
      <c r="O4208"/>
    </row>
    <row r="4209" spans="1:15" hidden="1" x14ac:dyDescent="0.25">
      <c r="A4209" t="s">
        <v>68</v>
      </c>
      <c r="B4209" t="s">
        <v>115</v>
      </c>
      <c r="C4209" t="b">
        <v>0</v>
      </c>
      <c r="D4209" s="1">
        <v>41730</v>
      </c>
      <c r="E4209">
        <v>5</v>
      </c>
      <c r="F4209"/>
      <c r="G4209"/>
      <c r="H4209"/>
      <c r="I4209"/>
      <c r="J4209"/>
      <c r="K4209"/>
      <c r="L4209"/>
      <c r="M4209"/>
      <c r="N4209"/>
      <c r="O4209"/>
    </row>
    <row r="4210" spans="1:15" hidden="1" x14ac:dyDescent="0.25">
      <c r="A4210" t="s">
        <v>69</v>
      </c>
      <c r="B4210" t="s">
        <v>115</v>
      </c>
      <c r="C4210" t="b">
        <v>0</v>
      </c>
      <c r="D4210" s="1">
        <v>41730</v>
      </c>
      <c r="E4210">
        <v>5</v>
      </c>
      <c r="F4210"/>
      <c r="G4210"/>
      <c r="H4210"/>
      <c r="I4210"/>
      <c r="J4210"/>
      <c r="K4210"/>
      <c r="L4210"/>
      <c r="M4210"/>
      <c r="N4210"/>
      <c r="O4210"/>
    </row>
    <row r="4211" spans="1:15" hidden="1" x14ac:dyDescent="0.25">
      <c r="A4211" t="s">
        <v>76</v>
      </c>
      <c r="B4211" t="s">
        <v>115</v>
      </c>
      <c r="C4211" t="b">
        <v>0</v>
      </c>
      <c r="D4211" s="1">
        <v>41730</v>
      </c>
      <c r="E4211">
        <v>1E-3</v>
      </c>
      <c r="F4211"/>
      <c r="G4211"/>
      <c r="H4211"/>
      <c r="I4211"/>
      <c r="J4211"/>
      <c r="K4211"/>
      <c r="L4211"/>
      <c r="M4211"/>
      <c r="N4211"/>
      <c r="O4211"/>
    </row>
    <row r="4212" spans="1:15" hidden="1" x14ac:dyDescent="0.25">
      <c r="A4212" t="s">
        <v>80</v>
      </c>
      <c r="B4212" t="s">
        <v>115</v>
      </c>
      <c r="C4212" t="b">
        <v>0</v>
      </c>
      <c r="D4212" s="1">
        <v>41730</v>
      </c>
      <c r="E4212">
        <v>5</v>
      </c>
      <c r="F4212"/>
      <c r="G4212"/>
      <c r="H4212"/>
      <c r="I4212"/>
      <c r="J4212"/>
      <c r="K4212"/>
      <c r="L4212"/>
      <c r="M4212"/>
      <c r="N4212"/>
      <c r="O4212"/>
    </row>
    <row r="4213" spans="1:15" hidden="1" x14ac:dyDescent="0.25">
      <c r="A4213" t="s">
        <v>84</v>
      </c>
      <c r="B4213" t="s">
        <v>115</v>
      </c>
      <c r="C4213" t="b">
        <v>0</v>
      </c>
      <c r="D4213" s="1">
        <v>41730</v>
      </c>
      <c r="E4213">
        <v>5</v>
      </c>
      <c r="F4213"/>
      <c r="G4213"/>
      <c r="H4213"/>
      <c r="I4213"/>
      <c r="J4213"/>
      <c r="K4213"/>
      <c r="L4213"/>
      <c r="M4213"/>
      <c r="N4213"/>
      <c r="O4213"/>
    </row>
    <row r="4214" spans="1:15" hidden="1" x14ac:dyDescent="0.25">
      <c r="A4214" t="s">
        <v>86</v>
      </c>
      <c r="B4214" t="s">
        <v>115</v>
      </c>
      <c r="C4214" t="b">
        <v>0</v>
      </c>
      <c r="D4214" s="1">
        <v>41730</v>
      </c>
      <c r="E4214">
        <v>5</v>
      </c>
      <c r="F4214"/>
      <c r="G4214"/>
      <c r="H4214"/>
      <c r="I4214"/>
      <c r="J4214"/>
      <c r="K4214"/>
      <c r="L4214"/>
      <c r="M4214"/>
      <c r="N4214"/>
      <c r="O4214"/>
    </row>
    <row r="4215" spans="1:15" hidden="1" x14ac:dyDescent="0.25">
      <c r="A4215" t="s">
        <v>88</v>
      </c>
      <c r="B4215" t="s">
        <v>115</v>
      </c>
      <c r="C4215" t="b">
        <v>0</v>
      </c>
      <c r="D4215" s="1">
        <v>41730</v>
      </c>
      <c r="E4215">
        <v>5</v>
      </c>
      <c r="F4215"/>
      <c r="G4215"/>
      <c r="H4215"/>
      <c r="I4215"/>
      <c r="J4215"/>
      <c r="K4215"/>
      <c r="L4215"/>
      <c r="M4215"/>
      <c r="N4215"/>
      <c r="O4215"/>
    </row>
    <row r="4216" spans="1:15" hidden="1" x14ac:dyDescent="0.25">
      <c r="A4216" t="s">
        <v>95</v>
      </c>
      <c r="B4216" t="s">
        <v>115</v>
      </c>
      <c r="C4216" t="b">
        <v>0</v>
      </c>
      <c r="D4216" s="1">
        <v>41730</v>
      </c>
      <c r="E4216">
        <v>5</v>
      </c>
      <c r="F4216"/>
      <c r="G4216"/>
      <c r="H4216"/>
      <c r="I4216"/>
      <c r="J4216"/>
      <c r="K4216"/>
      <c r="L4216"/>
      <c r="M4216"/>
      <c r="N4216"/>
      <c r="O4216"/>
    </row>
    <row r="4217" spans="1:15" hidden="1" x14ac:dyDescent="0.25">
      <c r="A4217" t="s">
        <v>96</v>
      </c>
      <c r="B4217" t="s">
        <v>115</v>
      </c>
      <c r="C4217" t="b">
        <v>0</v>
      </c>
      <c r="D4217" s="1">
        <v>41730</v>
      </c>
      <c r="E4217">
        <v>5</v>
      </c>
      <c r="F4217"/>
      <c r="G4217"/>
      <c r="H4217"/>
      <c r="I4217"/>
      <c r="J4217"/>
      <c r="K4217"/>
      <c r="L4217"/>
      <c r="M4217"/>
      <c r="N4217"/>
      <c r="O4217"/>
    </row>
    <row r="4218" spans="1:15" hidden="1" x14ac:dyDescent="0.25">
      <c r="A4218" t="s">
        <v>98</v>
      </c>
      <c r="B4218" t="s">
        <v>115</v>
      </c>
      <c r="C4218" t="b">
        <v>0</v>
      </c>
      <c r="D4218" s="1">
        <v>41730</v>
      </c>
      <c r="E4218">
        <v>5</v>
      </c>
      <c r="F4218"/>
      <c r="G4218"/>
      <c r="H4218"/>
      <c r="I4218"/>
      <c r="J4218"/>
      <c r="K4218"/>
      <c r="L4218"/>
      <c r="M4218"/>
      <c r="N4218"/>
      <c r="O4218"/>
    </row>
    <row r="4219" spans="1:15" hidden="1" x14ac:dyDescent="0.25">
      <c r="A4219" t="s">
        <v>99</v>
      </c>
      <c r="B4219" t="s">
        <v>114</v>
      </c>
      <c r="C4219" t="b">
        <v>0</v>
      </c>
      <c r="D4219" s="1">
        <v>41730</v>
      </c>
      <c r="E4219">
        <v>19.7</v>
      </c>
      <c r="F4219"/>
      <c r="G4219"/>
      <c r="H4219"/>
      <c r="I4219"/>
      <c r="J4219"/>
      <c r="K4219"/>
      <c r="L4219"/>
      <c r="M4219"/>
      <c r="N4219"/>
      <c r="O4219"/>
    </row>
    <row r="4220" spans="1:15" hidden="1" x14ac:dyDescent="0.25">
      <c r="A4220" t="s">
        <v>100</v>
      </c>
      <c r="B4220" t="s">
        <v>117</v>
      </c>
      <c r="C4220" t="b">
        <v>0</v>
      </c>
      <c r="D4220" s="1">
        <v>41760</v>
      </c>
      <c r="E4220" s="2">
        <v>-47.55</v>
      </c>
      <c r="F4220"/>
      <c r="G4220"/>
      <c r="H4220"/>
      <c r="I4220"/>
      <c r="J4220"/>
      <c r="K4220"/>
      <c r="L4220"/>
      <c r="M4220"/>
      <c r="N4220"/>
      <c r="O4220"/>
    </row>
    <row r="4221" spans="1:15" hidden="1" x14ac:dyDescent="0.25">
      <c r="A4221" t="s">
        <v>102</v>
      </c>
      <c r="B4221" t="s">
        <v>117</v>
      </c>
      <c r="C4221" t="b">
        <v>0</v>
      </c>
      <c r="D4221" s="1">
        <v>41760</v>
      </c>
      <c r="E4221" s="2">
        <v>-32.450000000000003</v>
      </c>
      <c r="F4221"/>
      <c r="G4221"/>
      <c r="H4221"/>
      <c r="I4221"/>
      <c r="J4221"/>
      <c r="K4221"/>
      <c r="L4221"/>
      <c r="M4221"/>
      <c r="N4221"/>
      <c r="O4221"/>
    </row>
    <row r="4222" spans="1:15" hidden="1" x14ac:dyDescent="0.25">
      <c r="A4222" t="s">
        <v>103</v>
      </c>
      <c r="B4222" t="s">
        <v>117</v>
      </c>
      <c r="C4222" t="b">
        <v>0</v>
      </c>
      <c r="D4222" s="1">
        <v>41760</v>
      </c>
      <c r="E4222" s="2">
        <v>-27.49</v>
      </c>
      <c r="F4222"/>
      <c r="G4222"/>
      <c r="H4222"/>
      <c r="I4222"/>
      <c r="J4222"/>
      <c r="K4222"/>
      <c r="L4222"/>
      <c r="M4222"/>
      <c r="N4222"/>
      <c r="O4222"/>
    </row>
    <row r="4223" spans="1:15" hidden="1" x14ac:dyDescent="0.25">
      <c r="A4223" t="s">
        <v>43</v>
      </c>
      <c r="B4223" t="s">
        <v>115</v>
      </c>
      <c r="C4223" t="b">
        <v>0</v>
      </c>
      <c r="D4223" s="1">
        <v>41760</v>
      </c>
      <c r="E4223">
        <v>5</v>
      </c>
      <c r="F4223"/>
      <c r="G4223"/>
      <c r="H4223"/>
      <c r="I4223"/>
      <c r="J4223"/>
      <c r="K4223"/>
      <c r="L4223"/>
      <c r="M4223"/>
      <c r="N4223"/>
      <c r="O4223"/>
    </row>
    <row r="4224" spans="1:15" hidden="1" x14ac:dyDescent="0.25">
      <c r="A4224" t="s">
        <v>44</v>
      </c>
      <c r="B4224" t="s">
        <v>115</v>
      </c>
      <c r="C4224" t="b">
        <v>0</v>
      </c>
      <c r="D4224" s="1">
        <v>41760</v>
      </c>
      <c r="E4224">
        <v>5</v>
      </c>
      <c r="F4224"/>
      <c r="G4224"/>
      <c r="H4224"/>
      <c r="I4224"/>
      <c r="J4224"/>
      <c r="K4224"/>
      <c r="L4224"/>
      <c r="M4224"/>
      <c r="N4224"/>
      <c r="O4224"/>
    </row>
    <row r="4225" spans="1:15" hidden="1" x14ac:dyDescent="0.25">
      <c r="A4225" t="s">
        <v>46</v>
      </c>
      <c r="B4225" t="s">
        <v>115</v>
      </c>
      <c r="C4225" t="b">
        <v>0</v>
      </c>
      <c r="D4225" s="1">
        <v>41760</v>
      </c>
      <c r="E4225">
        <v>5</v>
      </c>
      <c r="F4225"/>
      <c r="G4225"/>
      <c r="H4225"/>
      <c r="I4225"/>
      <c r="J4225"/>
      <c r="K4225"/>
      <c r="L4225"/>
      <c r="M4225"/>
      <c r="N4225"/>
      <c r="O4225"/>
    </row>
    <row r="4226" spans="1:15" hidden="1" x14ac:dyDescent="0.25">
      <c r="A4226" t="s">
        <v>50</v>
      </c>
      <c r="B4226" t="s">
        <v>115</v>
      </c>
      <c r="C4226" t="b">
        <v>0</v>
      </c>
      <c r="D4226" s="1">
        <v>41760</v>
      </c>
      <c r="E4226">
        <v>5</v>
      </c>
      <c r="F4226"/>
      <c r="G4226"/>
      <c r="H4226"/>
      <c r="I4226"/>
      <c r="J4226"/>
      <c r="K4226"/>
      <c r="L4226"/>
      <c r="M4226"/>
      <c r="N4226"/>
      <c r="O4226"/>
    </row>
    <row r="4227" spans="1:15" hidden="1" x14ac:dyDescent="0.25">
      <c r="A4227" t="s">
        <v>54</v>
      </c>
      <c r="B4227" t="s">
        <v>115</v>
      </c>
      <c r="C4227" t="b">
        <v>0</v>
      </c>
      <c r="D4227" s="1">
        <v>41760</v>
      </c>
      <c r="E4227">
        <v>5</v>
      </c>
      <c r="F4227"/>
      <c r="G4227"/>
      <c r="H4227"/>
      <c r="I4227"/>
      <c r="J4227"/>
      <c r="K4227"/>
      <c r="L4227"/>
      <c r="M4227"/>
      <c r="N4227"/>
      <c r="O4227"/>
    </row>
    <row r="4228" spans="1:15" hidden="1" x14ac:dyDescent="0.25">
      <c r="A4228" t="s">
        <v>55</v>
      </c>
      <c r="B4228" t="s">
        <v>115</v>
      </c>
      <c r="C4228" t="b">
        <v>0</v>
      </c>
      <c r="D4228" s="1">
        <v>41760</v>
      </c>
      <c r="E4228">
        <v>5</v>
      </c>
      <c r="F4228"/>
      <c r="G4228"/>
      <c r="H4228"/>
      <c r="I4228"/>
      <c r="J4228"/>
      <c r="K4228"/>
      <c r="L4228"/>
      <c r="M4228"/>
      <c r="N4228"/>
      <c r="O4228"/>
    </row>
    <row r="4229" spans="1:15" hidden="1" x14ac:dyDescent="0.25">
      <c r="A4229" t="s">
        <v>58</v>
      </c>
      <c r="B4229" t="s">
        <v>115</v>
      </c>
      <c r="C4229" t="b">
        <v>0</v>
      </c>
      <c r="D4229" s="1">
        <v>41760</v>
      </c>
      <c r="E4229">
        <v>5</v>
      </c>
      <c r="F4229"/>
      <c r="G4229"/>
      <c r="H4229"/>
      <c r="I4229"/>
      <c r="J4229"/>
      <c r="K4229"/>
      <c r="L4229"/>
      <c r="M4229"/>
      <c r="N4229"/>
      <c r="O4229"/>
    </row>
    <row r="4230" spans="1:15" hidden="1" x14ac:dyDescent="0.25">
      <c r="A4230" t="s">
        <v>59</v>
      </c>
      <c r="B4230" t="s">
        <v>115</v>
      </c>
      <c r="C4230" t="b">
        <v>0</v>
      </c>
      <c r="D4230" s="1">
        <v>41760</v>
      </c>
      <c r="E4230">
        <v>5</v>
      </c>
      <c r="F4230"/>
      <c r="G4230"/>
      <c r="H4230"/>
      <c r="I4230"/>
      <c r="J4230"/>
      <c r="K4230"/>
      <c r="L4230"/>
      <c r="M4230"/>
      <c r="N4230"/>
      <c r="O4230"/>
    </row>
    <row r="4231" spans="1:15" hidden="1" x14ac:dyDescent="0.25">
      <c r="A4231" t="s">
        <v>68</v>
      </c>
      <c r="B4231" t="s">
        <v>115</v>
      </c>
      <c r="C4231" t="b">
        <v>0</v>
      </c>
      <c r="D4231" s="1">
        <v>41760</v>
      </c>
      <c r="E4231">
        <v>5</v>
      </c>
      <c r="F4231"/>
      <c r="G4231"/>
      <c r="H4231"/>
      <c r="I4231"/>
      <c r="J4231"/>
      <c r="K4231"/>
      <c r="L4231"/>
      <c r="M4231"/>
      <c r="N4231"/>
      <c r="O4231"/>
    </row>
    <row r="4232" spans="1:15" hidden="1" x14ac:dyDescent="0.25">
      <c r="A4232" t="s">
        <v>69</v>
      </c>
      <c r="B4232" t="s">
        <v>115</v>
      </c>
      <c r="C4232" t="b">
        <v>0</v>
      </c>
      <c r="D4232" s="1">
        <v>41760</v>
      </c>
      <c r="E4232">
        <v>5</v>
      </c>
      <c r="F4232"/>
      <c r="G4232"/>
      <c r="H4232"/>
      <c r="I4232"/>
      <c r="J4232"/>
      <c r="K4232"/>
      <c r="L4232"/>
      <c r="M4232"/>
      <c r="N4232"/>
      <c r="O4232"/>
    </row>
    <row r="4233" spans="1:15" hidden="1" x14ac:dyDescent="0.25">
      <c r="A4233" t="s">
        <v>76</v>
      </c>
      <c r="B4233" t="s">
        <v>115</v>
      </c>
      <c r="C4233" t="b">
        <v>0</v>
      </c>
      <c r="D4233" s="1">
        <v>41760</v>
      </c>
      <c r="E4233">
        <v>1E-3</v>
      </c>
      <c r="F4233"/>
      <c r="G4233"/>
      <c r="H4233"/>
      <c r="I4233"/>
      <c r="J4233"/>
      <c r="K4233"/>
      <c r="L4233"/>
      <c r="M4233"/>
      <c r="N4233"/>
      <c r="O4233"/>
    </row>
    <row r="4234" spans="1:15" hidden="1" x14ac:dyDescent="0.25">
      <c r="A4234" t="s">
        <v>80</v>
      </c>
      <c r="B4234" t="s">
        <v>115</v>
      </c>
      <c r="C4234" t="b">
        <v>0</v>
      </c>
      <c r="D4234" s="1">
        <v>41760</v>
      </c>
      <c r="E4234">
        <v>5</v>
      </c>
      <c r="F4234"/>
      <c r="G4234"/>
      <c r="H4234"/>
      <c r="I4234"/>
      <c r="J4234"/>
      <c r="K4234"/>
      <c r="L4234"/>
      <c r="M4234"/>
      <c r="N4234"/>
      <c r="O4234"/>
    </row>
    <row r="4235" spans="1:15" hidden="1" x14ac:dyDescent="0.25">
      <c r="A4235" t="s">
        <v>81</v>
      </c>
      <c r="B4235" t="s">
        <v>115</v>
      </c>
      <c r="C4235" t="b">
        <v>0</v>
      </c>
      <c r="D4235" s="1">
        <v>41760</v>
      </c>
      <c r="E4235">
        <v>1E-3</v>
      </c>
      <c r="F4235"/>
      <c r="G4235"/>
      <c r="H4235"/>
      <c r="I4235"/>
      <c r="J4235"/>
      <c r="K4235"/>
      <c r="L4235"/>
      <c r="M4235"/>
      <c r="N4235"/>
      <c r="O4235"/>
    </row>
    <row r="4236" spans="1:15" hidden="1" x14ac:dyDescent="0.25">
      <c r="A4236" t="s">
        <v>84</v>
      </c>
      <c r="B4236" t="s">
        <v>115</v>
      </c>
      <c r="C4236" t="b">
        <v>0</v>
      </c>
      <c r="D4236" s="1">
        <v>41760</v>
      </c>
      <c r="E4236">
        <v>5</v>
      </c>
      <c r="F4236"/>
      <c r="G4236"/>
      <c r="H4236"/>
      <c r="I4236"/>
      <c r="J4236"/>
      <c r="K4236"/>
      <c r="L4236"/>
      <c r="M4236"/>
      <c r="N4236"/>
      <c r="O4236"/>
    </row>
    <row r="4237" spans="1:15" hidden="1" x14ac:dyDescent="0.25">
      <c r="A4237" t="s">
        <v>86</v>
      </c>
      <c r="B4237" t="s">
        <v>115</v>
      </c>
      <c r="C4237" t="b">
        <v>0</v>
      </c>
      <c r="D4237" s="1">
        <v>41760</v>
      </c>
      <c r="E4237">
        <v>5</v>
      </c>
      <c r="F4237"/>
      <c r="G4237"/>
      <c r="H4237"/>
      <c r="I4237"/>
      <c r="J4237"/>
      <c r="K4237"/>
      <c r="L4237"/>
      <c r="M4237"/>
      <c r="N4237"/>
      <c r="O4237"/>
    </row>
    <row r="4238" spans="1:15" hidden="1" x14ac:dyDescent="0.25">
      <c r="A4238" t="s">
        <v>88</v>
      </c>
      <c r="B4238" t="s">
        <v>115</v>
      </c>
      <c r="C4238" t="b">
        <v>0</v>
      </c>
      <c r="D4238" s="1">
        <v>41760</v>
      </c>
      <c r="E4238">
        <v>5</v>
      </c>
      <c r="F4238"/>
      <c r="G4238"/>
      <c r="H4238"/>
      <c r="I4238"/>
      <c r="J4238"/>
      <c r="K4238"/>
      <c r="L4238"/>
      <c r="M4238"/>
      <c r="N4238"/>
      <c r="O4238"/>
    </row>
    <row r="4239" spans="1:15" hidden="1" x14ac:dyDescent="0.25">
      <c r="A4239" t="s">
        <v>95</v>
      </c>
      <c r="B4239" t="s">
        <v>115</v>
      </c>
      <c r="C4239" t="b">
        <v>0</v>
      </c>
      <c r="D4239" s="1">
        <v>41760</v>
      </c>
      <c r="E4239">
        <v>5</v>
      </c>
      <c r="F4239"/>
      <c r="G4239"/>
      <c r="H4239"/>
      <c r="I4239"/>
      <c r="J4239"/>
      <c r="K4239"/>
      <c r="L4239"/>
      <c r="M4239"/>
      <c r="N4239"/>
      <c r="O4239"/>
    </row>
    <row r="4240" spans="1:15" hidden="1" x14ac:dyDescent="0.25">
      <c r="A4240" t="s">
        <v>96</v>
      </c>
      <c r="B4240" t="s">
        <v>115</v>
      </c>
      <c r="C4240" t="b">
        <v>0</v>
      </c>
      <c r="D4240" s="1">
        <v>41760</v>
      </c>
      <c r="E4240">
        <v>5</v>
      </c>
      <c r="F4240"/>
      <c r="G4240"/>
      <c r="H4240"/>
      <c r="I4240"/>
      <c r="J4240"/>
      <c r="K4240"/>
      <c r="L4240"/>
      <c r="M4240"/>
      <c r="N4240"/>
      <c r="O4240"/>
    </row>
    <row r="4241" spans="1:15" hidden="1" x14ac:dyDescent="0.25">
      <c r="A4241" t="s">
        <v>98</v>
      </c>
      <c r="B4241" t="s">
        <v>115</v>
      </c>
      <c r="C4241" t="b">
        <v>0</v>
      </c>
      <c r="D4241" s="1">
        <v>41760</v>
      </c>
      <c r="E4241">
        <v>5</v>
      </c>
      <c r="F4241"/>
      <c r="G4241"/>
      <c r="H4241"/>
      <c r="I4241"/>
      <c r="J4241"/>
      <c r="K4241"/>
      <c r="L4241"/>
      <c r="M4241"/>
      <c r="N4241"/>
      <c r="O4241"/>
    </row>
    <row r="4242" spans="1:15" hidden="1" x14ac:dyDescent="0.25">
      <c r="A4242" t="s">
        <v>99</v>
      </c>
      <c r="B4242" t="s">
        <v>114</v>
      </c>
      <c r="C4242" t="b">
        <v>0</v>
      </c>
      <c r="D4242" s="1">
        <v>41760</v>
      </c>
      <c r="E4242">
        <v>25.25</v>
      </c>
      <c r="F4242"/>
      <c r="G4242"/>
      <c r="H4242"/>
      <c r="I4242"/>
      <c r="J4242"/>
      <c r="K4242"/>
      <c r="L4242"/>
      <c r="M4242"/>
      <c r="N4242"/>
      <c r="O4242"/>
    </row>
    <row r="4243" spans="1:15" hidden="1" x14ac:dyDescent="0.25">
      <c r="A4243" t="s">
        <v>100</v>
      </c>
      <c r="B4243" t="s">
        <v>117</v>
      </c>
      <c r="C4243" t="b">
        <v>0</v>
      </c>
      <c r="D4243" s="1">
        <v>41791</v>
      </c>
      <c r="E4243" s="2">
        <v>-69.930000000000007</v>
      </c>
      <c r="F4243"/>
      <c r="G4243"/>
      <c r="H4243"/>
      <c r="I4243"/>
      <c r="J4243"/>
      <c r="K4243"/>
      <c r="L4243"/>
      <c r="M4243"/>
      <c r="N4243"/>
      <c r="O4243"/>
    </row>
    <row r="4244" spans="1:15" hidden="1" x14ac:dyDescent="0.25">
      <c r="A4244" t="s">
        <v>104</v>
      </c>
      <c r="B4244" t="s">
        <v>117</v>
      </c>
      <c r="C4244" t="b">
        <v>0</v>
      </c>
      <c r="D4244" s="1">
        <v>41791</v>
      </c>
      <c r="E4244" s="2">
        <v>-5.47</v>
      </c>
      <c r="F4244"/>
      <c r="G4244"/>
      <c r="H4244"/>
      <c r="I4244"/>
      <c r="J4244"/>
      <c r="K4244"/>
      <c r="L4244"/>
      <c r="M4244"/>
      <c r="N4244"/>
      <c r="O4244"/>
    </row>
    <row r="4245" spans="1:15" hidden="1" x14ac:dyDescent="0.25">
      <c r="A4245" t="s">
        <v>102</v>
      </c>
      <c r="B4245" t="s">
        <v>117</v>
      </c>
      <c r="C4245" t="b">
        <v>0</v>
      </c>
      <c r="D4245" s="1">
        <v>41791</v>
      </c>
      <c r="E4245" s="2">
        <v>-18.87</v>
      </c>
      <c r="F4245"/>
      <c r="G4245"/>
      <c r="H4245"/>
      <c r="I4245"/>
      <c r="J4245"/>
      <c r="K4245"/>
      <c r="L4245"/>
      <c r="M4245"/>
      <c r="N4245"/>
      <c r="O4245"/>
    </row>
    <row r="4246" spans="1:15" hidden="1" x14ac:dyDescent="0.25">
      <c r="A4246" t="s">
        <v>103</v>
      </c>
      <c r="B4246" t="s">
        <v>117</v>
      </c>
      <c r="C4246" t="b">
        <v>0</v>
      </c>
      <c r="D4246" s="1">
        <v>41791</v>
      </c>
      <c r="E4246" s="2">
        <v>-4.96</v>
      </c>
      <c r="F4246"/>
      <c r="G4246"/>
      <c r="H4246"/>
      <c r="I4246"/>
      <c r="J4246"/>
      <c r="K4246"/>
      <c r="L4246"/>
      <c r="M4246"/>
      <c r="N4246"/>
      <c r="O4246"/>
    </row>
    <row r="4247" spans="1:15" hidden="1" x14ac:dyDescent="0.25">
      <c r="A4247" t="s">
        <v>101</v>
      </c>
      <c r="B4247" t="s">
        <v>117</v>
      </c>
      <c r="C4247" t="b">
        <v>0</v>
      </c>
      <c r="D4247" s="1">
        <v>41791</v>
      </c>
      <c r="E4247" s="2">
        <v>-5.56</v>
      </c>
      <c r="F4247"/>
      <c r="G4247"/>
      <c r="H4247"/>
      <c r="I4247"/>
      <c r="J4247"/>
      <c r="K4247"/>
      <c r="L4247"/>
      <c r="M4247"/>
      <c r="N4247"/>
      <c r="O4247"/>
    </row>
    <row r="4248" spans="1:15" hidden="1" x14ac:dyDescent="0.25">
      <c r="A4248" t="s">
        <v>43</v>
      </c>
      <c r="B4248" t="s">
        <v>115</v>
      </c>
      <c r="C4248" t="b">
        <v>0</v>
      </c>
      <c r="D4248" s="1">
        <v>41791</v>
      </c>
      <c r="E4248">
        <v>5</v>
      </c>
      <c r="F4248"/>
      <c r="G4248"/>
      <c r="H4248"/>
      <c r="I4248"/>
      <c r="J4248"/>
      <c r="K4248"/>
      <c r="L4248"/>
      <c r="M4248"/>
      <c r="N4248"/>
      <c r="O4248"/>
    </row>
    <row r="4249" spans="1:15" hidden="1" x14ac:dyDescent="0.25">
      <c r="A4249" t="s">
        <v>44</v>
      </c>
      <c r="B4249" t="s">
        <v>115</v>
      </c>
      <c r="C4249" t="b">
        <v>0</v>
      </c>
      <c r="D4249" s="1">
        <v>41791</v>
      </c>
      <c r="E4249">
        <v>5</v>
      </c>
      <c r="F4249"/>
      <c r="G4249"/>
      <c r="H4249"/>
      <c r="I4249"/>
      <c r="J4249"/>
      <c r="K4249"/>
      <c r="L4249"/>
      <c r="M4249"/>
      <c r="N4249"/>
      <c r="O4249"/>
    </row>
    <row r="4250" spans="1:15" hidden="1" x14ac:dyDescent="0.25">
      <c r="A4250" t="s">
        <v>46</v>
      </c>
      <c r="B4250" t="s">
        <v>115</v>
      </c>
      <c r="C4250" t="b">
        <v>0</v>
      </c>
      <c r="D4250" s="1">
        <v>41791</v>
      </c>
      <c r="E4250">
        <v>5</v>
      </c>
      <c r="F4250"/>
      <c r="G4250"/>
      <c r="H4250"/>
      <c r="I4250"/>
      <c r="J4250"/>
      <c r="K4250"/>
      <c r="L4250"/>
      <c r="M4250"/>
      <c r="N4250"/>
      <c r="O4250"/>
    </row>
    <row r="4251" spans="1:15" hidden="1" x14ac:dyDescent="0.25">
      <c r="A4251" t="s">
        <v>50</v>
      </c>
      <c r="B4251" t="s">
        <v>115</v>
      </c>
      <c r="C4251" t="b">
        <v>0</v>
      </c>
      <c r="D4251" s="1">
        <v>41791</v>
      </c>
      <c r="E4251">
        <v>5</v>
      </c>
      <c r="F4251"/>
      <c r="G4251"/>
      <c r="H4251"/>
      <c r="I4251"/>
      <c r="J4251"/>
      <c r="K4251"/>
      <c r="L4251"/>
      <c r="M4251"/>
      <c r="N4251"/>
      <c r="O4251"/>
    </row>
    <row r="4252" spans="1:15" hidden="1" x14ac:dyDescent="0.25">
      <c r="A4252" t="s">
        <v>54</v>
      </c>
      <c r="B4252" t="s">
        <v>115</v>
      </c>
      <c r="C4252" t="b">
        <v>0</v>
      </c>
      <c r="D4252" s="1">
        <v>41791</v>
      </c>
      <c r="E4252">
        <v>5</v>
      </c>
      <c r="F4252"/>
      <c r="G4252"/>
      <c r="H4252"/>
      <c r="I4252"/>
      <c r="J4252"/>
      <c r="K4252"/>
      <c r="L4252"/>
      <c r="M4252"/>
      <c r="N4252"/>
      <c r="O4252"/>
    </row>
    <row r="4253" spans="1:15" hidden="1" x14ac:dyDescent="0.25">
      <c r="A4253" t="s">
        <v>55</v>
      </c>
      <c r="B4253" t="s">
        <v>115</v>
      </c>
      <c r="C4253" t="b">
        <v>0</v>
      </c>
      <c r="D4253" s="1">
        <v>41791</v>
      </c>
      <c r="E4253">
        <v>5</v>
      </c>
      <c r="F4253"/>
      <c r="G4253"/>
      <c r="H4253"/>
      <c r="I4253"/>
      <c r="J4253"/>
      <c r="K4253"/>
      <c r="L4253"/>
      <c r="M4253"/>
      <c r="N4253"/>
      <c r="O4253"/>
    </row>
    <row r="4254" spans="1:15" hidden="1" x14ac:dyDescent="0.25">
      <c r="A4254" t="s">
        <v>58</v>
      </c>
      <c r="B4254" t="s">
        <v>115</v>
      </c>
      <c r="C4254" t="b">
        <v>0</v>
      </c>
      <c r="D4254" s="1">
        <v>41791</v>
      </c>
      <c r="E4254">
        <v>5</v>
      </c>
      <c r="F4254"/>
      <c r="G4254"/>
      <c r="H4254"/>
      <c r="I4254"/>
      <c r="J4254"/>
      <c r="K4254"/>
      <c r="L4254"/>
      <c r="M4254"/>
      <c r="N4254"/>
      <c r="O4254"/>
    </row>
    <row r="4255" spans="1:15" hidden="1" x14ac:dyDescent="0.25">
      <c r="A4255" t="s">
        <v>59</v>
      </c>
      <c r="B4255" t="s">
        <v>115</v>
      </c>
      <c r="C4255" t="b">
        <v>0</v>
      </c>
      <c r="D4255" s="1">
        <v>41791</v>
      </c>
      <c r="E4255">
        <v>5</v>
      </c>
      <c r="F4255"/>
      <c r="G4255"/>
      <c r="H4255"/>
      <c r="I4255"/>
      <c r="J4255"/>
      <c r="K4255"/>
      <c r="L4255"/>
      <c r="M4255"/>
      <c r="N4255"/>
      <c r="O4255"/>
    </row>
    <row r="4256" spans="1:15" hidden="1" x14ac:dyDescent="0.25">
      <c r="A4256" t="s">
        <v>68</v>
      </c>
      <c r="B4256" t="s">
        <v>115</v>
      </c>
      <c r="C4256" t="b">
        <v>0</v>
      </c>
      <c r="D4256" s="1">
        <v>41791</v>
      </c>
      <c r="E4256">
        <v>5</v>
      </c>
      <c r="F4256"/>
      <c r="G4256"/>
      <c r="H4256"/>
      <c r="I4256"/>
      <c r="J4256"/>
      <c r="K4256"/>
      <c r="L4256"/>
      <c r="M4256"/>
      <c r="N4256"/>
      <c r="O4256"/>
    </row>
    <row r="4257" spans="1:15" hidden="1" x14ac:dyDescent="0.25">
      <c r="A4257" t="s">
        <v>69</v>
      </c>
      <c r="B4257" t="s">
        <v>115</v>
      </c>
      <c r="C4257" t="b">
        <v>0</v>
      </c>
      <c r="D4257" s="1">
        <v>41791</v>
      </c>
      <c r="E4257">
        <v>5</v>
      </c>
      <c r="F4257"/>
      <c r="G4257"/>
      <c r="H4257"/>
      <c r="I4257"/>
      <c r="J4257"/>
      <c r="K4257"/>
      <c r="L4257"/>
      <c r="M4257"/>
      <c r="N4257"/>
      <c r="O4257"/>
    </row>
    <row r="4258" spans="1:15" hidden="1" x14ac:dyDescent="0.25">
      <c r="A4258" t="s">
        <v>76</v>
      </c>
      <c r="B4258" t="s">
        <v>115</v>
      </c>
      <c r="C4258" t="b">
        <v>0</v>
      </c>
      <c r="D4258" s="1">
        <v>41791</v>
      </c>
      <c r="E4258">
        <v>1E-3</v>
      </c>
      <c r="F4258"/>
      <c r="G4258"/>
      <c r="H4258"/>
      <c r="I4258"/>
      <c r="J4258"/>
      <c r="K4258"/>
      <c r="L4258"/>
      <c r="M4258"/>
      <c r="N4258"/>
      <c r="O4258"/>
    </row>
    <row r="4259" spans="1:15" hidden="1" x14ac:dyDescent="0.25">
      <c r="A4259" t="s">
        <v>80</v>
      </c>
      <c r="B4259" t="s">
        <v>115</v>
      </c>
      <c r="C4259" t="b">
        <v>0</v>
      </c>
      <c r="D4259" s="1">
        <v>41791</v>
      </c>
      <c r="E4259">
        <v>5</v>
      </c>
      <c r="F4259"/>
      <c r="G4259"/>
      <c r="H4259"/>
      <c r="I4259"/>
      <c r="J4259"/>
      <c r="K4259"/>
      <c r="L4259"/>
      <c r="M4259"/>
      <c r="N4259"/>
      <c r="O4259"/>
    </row>
    <row r="4260" spans="1:15" hidden="1" x14ac:dyDescent="0.25">
      <c r="A4260" t="s">
        <v>81</v>
      </c>
      <c r="B4260" t="s">
        <v>115</v>
      </c>
      <c r="C4260" t="b">
        <v>0</v>
      </c>
      <c r="D4260" s="1">
        <v>41791</v>
      </c>
      <c r="E4260">
        <v>5</v>
      </c>
      <c r="F4260"/>
      <c r="G4260"/>
      <c r="H4260"/>
      <c r="I4260"/>
      <c r="J4260"/>
      <c r="K4260"/>
      <c r="L4260"/>
      <c r="M4260"/>
      <c r="N4260"/>
      <c r="O4260"/>
    </row>
    <row r="4261" spans="1:15" hidden="1" x14ac:dyDescent="0.25">
      <c r="A4261" t="s">
        <v>85</v>
      </c>
      <c r="B4261" t="s">
        <v>115</v>
      </c>
      <c r="C4261" t="b">
        <v>0</v>
      </c>
      <c r="D4261" s="1">
        <v>41791</v>
      </c>
      <c r="E4261">
        <v>5</v>
      </c>
      <c r="F4261"/>
      <c r="G4261"/>
      <c r="H4261"/>
      <c r="I4261"/>
      <c r="J4261"/>
      <c r="K4261"/>
      <c r="L4261"/>
      <c r="M4261"/>
      <c r="N4261"/>
      <c r="O4261"/>
    </row>
    <row r="4262" spans="1:15" hidden="1" x14ac:dyDescent="0.25">
      <c r="A4262" t="s">
        <v>84</v>
      </c>
      <c r="B4262" t="s">
        <v>115</v>
      </c>
      <c r="C4262" t="b">
        <v>0</v>
      </c>
      <c r="D4262" s="1">
        <v>41791</v>
      </c>
      <c r="E4262">
        <v>5</v>
      </c>
      <c r="F4262"/>
      <c r="G4262"/>
      <c r="H4262"/>
      <c r="I4262"/>
      <c r="J4262"/>
      <c r="K4262"/>
      <c r="L4262"/>
      <c r="M4262"/>
      <c r="N4262"/>
      <c r="O4262"/>
    </row>
    <row r="4263" spans="1:15" hidden="1" x14ac:dyDescent="0.25">
      <c r="A4263" t="s">
        <v>86</v>
      </c>
      <c r="B4263" t="s">
        <v>115</v>
      </c>
      <c r="C4263" t="b">
        <v>0</v>
      </c>
      <c r="D4263" s="1">
        <v>41791</v>
      </c>
      <c r="E4263">
        <v>5</v>
      </c>
      <c r="F4263"/>
      <c r="G4263"/>
      <c r="H4263"/>
      <c r="I4263"/>
      <c r="J4263"/>
      <c r="K4263"/>
      <c r="L4263"/>
      <c r="M4263"/>
      <c r="N4263"/>
      <c r="O4263"/>
    </row>
    <row r="4264" spans="1:15" hidden="1" x14ac:dyDescent="0.25">
      <c r="A4264" t="s">
        <v>88</v>
      </c>
      <c r="B4264" t="s">
        <v>115</v>
      </c>
      <c r="C4264" t="b">
        <v>0</v>
      </c>
      <c r="D4264" s="1">
        <v>41791</v>
      </c>
      <c r="E4264">
        <v>5</v>
      </c>
      <c r="F4264"/>
      <c r="G4264"/>
      <c r="H4264"/>
      <c r="I4264"/>
      <c r="J4264"/>
      <c r="K4264"/>
      <c r="L4264"/>
      <c r="M4264"/>
      <c r="N4264"/>
      <c r="O4264"/>
    </row>
    <row r="4265" spans="1:15" hidden="1" x14ac:dyDescent="0.25">
      <c r="A4265" t="s">
        <v>95</v>
      </c>
      <c r="B4265" t="s">
        <v>115</v>
      </c>
      <c r="C4265" t="b">
        <v>0</v>
      </c>
      <c r="D4265" s="1">
        <v>41791</v>
      </c>
      <c r="E4265">
        <v>5</v>
      </c>
      <c r="F4265"/>
      <c r="G4265"/>
      <c r="H4265"/>
      <c r="I4265"/>
      <c r="J4265"/>
      <c r="K4265"/>
      <c r="L4265"/>
      <c r="M4265"/>
      <c r="N4265"/>
      <c r="O4265"/>
    </row>
    <row r="4266" spans="1:15" hidden="1" x14ac:dyDescent="0.25">
      <c r="A4266" t="s">
        <v>96</v>
      </c>
      <c r="B4266" t="s">
        <v>115</v>
      </c>
      <c r="C4266" t="b">
        <v>0</v>
      </c>
      <c r="D4266" s="1">
        <v>41791</v>
      </c>
      <c r="E4266">
        <v>5</v>
      </c>
      <c r="F4266"/>
      <c r="G4266"/>
      <c r="H4266"/>
      <c r="I4266"/>
      <c r="J4266"/>
      <c r="K4266"/>
      <c r="L4266"/>
      <c r="M4266"/>
      <c r="N4266"/>
      <c r="O4266"/>
    </row>
    <row r="4267" spans="1:15" hidden="1" x14ac:dyDescent="0.25">
      <c r="A4267" t="s">
        <v>98</v>
      </c>
      <c r="B4267" t="s">
        <v>115</v>
      </c>
      <c r="C4267" t="b">
        <v>0</v>
      </c>
      <c r="D4267" s="1">
        <v>41791</v>
      </c>
      <c r="E4267">
        <v>5</v>
      </c>
      <c r="F4267"/>
      <c r="G4267"/>
      <c r="H4267"/>
      <c r="I4267"/>
      <c r="J4267"/>
      <c r="K4267"/>
      <c r="L4267"/>
      <c r="M4267"/>
      <c r="N4267"/>
      <c r="O4267"/>
    </row>
    <row r="4268" spans="1:15" hidden="1" x14ac:dyDescent="0.25">
      <c r="A4268" t="s">
        <v>99</v>
      </c>
      <c r="B4268" t="s">
        <v>114</v>
      </c>
      <c r="C4268" t="b">
        <v>0</v>
      </c>
      <c r="D4268" s="1">
        <v>41791</v>
      </c>
      <c r="E4268">
        <v>17.2</v>
      </c>
      <c r="F4268"/>
      <c r="G4268"/>
      <c r="H4268"/>
      <c r="I4268"/>
      <c r="J4268"/>
      <c r="K4268"/>
      <c r="L4268"/>
      <c r="M4268"/>
      <c r="N4268"/>
      <c r="O4268"/>
    </row>
    <row r="4269" spans="1:15" hidden="1" x14ac:dyDescent="0.25">
      <c r="A4269" t="s">
        <v>100</v>
      </c>
      <c r="B4269" t="s">
        <v>117</v>
      </c>
      <c r="C4269" t="b">
        <v>0</v>
      </c>
      <c r="D4269" s="1">
        <v>41821</v>
      </c>
      <c r="E4269" s="2">
        <v>-69.930000000000007</v>
      </c>
      <c r="F4269"/>
      <c r="G4269"/>
      <c r="H4269"/>
      <c r="I4269"/>
      <c r="J4269"/>
      <c r="K4269"/>
      <c r="L4269"/>
      <c r="M4269"/>
      <c r="N4269"/>
      <c r="O4269"/>
    </row>
    <row r="4270" spans="1:15" hidden="1" x14ac:dyDescent="0.25">
      <c r="A4270" t="s">
        <v>104</v>
      </c>
      <c r="B4270" t="s">
        <v>117</v>
      </c>
      <c r="C4270" t="b">
        <v>0</v>
      </c>
      <c r="D4270" s="1">
        <v>41821</v>
      </c>
      <c r="E4270" s="2">
        <v>-6</v>
      </c>
      <c r="F4270"/>
      <c r="G4270"/>
      <c r="H4270"/>
      <c r="I4270"/>
      <c r="J4270"/>
      <c r="K4270"/>
      <c r="L4270"/>
      <c r="M4270"/>
      <c r="N4270"/>
      <c r="O4270"/>
    </row>
    <row r="4271" spans="1:15" hidden="1" x14ac:dyDescent="0.25">
      <c r="A4271" t="s">
        <v>102</v>
      </c>
      <c r="B4271" t="s">
        <v>117</v>
      </c>
      <c r="C4271" t="b">
        <v>0</v>
      </c>
      <c r="D4271" s="1">
        <v>41821</v>
      </c>
      <c r="E4271" s="2">
        <v>-26.46</v>
      </c>
      <c r="F4271"/>
      <c r="G4271"/>
      <c r="H4271"/>
      <c r="I4271"/>
      <c r="J4271"/>
      <c r="K4271"/>
      <c r="L4271"/>
      <c r="M4271"/>
      <c r="N4271"/>
      <c r="O4271"/>
    </row>
    <row r="4272" spans="1:15" hidden="1" x14ac:dyDescent="0.25">
      <c r="A4272" t="s">
        <v>103</v>
      </c>
      <c r="B4272" t="s">
        <v>117</v>
      </c>
      <c r="C4272" t="b">
        <v>0</v>
      </c>
      <c r="D4272" s="1">
        <v>41821</v>
      </c>
      <c r="E4272" s="2">
        <v>-2.5</v>
      </c>
      <c r="F4272"/>
      <c r="G4272"/>
      <c r="H4272"/>
      <c r="I4272"/>
      <c r="J4272"/>
      <c r="K4272"/>
      <c r="L4272"/>
      <c r="M4272"/>
      <c r="N4272"/>
      <c r="O4272"/>
    </row>
    <row r="4273" spans="1:15" hidden="1" x14ac:dyDescent="0.25">
      <c r="A4273" t="s">
        <v>43</v>
      </c>
      <c r="B4273" t="s">
        <v>115</v>
      </c>
      <c r="C4273" t="b">
        <v>0</v>
      </c>
      <c r="D4273" s="1">
        <v>41821</v>
      </c>
      <c r="E4273">
        <v>5</v>
      </c>
      <c r="F4273"/>
      <c r="G4273"/>
      <c r="H4273"/>
      <c r="I4273"/>
      <c r="J4273"/>
      <c r="K4273"/>
      <c r="L4273"/>
      <c r="M4273"/>
      <c r="N4273"/>
      <c r="O4273"/>
    </row>
    <row r="4274" spans="1:15" hidden="1" x14ac:dyDescent="0.25">
      <c r="A4274" t="s">
        <v>44</v>
      </c>
      <c r="B4274" t="s">
        <v>115</v>
      </c>
      <c r="C4274" t="b">
        <v>0</v>
      </c>
      <c r="D4274" s="1">
        <v>41821</v>
      </c>
      <c r="E4274">
        <v>5</v>
      </c>
      <c r="F4274"/>
      <c r="G4274"/>
      <c r="H4274"/>
      <c r="I4274"/>
      <c r="J4274"/>
      <c r="K4274"/>
      <c r="L4274"/>
      <c r="M4274"/>
      <c r="N4274"/>
      <c r="O4274"/>
    </row>
    <row r="4275" spans="1:15" hidden="1" x14ac:dyDescent="0.25">
      <c r="A4275" t="s">
        <v>50</v>
      </c>
      <c r="B4275" t="s">
        <v>115</v>
      </c>
      <c r="C4275" t="b">
        <v>0</v>
      </c>
      <c r="D4275" s="1">
        <v>41821</v>
      </c>
      <c r="E4275">
        <v>5</v>
      </c>
      <c r="F4275"/>
      <c r="G4275"/>
      <c r="H4275"/>
      <c r="I4275"/>
      <c r="J4275"/>
      <c r="K4275"/>
      <c r="L4275"/>
      <c r="M4275"/>
      <c r="N4275"/>
      <c r="O4275"/>
    </row>
    <row r="4276" spans="1:15" hidden="1" x14ac:dyDescent="0.25">
      <c r="A4276" t="s">
        <v>54</v>
      </c>
      <c r="B4276" t="s">
        <v>115</v>
      </c>
      <c r="C4276" t="b">
        <v>0</v>
      </c>
      <c r="D4276" s="1">
        <v>41821</v>
      </c>
      <c r="E4276">
        <v>5</v>
      </c>
      <c r="F4276"/>
      <c r="G4276"/>
      <c r="H4276"/>
      <c r="I4276"/>
      <c r="J4276"/>
      <c r="K4276"/>
      <c r="L4276"/>
      <c r="M4276"/>
      <c r="N4276"/>
      <c r="O4276"/>
    </row>
    <row r="4277" spans="1:15" hidden="1" x14ac:dyDescent="0.25">
      <c r="A4277" t="s">
        <v>55</v>
      </c>
      <c r="B4277" t="s">
        <v>115</v>
      </c>
      <c r="C4277" t="b">
        <v>0</v>
      </c>
      <c r="D4277" s="1">
        <v>41821</v>
      </c>
      <c r="E4277">
        <v>5</v>
      </c>
      <c r="F4277"/>
      <c r="G4277"/>
      <c r="H4277"/>
      <c r="I4277"/>
      <c r="J4277"/>
      <c r="K4277"/>
      <c r="L4277"/>
      <c r="M4277"/>
      <c r="N4277"/>
      <c r="O4277"/>
    </row>
    <row r="4278" spans="1:15" hidden="1" x14ac:dyDescent="0.25">
      <c r="A4278" t="s">
        <v>58</v>
      </c>
      <c r="B4278" t="s">
        <v>115</v>
      </c>
      <c r="C4278" t="b">
        <v>0</v>
      </c>
      <c r="D4278" s="1">
        <v>41821</v>
      </c>
      <c r="E4278">
        <v>5</v>
      </c>
      <c r="F4278"/>
      <c r="G4278"/>
      <c r="H4278"/>
      <c r="I4278"/>
      <c r="J4278"/>
      <c r="K4278"/>
      <c r="L4278"/>
      <c r="M4278"/>
      <c r="N4278"/>
      <c r="O4278"/>
    </row>
    <row r="4279" spans="1:15" hidden="1" x14ac:dyDescent="0.25">
      <c r="A4279" t="s">
        <v>59</v>
      </c>
      <c r="B4279" t="s">
        <v>115</v>
      </c>
      <c r="C4279" t="b">
        <v>0</v>
      </c>
      <c r="D4279" s="1">
        <v>41821</v>
      </c>
      <c r="E4279">
        <v>5</v>
      </c>
      <c r="F4279"/>
      <c r="G4279"/>
      <c r="H4279"/>
      <c r="I4279"/>
      <c r="J4279"/>
      <c r="K4279"/>
      <c r="L4279"/>
      <c r="M4279"/>
      <c r="N4279"/>
      <c r="O4279"/>
    </row>
    <row r="4280" spans="1:15" hidden="1" x14ac:dyDescent="0.25">
      <c r="A4280" t="s">
        <v>68</v>
      </c>
      <c r="B4280" t="s">
        <v>115</v>
      </c>
      <c r="C4280" t="b">
        <v>0</v>
      </c>
      <c r="D4280" s="1">
        <v>41821</v>
      </c>
      <c r="E4280">
        <v>5</v>
      </c>
      <c r="F4280"/>
      <c r="G4280"/>
      <c r="H4280"/>
      <c r="I4280"/>
      <c r="J4280"/>
      <c r="K4280"/>
      <c r="L4280"/>
      <c r="M4280"/>
      <c r="N4280"/>
      <c r="O4280"/>
    </row>
    <row r="4281" spans="1:15" hidden="1" x14ac:dyDescent="0.25">
      <c r="A4281" t="s">
        <v>69</v>
      </c>
      <c r="B4281" t="s">
        <v>115</v>
      </c>
      <c r="C4281" t="b">
        <v>0</v>
      </c>
      <c r="D4281" s="1">
        <v>41821</v>
      </c>
      <c r="E4281">
        <v>5</v>
      </c>
      <c r="F4281"/>
      <c r="G4281"/>
      <c r="H4281"/>
      <c r="I4281"/>
      <c r="J4281"/>
      <c r="K4281"/>
      <c r="L4281"/>
      <c r="M4281"/>
      <c r="N4281"/>
      <c r="O4281"/>
    </row>
    <row r="4282" spans="1:15" hidden="1" x14ac:dyDescent="0.25">
      <c r="A4282" t="s">
        <v>76</v>
      </c>
      <c r="B4282" t="s">
        <v>115</v>
      </c>
      <c r="C4282" t="b">
        <v>0</v>
      </c>
      <c r="D4282" s="1">
        <v>41821</v>
      </c>
      <c r="E4282">
        <v>1E-3</v>
      </c>
      <c r="F4282"/>
      <c r="G4282"/>
      <c r="H4282"/>
      <c r="I4282"/>
      <c r="J4282"/>
      <c r="K4282"/>
      <c r="L4282"/>
      <c r="M4282"/>
      <c r="N4282"/>
      <c r="O4282"/>
    </row>
    <row r="4283" spans="1:15" hidden="1" x14ac:dyDescent="0.25">
      <c r="A4283" t="s">
        <v>80</v>
      </c>
      <c r="B4283" t="s">
        <v>115</v>
      </c>
      <c r="C4283" t="b">
        <v>0</v>
      </c>
      <c r="D4283" s="1">
        <v>41821</v>
      </c>
      <c r="E4283">
        <v>5</v>
      </c>
      <c r="F4283"/>
      <c r="G4283"/>
      <c r="H4283"/>
      <c r="I4283"/>
      <c r="J4283"/>
      <c r="K4283"/>
      <c r="L4283"/>
      <c r="M4283"/>
      <c r="N4283"/>
      <c r="O4283"/>
    </row>
    <row r="4284" spans="1:15" hidden="1" x14ac:dyDescent="0.25">
      <c r="A4284" t="s">
        <v>81</v>
      </c>
      <c r="B4284" t="s">
        <v>115</v>
      </c>
      <c r="C4284" t="b">
        <v>0</v>
      </c>
      <c r="D4284" s="1">
        <v>41821</v>
      </c>
      <c r="E4284">
        <v>5</v>
      </c>
      <c r="F4284"/>
      <c r="G4284"/>
      <c r="H4284"/>
      <c r="I4284"/>
      <c r="J4284"/>
      <c r="K4284"/>
      <c r="L4284"/>
      <c r="M4284"/>
      <c r="N4284"/>
      <c r="O4284"/>
    </row>
    <row r="4285" spans="1:15" hidden="1" x14ac:dyDescent="0.25">
      <c r="A4285" t="s">
        <v>85</v>
      </c>
      <c r="B4285" t="s">
        <v>115</v>
      </c>
      <c r="C4285" t="b">
        <v>0</v>
      </c>
      <c r="D4285" s="1">
        <v>41821</v>
      </c>
      <c r="E4285">
        <v>5</v>
      </c>
      <c r="F4285"/>
      <c r="G4285"/>
      <c r="H4285"/>
      <c r="I4285"/>
      <c r="J4285"/>
      <c r="K4285"/>
      <c r="L4285"/>
      <c r="M4285"/>
      <c r="N4285"/>
      <c r="O4285"/>
    </row>
    <row r="4286" spans="1:15" hidden="1" x14ac:dyDescent="0.25">
      <c r="A4286" t="s">
        <v>84</v>
      </c>
      <c r="B4286" t="s">
        <v>115</v>
      </c>
      <c r="C4286" t="b">
        <v>0</v>
      </c>
      <c r="D4286" s="1">
        <v>41821</v>
      </c>
      <c r="E4286">
        <v>5</v>
      </c>
      <c r="F4286"/>
      <c r="G4286"/>
      <c r="H4286"/>
      <c r="I4286"/>
      <c r="J4286"/>
      <c r="K4286"/>
      <c r="L4286"/>
      <c r="M4286"/>
      <c r="N4286"/>
      <c r="O4286"/>
    </row>
    <row r="4287" spans="1:15" hidden="1" x14ac:dyDescent="0.25">
      <c r="A4287" t="s">
        <v>86</v>
      </c>
      <c r="B4287" t="s">
        <v>115</v>
      </c>
      <c r="C4287" t="b">
        <v>0</v>
      </c>
      <c r="D4287" s="1">
        <v>41821</v>
      </c>
      <c r="E4287">
        <v>5</v>
      </c>
      <c r="F4287"/>
      <c r="G4287"/>
      <c r="H4287"/>
      <c r="I4287"/>
      <c r="J4287"/>
      <c r="K4287"/>
      <c r="L4287"/>
      <c r="M4287"/>
      <c r="N4287"/>
      <c r="O4287"/>
    </row>
    <row r="4288" spans="1:15" hidden="1" x14ac:dyDescent="0.25">
      <c r="A4288" t="s">
        <v>88</v>
      </c>
      <c r="B4288" t="s">
        <v>115</v>
      </c>
      <c r="C4288" t="b">
        <v>0</v>
      </c>
      <c r="D4288" s="1">
        <v>41821</v>
      </c>
      <c r="E4288">
        <v>5</v>
      </c>
      <c r="F4288"/>
      <c r="G4288"/>
      <c r="H4288"/>
      <c r="I4288"/>
      <c r="J4288"/>
      <c r="K4288"/>
      <c r="L4288"/>
      <c r="M4288"/>
      <c r="N4288"/>
      <c r="O4288"/>
    </row>
    <row r="4289" spans="1:15" hidden="1" x14ac:dyDescent="0.25">
      <c r="A4289" t="s">
        <v>95</v>
      </c>
      <c r="B4289" t="s">
        <v>115</v>
      </c>
      <c r="C4289" t="b">
        <v>0</v>
      </c>
      <c r="D4289" s="1">
        <v>41821</v>
      </c>
      <c r="E4289">
        <v>5</v>
      </c>
      <c r="F4289"/>
      <c r="G4289"/>
      <c r="H4289"/>
      <c r="I4289"/>
      <c r="J4289"/>
      <c r="K4289"/>
      <c r="L4289"/>
      <c r="M4289"/>
      <c r="N4289"/>
      <c r="O4289"/>
    </row>
    <row r="4290" spans="1:15" hidden="1" x14ac:dyDescent="0.25">
      <c r="A4290" t="s">
        <v>96</v>
      </c>
      <c r="B4290" t="s">
        <v>115</v>
      </c>
      <c r="C4290" t="b">
        <v>0</v>
      </c>
      <c r="D4290" s="1">
        <v>41821</v>
      </c>
      <c r="E4290">
        <v>5</v>
      </c>
      <c r="F4290"/>
      <c r="G4290"/>
      <c r="H4290"/>
      <c r="I4290"/>
      <c r="J4290"/>
      <c r="K4290"/>
      <c r="L4290"/>
      <c r="M4290"/>
      <c r="N4290"/>
      <c r="O4290"/>
    </row>
    <row r="4291" spans="1:15" hidden="1" x14ac:dyDescent="0.25">
      <c r="A4291" t="s">
        <v>98</v>
      </c>
      <c r="B4291" t="s">
        <v>115</v>
      </c>
      <c r="C4291" t="b">
        <v>0</v>
      </c>
      <c r="D4291" s="1">
        <v>41821</v>
      </c>
      <c r="E4291">
        <v>5</v>
      </c>
      <c r="F4291"/>
      <c r="G4291"/>
      <c r="H4291"/>
      <c r="I4291"/>
      <c r="J4291"/>
      <c r="K4291"/>
      <c r="L4291"/>
      <c r="M4291"/>
      <c r="N4291"/>
      <c r="O4291"/>
    </row>
    <row r="4292" spans="1:15" hidden="1" x14ac:dyDescent="0.25">
      <c r="A4292" t="s">
        <v>99</v>
      </c>
      <c r="B4292" t="s">
        <v>114</v>
      </c>
      <c r="C4292" t="b">
        <v>0</v>
      </c>
      <c r="D4292" s="1">
        <v>41821</v>
      </c>
      <c r="E4292">
        <v>14.009999999999998</v>
      </c>
      <c r="F4292"/>
      <c r="G4292"/>
      <c r="H4292"/>
      <c r="I4292"/>
      <c r="J4292"/>
      <c r="K4292"/>
      <c r="L4292"/>
      <c r="M4292"/>
      <c r="N4292"/>
      <c r="O4292"/>
    </row>
    <row r="4293" spans="1:15" hidden="1" x14ac:dyDescent="0.25">
      <c r="A4293" t="s">
        <v>100</v>
      </c>
      <c r="B4293" t="s">
        <v>117</v>
      </c>
      <c r="C4293" t="b">
        <v>0</v>
      </c>
      <c r="D4293" s="1">
        <v>41852</v>
      </c>
      <c r="E4293" s="2">
        <v>-59.94</v>
      </c>
      <c r="F4293"/>
      <c r="G4293"/>
      <c r="H4293"/>
      <c r="I4293"/>
      <c r="J4293"/>
      <c r="K4293"/>
      <c r="L4293"/>
      <c r="M4293"/>
      <c r="N4293"/>
      <c r="O4293"/>
    </row>
    <row r="4294" spans="1:15" hidden="1" x14ac:dyDescent="0.25">
      <c r="A4294" t="s">
        <v>104</v>
      </c>
      <c r="B4294" t="s">
        <v>117</v>
      </c>
      <c r="C4294" t="b">
        <v>0</v>
      </c>
      <c r="D4294" s="1">
        <v>41852</v>
      </c>
      <c r="E4294" s="2">
        <v>-10</v>
      </c>
      <c r="F4294"/>
      <c r="G4294"/>
      <c r="H4294"/>
      <c r="I4294"/>
      <c r="J4294"/>
      <c r="K4294"/>
      <c r="L4294"/>
      <c r="M4294"/>
      <c r="N4294"/>
      <c r="O4294"/>
    </row>
    <row r="4295" spans="1:15" hidden="1" x14ac:dyDescent="0.25">
      <c r="A4295" t="s">
        <v>102</v>
      </c>
      <c r="B4295" t="s">
        <v>117</v>
      </c>
      <c r="C4295" t="b">
        <v>0</v>
      </c>
      <c r="D4295" s="1">
        <v>41852</v>
      </c>
      <c r="E4295" s="2">
        <v>-34.049999999999997</v>
      </c>
      <c r="F4295"/>
      <c r="G4295"/>
      <c r="H4295"/>
      <c r="I4295"/>
      <c r="J4295"/>
      <c r="K4295"/>
      <c r="L4295"/>
      <c r="M4295"/>
      <c r="N4295"/>
      <c r="O4295"/>
    </row>
    <row r="4296" spans="1:15" hidden="1" x14ac:dyDescent="0.25">
      <c r="A4296" t="s">
        <v>103</v>
      </c>
      <c r="B4296" t="s">
        <v>117</v>
      </c>
      <c r="C4296" t="b">
        <v>0</v>
      </c>
      <c r="D4296" s="1">
        <v>41852</v>
      </c>
      <c r="E4296" s="2">
        <v>-15.195</v>
      </c>
      <c r="F4296"/>
      <c r="G4296"/>
      <c r="H4296"/>
      <c r="I4296"/>
      <c r="J4296"/>
      <c r="K4296"/>
      <c r="L4296"/>
      <c r="M4296"/>
      <c r="N4296"/>
      <c r="O4296"/>
    </row>
    <row r="4297" spans="1:15" hidden="1" x14ac:dyDescent="0.25">
      <c r="A4297" t="s">
        <v>43</v>
      </c>
      <c r="B4297" t="s">
        <v>115</v>
      </c>
      <c r="C4297" t="b">
        <v>0</v>
      </c>
      <c r="D4297" s="1">
        <v>41852</v>
      </c>
      <c r="E4297">
        <v>5</v>
      </c>
      <c r="F4297"/>
      <c r="G4297"/>
      <c r="H4297"/>
      <c r="I4297"/>
      <c r="J4297"/>
      <c r="K4297"/>
      <c r="L4297"/>
      <c r="M4297"/>
      <c r="N4297"/>
      <c r="O4297"/>
    </row>
    <row r="4298" spans="1:15" hidden="1" x14ac:dyDescent="0.25">
      <c r="A4298" t="s">
        <v>44</v>
      </c>
      <c r="B4298" t="s">
        <v>115</v>
      </c>
      <c r="C4298" t="b">
        <v>0</v>
      </c>
      <c r="D4298" s="1">
        <v>41852</v>
      </c>
      <c r="E4298">
        <v>5</v>
      </c>
      <c r="F4298"/>
      <c r="G4298"/>
      <c r="H4298"/>
      <c r="I4298"/>
      <c r="J4298"/>
      <c r="K4298"/>
      <c r="L4298"/>
      <c r="M4298"/>
      <c r="N4298"/>
      <c r="O4298"/>
    </row>
    <row r="4299" spans="1:15" hidden="1" x14ac:dyDescent="0.25">
      <c r="A4299" t="s">
        <v>50</v>
      </c>
      <c r="B4299" t="s">
        <v>115</v>
      </c>
      <c r="C4299" t="b">
        <v>0</v>
      </c>
      <c r="D4299" s="1">
        <v>41852</v>
      </c>
      <c r="E4299">
        <v>5</v>
      </c>
      <c r="F4299"/>
      <c r="G4299"/>
      <c r="H4299"/>
      <c r="I4299"/>
      <c r="J4299"/>
      <c r="K4299"/>
      <c r="L4299"/>
      <c r="M4299"/>
      <c r="N4299"/>
      <c r="O4299"/>
    </row>
    <row r="4300" spans="1:15" hidden="1" x14ac:dyDescent="0.25">
      <c r="A4300" t="s">
        <v>54</v>
      </c>
      <c r="B4300" t="s">
        <v>115</v>
      </c>
      <c r="C4300" t="b">
        <v>0</v>
      </c>
      <c r="D4300" s="1">
        <v>41852</v>
      </c>
      <c r="E4300">
        <v>5</v>
      </c>
      <c r="F4300"/>
      <c r="G4300"/>
      <c r="H4300"/>
      <c r="I4300"/>
      <c r="J4300"/>
      <c r="K4300"/>
      <c r="L4300"/>
      <c r="M4300"/>
      <c r="N4300"/>
      <c r="O4300"/>
    </row>
    <row r="4301" spans="1:15" hidden="1" x14ac:dyDescent="0.25">
      <c r="A4301" t="s">
        <v>55</v>
      </c>
      <c r="B4301" t="s">
        <v>115</v>
      </c>
      <c r="C4301" t="b">
        <v>0</v>
      </c>
      <c r="D4301" s="1">
        <v>41852</v>
      </c>
      <c r="E4301">
        <v>5</v>
      </c>
      <c r="F4301"/>
      <c r="G4301"/>
      <c r="H4301"/>
      <c r="I4301"/>
      <c r="J4301"/>
      <c r="K4301"/>
      <c r="L4301"/>
      <c r="M4301"/>
      <c r="N4301"/>
      <c r="O4301"/>
    </row>
    <row r="4302" spans="1:15" hidden="1" x14ac:dyDescent="0.25">
      <c r="A4302" t="s">
        <v>58</v>
      </c>
      <c r="B4302" t="s">
        <v>115</v>
      </c>
      <c r="C4302" t="b">
        <v>0</v>
      </c>
      <c r="D4302" s="1">
        <v>41852</v>
      </c>
      <c r="E4302">
        <v>5</v>
      </c>
      <c r="F4302"/>
      <c r="G4302"/>
      <c r="H4302"/>
      <c r="I4302"/>
      <c r="J4302"/>
      <c r="K4302"/>
      <c r="L4302"/>
      <c r="M4302"/>
      <c r="N4302"/>
      <c r="O4302"/>
    </row>
    <row r="4303" spans="1:15" hidden="1" x14ac:dyDescent="0.25">
      <c r="A4303" t="s">
        <v>59</v>
      </c>
      <c r="B4303" t="s">
        <v>115</v>
      </c>
      <c r="C4303" t="b">
        <v>0</v>
      </c>
      <c r="D4303" s="1">
        <v>41852</v>
      </c>
      <c r="E4303">
        <v>5</v>
      </c>
      <c r="F4303"/>
      <c r="G4303"/>
      <c r="H4303"/>
      <c r="I4303"/>
      <c r="J4303"/>
      <c r="K4303"/>
      <c r="L4303"/>
      <c r="M4303"/>
      <c r="N4303"/>
      <c r="O4303"/>
    </row>
    <row r="4304" spans="1:15" hidden="1" x14ac:dyDescent="0.25">
      <c r="A4304" t="s">
        <v>68</v>
      </c>
      <c r="B4304" t="s">
        <v>115</v>
      </c>
      <c r="C4304" t="b">
        <v>0</v>
      </c>
      <c r="D4304" s="1">
        <v>41852</v>
      </c>
      <c r="E4304">
        <v>5</v>
      </c>
      <c r="F4304"/>
      <c r="G4304"/>
      <c r="H4304"/>
      <c r="I4304"/>
      <c r="J4304"/>
      <c r="K4304"/>
      <c r="L4304"/>
      <c r="M4304"/>
      <c r="N4304"/>
      <c r="O4304"/>
    </row>
    <row r="4305" spans="1:15" hidden="1" x14ac:dyDescent="0.25">
      <c r="A4305" t="s">
        <v>69</v>
      </c>
      <c r="B4305" t="s">
        <v>115</v>
      </c>
      <c r="C4305" t="b">
        <v>0</v>
      </c>
      <c r="D4305" s="1">
        <v>41852</v>
      </c>
      <c r="E4305">
        <v>5</v>
      </c>
      <c r="F4305"/>
      <c r="G4305"/>
      <c r="H4305"/>
      <c r="I4305"/>
      <c r="J4305"/>
      <c r="K4305"/>
      <c r="L4305"/>
      <c r="M4305"/>
      <c r="N4305"/>
      <c r="O4305"/>
    </row>
    <row r="4306" spans="1:15" hidden="1" x14ac:dyDescent="0.25">
      <c r="A4306" t="s">
        <v>76</v>
      </c>
      <c r="B4306" t="s">
        <v>115</v>
      </c>
      <c r="C4306" t="b">
        <v>0</v>
      </c>
      <c r="D4306" s="1">
        <v>41852</v>
      </c>
      <c r="E4306">
        <v>1E-3</v>
      </c>
      <c r="F4306"/>
      <c r="G4306"/>
      <c r="H4306"/>
      <c r="I4306"/>
      <c r="J4306"/>
      <c r="K4306"/>
      <c r="L4306"/>
      <c r="M4306"/>
      <c r="N4306"/>
      <c r="O4306"/>
    </row>
    <row r="4307" spans="1:15" hidden="1" x14ac:dyDescent="0.25">
      <c r="A4307" t="s">
        <v>80</v>
      </c>
      <c r="B4307" t="s">
        <v>115</v>
      </c>
      <c r="C4307" t="b">
        <v>0</v>
      </c>
      <c r="D4307" s="1">
        <v>41852</v>
      </c>
      <c r="E4307">
        <v>5</v>
      </c>
      <c r="F4307"/>
      <c r="G4307"/>
      <c r="H4307"/>
      <c r="I4307"/>
      <c r="J4307"/>
      <c r="K4307"/>
      <c r="L4307"/>
      <c r="M4307"/>
      <c r="N4307"/>
      <c r="O4307"/>
    </row>
    <row r="4308" spans="1:15" hidden="1" x14ac:dyDescent="0.25">
      <c r="A4308" t="s">
        <v>81</v>
      </c>
      <c r="B4308" t="s">
        <v>115</v>
      </c>
      <c r="C4308" t="b">
        <v>0</v>
      </c>
      <c r="D4308" s="1">
        <v>41852</v>
      </c>
      <c r="E4308">
        <v>5</v>
      </c>
      <c r="F4308"/>
      <c r="G4308"/>
      <c r="H4308"/>
      <c r="I4308"/>
      <c r="J4308"/>
      <c r="K4308"/>
      <c r="L4308"/>
      <c r="M4308"/>
      <c r="N4308"/>
      <c r="O4308"/>
    </row>
    <row r="4309" spans="1:15" hidden="1" x14ac:dyDescent="0.25">
      <c r="A4309" t="s">
        <v>85</v>
      </c>
      <c r="B4309" t="s">
        <v>115</v>
      </c>
      <c r="C4309" t="b">
        <v>0</v>
      </c>
      <c r="D4309" s="1">
        <v>41852</v>
      </c>
      <c r="E4309">
        <v>5</v>
      </c>
      <c r="F4309"/>
      <c r="G4309"/>
      <c r="H4309"/>
      <c r="I4309"/>
      <c r="J4309"/>
      <c r="K4309"/>
      <c r="L4309"/>
      <c r="M4309"/>
      <c r="N4309"/>
      <c r="O4309"/>
    </row>
    <row r="4310" spans="1:15" hidden="1" x14ac:dyDescent="0.25">
      <c r="A4310" t="s">
        <v>84</v>
      </c>
      <c r="B4310" t="s">
        <v>115</v>
      </c>
      <c r="C4310" t="b">
        <v>0</v>
      </c>
      <c r="D4310" s="1">
        <v>41852</v>
      </c>
      <c r="E4310">
        <v>5</v>
      </c>
      <c r="F4310"/>
      <c r="G4310"/>
      <c r="H4310"/>
      <c r="I4310"/>
      <c r="J4310"/>
      <c r="K4310"/>
      <c r="L4310"/>
      <c r="M4310"/>
      <c r="N4310"/>
      <c r="O4310"/>
    </row>
    <row r="4311" spans="1:15" hidden="1" x14ac:dyDescent="0.25">
      <c r="A4311" t="s">
        <v>86</v>
      </c>
      <c r="B4311" t="s">
        <v>115</v>
      </c>
      <c r="C4311" t="b">
        <v>0</v>
      </c>
      <c r="D4311" s="1">
        <v>41852</v>
      </c>
      <c r="E4311">
        <v>5</v>
      </c>
      <c r="F4311"/>
      <c r="G4311"/>
      <c r="H4311"/>
      <c r="I4311"/>
      <c r="J4311"/>
      <c r="K4311"/>
      <c r="L4311"/>
      <c r="M4311"/>
      <c r="N4311"/>
      <c r="O4311"/>
    </row>
    <row r="4312" spans="1:15" hidden="1" x14ac:dyDescent="0.25">
      <c r="A4312" t="s">
        <v>88</v>
      </c>
      <c r="B4312" t="s">
        <v>115</v>
      </c>
      <c r="C4312" t="b">
        <v>0</v>
      </c>
      <c r="D4312" s="1">
        <v>41852</v>
      </c>
      <c r="E4312">
        <v>5</v>
      </c>
      <c r="F4312"/>
      <c r="G4312"/>
      <c r="H4312"/>
      <c r="I4312"/>
      <c r="J4312"/>
      <c r="K4312"/>
      <c r="L4312"/>
      <c r="M4312"/>
      <c r="N4312"/>
      <c r="O4312"/>
    </row>
    <row r="4313" spans="1:15" hidden="1" x14ac:dyDescent="0.25">
      <c r="A4313" t="s">
        <v>95</v>
      </c>
      <c r="B4313" t="s">
        <v>115</v>
      </c>
      <c r="C4313" t="b">
        <v>0</v>
      </c>
      <c r="D4313" s="1">
        <v>41852</v>
      </c>
      <c r="E4313">
        <v>5</v>
      </c>
      <c r="F4313"/>
      <c r="G4313"/>
      <c r="H4313"/>
      <c r="I4313"/>
      <c r="J4313"/>
      <c r="K4313"/>
      <c r="L4313"/>
      <c r="M4313"/>
      <c r="N4313"/>
      <c r="O4313"/>
    </row>
    <row r="4314" spans="1:15" hidden="1" x14ac:dyDescent="0.25">
      <c r="A4314" t="s">
        <v>96</v>
      </c>
      <c r="B4314" t="s">
        <v>115</v>
      </c>
      <c r="C4314" t="b">
        <v>0</v>
      </c>
      <c r="D4314" s="1">
        <v>41852</v>
      </c>
      <c r="E4314">
        <v>5</v>
      </c>
      <c r="F4314"/>
      <c r="G4314"/>
      <c r="H4314"/>
      <c r="I4314"/>
      <c r="J4314"/>
      <c r="K4314"/>
      <c r="L4314"/>
      <c r="M4314"/>
      <c r="N4314"/>
      <c r="O4314"/>
    </row>
    <row r="4315" spans="1:15" hidden="1" x14ac:dyDescent="0.25">
      <c r="A4315" t="s">
        <v>98</v>
      </c>
      <c r="B4315" t="s">
        <v>115</v>
      </c>
      <c r="C4315" t="b">
        <v>0</v>
      </c>
      <c r="D4315" s="1">
        <v>41852</v>
      </c>
      <c r="E4315">
        <v>5</v>
      </c>
      <c r="F4315"/>
      <c r="G4315"/>
      <c r="H4315"/>
      <c r="I4315"/>
      <c r="J4315"/>
      <c r="K4315"/>
      <c r="L4315"/>
      <c r="M4315"/>
      <c r="N4315"/>
      <c r="O4315"/>
    </row>
    <row r="4316" spans="1:15" hidden="1" x14ac:dyDescent="0.25">
      <c r="A4316" t="s">
        <v>99</v>
      </c>
      <c r="B4316" t="s">
        <v>114</v>
      </c>
      <c r="C4316" t="b">
        <v>0</v>
      </c>
      <c r="D4316" s="1">
        <v>41852</v>
      </c>
      <c r="E4316">
        <v>23.009999999999998</v>
      </c>
      <c r="F4316"/>
      <c r="G4316"/>
      <c r="H4316"/>
      <c r="I4316"/>
      <c r="J4316"/>
      <c r="K4316"/>
      <c r="L4316"/>
      <c r="M4316"/>
      <c r="N4316"/>
      <c r="O4316"/>
    </row>
    <row r="4317" spans="1:15" hidden="1" x14ac:dyDescent="0.25">
      <c r="A4317" t="s">
        <v>100</v>
      </c>
      <c r="B4317" t="s">
        <v>117</v>
      </c>
      <c r="C4317" t="b">
        <v>0</v>
      </c>
      <c r="D4317" s="1">
        <v>41883</v>
      </c>
      <c r="E4317" s="2">
        <v>-62.94</v>
      </c>
      <c r="F4317"/>
      <c r="G4317"/>
      <c r="H4317"/>
      <c r="I4317"/>
      <c r="J4317"/>
      <c r="K4317"/>
      <c r="L4317"/>
      <c r="M4317"/>
      <c r="N4317"/>
      <c r="O4317"/>
    </row>
    <row r="4318" spans="1:15" hidden="1" x14ac:dyDescent="0.25">
      <c r="A4318" t="s">
        <v>102</v>
      </c>
      <c r="B4318" t="s">
        <v>117</v>
      </c>
      <c r="C4318" t="b">
        <v>0</v>
      </c>
      <c r="D4318" s="1">
        <v>41883</v>
      </c>
      <c r="E4318" s="2">
        <v>-27.560000000000002</v>
      </c>
      <c r="F4318"/>
      <c r="G4318"/>
      <c r="H4318"/>
      <c r="I4318"/>
      <c r="J4318"/>
      <c r="K4318"/>
      <c r="L4318"/>
      <c r="M4318"/>
      <c r="N4318"/>
      <c r="O4318"/>
    </row>
    <row r="4319" spans="1:15" hidden="1" x14ac:dyDescent="0.25">
      <c r="A4319" t="s">
        <v>103</v>
      </c>
      <c r="B4319" t="s">
        <v>117</v>
      </c>
      <c r="C4319" t="b">
        <v>0</v>
      </c>
      <c r="D4319" s="1">
        <v>41883</v>
      </c>
      <c r="E4319" s="2">
        <v>-15.195</v>
      </c>
      <c r="F4319"/>
      <c r="G4319"/>
      <c r="H4319"/>
      <c r="I4319"/>
      <c r="J4319"/>
      <c r="K4319"/>
      <c r="L4319"/>
      <c r="M4319"/>
      <c r="N4319"/>
      <c r="O4319"/>
    </row>
    <row r="4320" spans="1:15" hidden="1" x14ac:dyDescent="0.25">
      <c r="A4320" t="s">
        <v>43</v>
      </c>
      <c r="B4320" t="s">
        <v>115</v>
      </c>
      <c r="C4320" t="b">
        <v>0</v>
      </c>
      <c r="D4320" s="1">
        <v>41883</v>
      </c>
      <c r="E4320">
        <v>5</v>
      </c>
      <c r="F4320"/>
      <c r="G4320"/>
      <c r="H4320"/>
      <c r="I4320"/>
      <c r="J4320"/>
      <c r="K4320"/>
      <c r="L4320"/>
      <c r="M4320"/>
      <c r="N4320"/>
      <c r="O4320"/>
    </row>
    <row r="4321" spans="1:15" hidden="1" x14ac:dyDescent="0.25">
      <c r="A4321" t="s">
        <v>44</v>
      </c>
      <c r="B4321" t="s">
        <v>115</v>
      </c>
      <c r="C4321" t="b">
        <v>0</v>
      </c>
      <c r="D4321" s="1">
        <v>41883</v>
      </c>
      <c r="E4321">
        <v>5</v>
      </c>
      <c r="F4321"/>
      <c r="G4321"/>
      <c r="H4321"/>
      <c r="I4321"/>
      <c r="J4321"/>
      <c r="K4321"/>
      <c r="L4321"/>
      <c r="M4321"/>
      <c r="N4321"/>
      <c r="O4321"/>
    </row>
    <row r="4322" spans="1:15" hidden="1" x14ac:dyDescent="0.25">
      <c r="A4322" t="s">
        <v>50</v>
      </c>
      <c r="B4322" t="s">
        <v>115</v>
      </c>
      <c r="C4322" t="b">
        <v>0</v>
      </c>
      <c r="D4322" s="1">
        <v>41883</v>
      </c>
      <c r="E4322">
        <v>5</v>
      </c>
      <c r="F4322"/>
      <c r="G4322"/>
      <c r="H4322"/>
      <c r="I4322"/>
      <c r="J4322"/>
      <c r="K4322"/>
      <c r="L4322"/>
      <c r="M4322"/>
      <c r="N4322"/>
      <c r="O4322"/>
    </row>
    <row r="4323" spans="1:15" hidden="1" x14ac:dyDescent="0.25">
      <c r="A4323" t="s">
        <v>54</v>
      </c>
      <c r="B4323" t="s">
        <v>115</v>
      </c>
      <c r="C4323" t="b">
        <v>0</v>
      </c>
      <c r="D4323" s="1">
        <v>41883</v>
      </c>
      <c r="E4323">
        <v>5</v>
      </c>
      <c r="F4323"/>
      <c r="G4323"/>
      <c r="H4323"/>
      <c r="I4323"/>
      <c r="J4323"/>
      <c r="K4323"/>
      <c r="L4323"/>
      <c r="M4323"/>
      <c r="N4323"/>
      <c r="O4323"/>
    </row>
    <row r="4324" spans="1:15" hidden="1" x14ac:dyDescent="0.25">
      <c r="A4324" t="s">
        <v>55</v>
      </c>
      <c r="B4324" t="s">
        <v>115</v>
      </c>
      <c r="C4324" t="b">
        <v>0</v>
      </c>
      <c r="D4324" s="1">
        <v>41883</v>
      </c>
      <c r="E4324">
        <v>5</v>
      </c>
      <c r="F4324"/>
      <c r="G4324"/>
      <c r="H4324"/>
      <c r="I4324"/>
      <c r="J4324"/>
      <c r="K4324"/>
      <c r="L4324"/>
      <c r="M4324"/>
      <c r="N4324"/>
      <c r="O4324"/>
    </row>
    <row r="4325" spans="1:15" hidden="1" x14ac:dyDescent="0.25">
      <c r="A4325" t="s">
        <v>58</v>
      </c>
      <c r="B4325" t="s">
        <v>115</v>
      </c>
      <c r="C4325" t="b">
        <v>0</v>
      </c>
      <c r="D4325" s="1">
        <v>41883</v>
      </c>
      <c r="E4325">
        <v>5</v>
      </c>
      <c r="F4325"/>
      <c r="G4325"/>
      <c r="H4325"/>
      <c r="I4325"/>
      <c r="J4325"/>
      <c r="K4325"/>
      <c r="L4325"/>
      <c r="M4325"/>
      <c r="N4325"/>
      <c r="O4325"/>
    </row>
    <row r="4326" spans="1:15" hidden="1" x14ac:dyDescent="0.25">
      <c r="A4326" t="s">
        <v>59</v>
      </c>
      <c r="B4326" t="s">
        <v>115</v>
      </c>
      <c r="C4326" t="b">
        <v>0</v>
      </c>
      <c r="D4326" s="1">
        <v>41883</v>
      </c>
      <c r="E4326">
        <v>5</v>
      </c>
      <c r="F4326"/>
      <c r="G4326"/>
      <c r="H4326"/>
      <c r="I4326"/>
      <c r="J4326"/>
      <c r="K4326"/>
      <c r="L4326"/>
      <c r="M4326"/>
      <c r="N4326"/>
      <c r="O4326"/>
    </row>
    <row r="4327" spans="1:15" hidden="1" x14ac:dyDescent="0.25">
      <c r="A4327" t="s">
        <v>68</v>
      </c>
      <c r="B4327" t="s">
        <v>115</v>
      </c>
      <c r="C4327" t="b">
        <v>0</v>
      </c>
      <c r="D4327" s="1">
        <v>41883</v>
      </c>
      <c r="E4327">
        <v>5</v>
      </c>
      <c r="F4327"/>
      <c r="G4327"/>
      <c r="H4327"/>
      <c r="I4327"/>
      <c r="J4327"/>
      <c r="K4327"/>
      <c r="L4327"/>
      <c r="M4327"/>
      <c r="N4327"/>
      <c r="O4327"/>
    </row>
    <row r="4328" spans="1:15" hidden="1" x14ac:dyDescent="0.25">
      <c r="A4328" t="s">
        <v>69</v>
      </c>
      <c r="B4328" t="s">
        <v>115</v>
      </c>
      <c r="C4328" t="b">
        <v>0</v>
      </c>
      <c r="D4328" s="1">
        <v>41883</v>
      </c>
      <c r="E4328">
        <v>5</v>
      </c>
      <c r="F4328"/>
      <c r="G4328"/>
      <c r="H4328"/>
      <c r="I4328"/>
      <c r="J4328"/>
      <c r="K4328"/>
      <c r="L4328"/>
      <c r="M4328"/>
      <c r="N4328"/>
      <c r="O4328"/>
    </row>
    <row r="4329" spans="1:15" hidden="1" x14ac:dyDescent="0.25">
      <c r="A4329" t="s">
        <v>76</v>
      </c>
      <c r="B4329" t="s">
        <v>115</v>
      </c>
      <c r="C4329" t="b">
        <v>0</v>
      </c>
      <c r="D4329" s="1">
        <v>41883</v>
      </c>
      <c r="E4329">
        <v>1E-3</v>
      </c>
      <c r="F4329"/>
      <c r="G4329"/>
      <c r="H4329"/>
      <c r="I4329"/>
      <c r="J4329"/>
      <c r="K4329"/>
      <c r="L4329"/>
      <c r="M4329"/>
      <c r="N4329"/>
      <c r="O4329"/>
    </row>
    <row r="4330" spans="1:15" hidden="1" x14ac:dyDescent="0.25">
      <c r="A4330" t="s">
        <v>80</v>
      </c>
      <c r="B4330" t="s">
        <v>115</v>
      </c>
      <c r="C4330" t="b">
        <v>0</v>
      </c>
      <c r="D4330" s="1">
        <v>41883</v>
      </c>
      <c r="E4330">
        <v>4.99</v>
      </c>
      <c r="F4330"/>
      <c r="G4330"/>
      <c r="H4330"/>
      <c r="I4330"/>
      <c r="J4330"/>
      <c r="K4330"/>
      <c r="L4330"/>
      <c r="M4330"/>
      <c r="N4330"/>
      <c r="O4330"/>
    </row>
    <row r="4331" spans="1:15" hidden="1" x14ac:dyDescent="0.25">
      <c r="A4331" t="s">
        <v>81</v>
      </c>
      <c r="B4331" t="s">
        <v>115</v>
      </c>
      <c r="C4331" t="b">
        <v>0</v>
      </c>
      <c r="D4331" s="1">
        <v>41883</v>
      </c>
      <c r="E4331">
        <v>5</v>
      </c>
      <c r="F4331"/>
      <c r="G4331"/>
      <c r="H4331"/>
      <c r="I4331"/>
      <c r="J4331"/>
      <c r="K4331"/>
      <c r="L4331"/>
      <c r="M4331"/>
      <c r="N4331"/>
      <c r="O4331"/>
    </row>
    <row r="4332" spans="1:15" hidden="1" x14ac:dyDescent="0.25">
      <c r="A4332" t="s">
        <v>85</v>
      </c>
      <c r="B4332" t="s">
        <v>115</v>
      </c>
      <c r="C4332" t="b">
        <v>0</v>
      </c>
      <c r="D4332" s="1">
        <v>41883</v>
      </c>
      <c r="E4332">
        <v>5</v>
      </c>
      <c r="F4332"/>
      <c r="G4332"/>
      <c r="H4332"/>
      <c r="I4332"/>
      <c r="J4332"/>
      <c r="K4332"/>
      <c r="L4332"/>
      <c r="M4332"/>
      <c r="N4332"/>
      <c r="O4332"/>
    </row>
    <row r="4333" spans="1:15" hidden="1" x14ac:dyDescent="0.25">
      <c r="A4333" t="s">
        <v>84</v>
      </c>
      <c r="B4333" t="s">
        <v>115</v>
      </c>
      <c r="C4333" t="b">
        <v>0</v>
      </c>
      <c r="D4333" s="1">
        <v>41883</v>
      </c>
      <c r="E4333">
        <v>5</v>
      </c>
      <c r="F4333"/>
      <c r="G4333"/>
      <c r="H4333"/>
      <c r="I4333"/>
      <c r="J4333"/>
      <c r="K4333"/>
      <c r="L4333"/>
      <c r="M4333"/>
      <c r="N4333"/>
      <c r="O4333"/>
    </row>
    <row r="4334" spans="1:15" hidden="1" x14ac:dyDescent="0.25">
      <c r="A4334" t="s">
        <v>86</v>
      </c>
      <c r="B4334" t="s">
        <v>115</v>
      </c>
      <c r="C4334" t="b">
        <v>0</v>
      </c>
      <c r="D4334" s="1">
        <v>41883</v>
      </c>
      <c r="E4334">
        <v>5</v>
      </c>
      <c r="F4334"/>
      <c r="G4334"/>
      <c r="H4334"/>
      <c r="I4334"/>
      <c r="J4334"/>
      <c r="K4334"/>
      <c r="L4334"/>
      <c r="M4334"/>
      <c r="N4334"/>
      <c r="O4334"/>
    </row>
    <row r="4335" spans="1:15" hidden="1" x14ac:dyDescent="0.25">
      <c r="A4335" t="s">
        <v>88</v>
      </c>
      <c r="B4335" t="s">
        <v>115</v>
      </c>
      <c r="C4335" t="b">
        <v>0</v>
      </c>
      <c r="D4335" s="1">
        <v>41883</v>
      </c>
      <c r="E4335">
        <v>5</v>
      </c>
      <c r="F4335"/>
      <c r="G4335"/>
      <c r="H4335"/>
      <c r="I4335"/>
      <c r="J4335"/>
      <c r="K4335"/>
      <c r="L4335"/>
      <c r="M4335"/>
      <c r="N4335"/>
      <c r="O4335"/>
    </row>
    <row r="4336" spans="1:15" hidden="1" x14ac:dyDescent="0.25">
      <c r="A4336" t="s">
        <v>95</v>
      </c>
      <c r="B4336" t="s">
        <v>115</v>
      </c>
      <c r="C4336" t="b">
        <v>0</v>
      </c>
      <c r="D4336" s="1">
        <v>41883</v>
      </c>
      <c r="E4336">
        <v>5</v>
      </c>
      <c r="F4336"/>
      <c r="G4336"/>
      <c r="H4336"/>
      <c r="I4336"/>
      <c r="J4336"/>
      <c r="K4336"/>
      <c r="L4336"/>
      <c r="M4336"/>
      <c r="N4336"/>
      <c r="O4336"/>
    </row>
    <row r="4337" spans="1:15" hidden="1" x14ac:dyDescent="0.25">
      <c r="A4337" t="s">
        <v>96</v>
      </c>
      <c r="B4337" t="s">
        <v>115</v>
      </c>
      <c r="C4337" t="b">
        <v>0</v>
      </c>
      <c r="D4337" s="1">
        <v>41883</v>
      </c>
      <c r="E4337">
        <v>5</v>
      </c>
      <c r="F4337"/>
      <c r="G4337"/>
      <c r="H4337"/>
      <c r="I4337"/>
      <c r="J4337"/>
      <c r="K4337"/>
      <c r="L4337"/>
      <c r="M4337"/>
      <c r="N4337"/>
      <c r="O4337"/>
    </row>
    <row r="4338" spans="1:15" hidden="1" x14ac:dyDescent="0.25">
      <c r="A4338" t="s">
        <v>98</v>
      </c>
      <c r="B4338" t="s">
        <v>115</v>
      </c>
      <c r="C4338" t="b">
        <v>0</v>
      </c>
      <c r="D4338" s="1">
        <v>41883</v>
      </c>
      <c r="E4338">
        <v>5</v>
      </c>
      <c r="F4338"/>
      <c r="G4338"/>
      <c r="H4338"/>
      <c r="I4338"/>
      <c r="J4338"/>
      <c r="K4338"/>
      <c r="L4338"/>
      <c r="M4338"/>
      <c r="N4338"/>
      <c r="O4338"/>
    </row>
    <row r="4339" spans="1:15" hidden="1" x14ac:dyDescent="0.25">
      <c r="A4339" t="s">
        <v>99</v>
      </c>
      <c r="B4339" t="s">
        <v>114</v>
      </c>
      <c r="C4339" t="b">
        <v>0</v>
      </c>
      <c r="D4339" s="1">
        <v>41883</v>
      </c>
      <c r="E4339">
        <v>18.240000000000002</v>
      </c>
      <c r="F4339"/>
      <c r="G4339"/>
      <c r="H4339"/>
      <c r="I4339"/>
      <c r="J4339"/>
      <c r="K4339"/>
      <c r="L4339"/>
      <c r="M4339"/>
      <c r="N4339"/>
      <c r="O4339"/>
    </row>
    <row r="4340" spans="1:15" hidden="1" x14ac:dyDescent="0.25">
      <c r="A4340" t="s">
        <v>100</v>
      </c>
      <c r="B4340" t="s">
        <v>117</v>
      </c>
      <c r="C4340" t="b">
        <v>0</v>
      </c>
      <c r="D4340" s="1">
        <v>41943</v>
      </c>
      <c r="E4340" s="2">
        <v>-68.699999999999989</v>
      </c>
      <c r="F4340"/>
      <c r="G4340"/>
      <c r="H4340"/>
      <c r="I4340"/>
      <c r="J4340"/>
      <c r="K4340"/>
      <c r="L4340"/>
      <c r="M4340"/>
      <c r="N4340"/>
      <c r="O4340"/>
    </row>
    <row r="4341" spans="1:15" hidden="1" x14ac:dyDescent="0.25">
      <c r="A4341" t="s">
        <v>104</v>
      </c>
      <c r="B4341" t="s">
        <v>117</v>
      </c>
      <c r="C4341" t="b">
        <v>0</v>
      </c>
      <c r="D4341" s="1">
        <v>41943</v>
      </c>
      <c r="E4341" s="2">
        <v>-11.14</v>
      </c>
      <c r="F4341"/>
      <c r="G4341"/>
      <c r="H4341"/>
      <c r="I4341"/>
      <c r="J4341"/>
      <c r="K4341"/>
      <c r="L4341"/>
      <c r="M4341"/>
      <c r="N4341"/>
      <c r="O4341"/>
    </row>
    <row r="4342" spans="1:15" hidden="1" x14ac:dyDescent="0.25">
      <c r="A4342" t="s">
        <v>102</v>
      </c>
      <c r="B4342" t="s">
        <v>117</v>
      </c>
      <c r="C4342" t="b">
        <v>0</v>
      </c>
      <c r="D4342" s="1">
        <v>41943</v>
      </c>
      <c r="E4342" s="2">
        <v>-34.049999999999997</v>
      </c>
      <c r="F4342"/>
      <c r="G4342"/>
      <c r="H4342"/>
      <c r="I4342"/>
      <c r="J4342"/>
      <c r="K4342"/>
      <c r="L4342"/>
      <c r="M4342"/>
      <c r="N4342"/>
      <c r="O4342"/>
    </row>
    <row r="4343" spans="1:15" hidden="1" x14ac:dyDescent="0.25">
      <c r="A4343" t="s">
        <v>103</v>
      </c>
      <c r="B4343" t="s">
        <v>117</v>
      </c>
      <c r="C4343" t="b">
        <v>0</v>
      </c>
      <c r="D4343" s="1">
        <v>41943</v>
      </c>
      <c r="E4343" s="2">
        <v>-2.5</v>
      </c>
      <c r="F4343"/>
      <c r="G4343"/>
      <c r="H4343"/>
      <c r="I4343"/>
      <c r="J4343"/>
      <c r="K4343"/>
      <c r="L4343"/>
      <c r="M4343"/>
      <c r="N4343"/>
      <c r="O4343"/>
    </row>
    <row r="4344" spans="1:15" hidden="1" x14ac:dyDescent="0.25">
      <c r="A4344" t="s">
        <v>43</v>
      </c>
      <c r="B4344" t="s">
        <v>115</v>
      </c>
      <c r="C4344" t="b">
        <v>0</v>
      </c>
      <c r="D4344" s="1">
        <v>41943</v>
      </c>
      <c r="E4344">
        <v>5</v>
      </c>
      <c r="F4344"/>
      <c r="G4344"/>
      <c r="H4344"/>
      <c r="I4344"/>
      <c r="J4344"/>
      <c r="K4344"/>
      <c r="L4344"/>
      <c r="M4344"/>
      <c r="N4344"/>
      <c r="O4344"/>
    </row>
    <row r="4345" spans="1:15" hidden="1" x14ac:dyDescent="0.25">
      <c r="A4345" t="s">
        <v>44</v>
      </c>
      <c r="B4345" t="s">
        <v>115</v>
      </c>
      <c r="C4345" t="b">
        <v>0</v>
      </c>
      <c r="D4345" s="1">
        <v>41943</v>
      </c>
      <c r="E4345">
        <v>5</v>
      </c>
      <c r="F4345"/>
      <c r="G4345"/>
      <c r="H4345"/>
      <c r="I4345"/>
      <c r="J4345"/>
      <c r="K4345"/>
      <c r="L4345"/>
      <c r="M4345"/>
      <c r="N4345"/>
      <c r="O4345"/>
    </row>
    <row r="4346" spans="1:15" hidden="1" x14ac:dyDescent="0.25">
      <c r="A4346" t="s">
        <v>50</v>
      </c>
      <c r="B4346" t="s">
        <v>115</v>
      </c>
      <c r="C4346" t="b">
        <v>0</v>
      </c>
      <c r="D4346" s="1">
        <v>41943</v>
      </c>
      <c r="E4346">
        <v>5</v>
      </c>
      <c r="F4346"/>
      <c r="G4346"/>
      <c r="H4346"/>
      <c r="I4346"/>
      <c r="J4346"/>
      <c r="K4346"/>
      <c r="L4346"/>
      <c r="M4346"/>
      <c r="N4346"/>
      <c r="O4346"/>
    </row>
    <row r="4347" spans="1:15" hidden="1" x14ac:dyDescent="0.25">
      <c r="A4347" t="s">
        <v>53</v>
      </c>
      <c r="B4347" t="s">
        <v>115</v>
      </c>
      <c r="C4347" t="b">
        <v>0</v>
      </c>
      <c r="D4347" s="1">
        <v>41943</v>
      </c>
      <c r="E4347">
        <v>5</v>
      </c>
      <c r="F4347"/>
      <c r="G4347"/>
      <c r="H4347"/>
      <c r="I4347"/>
      <c r="J4347"/>
      <c r="K4347"/>
      <c r="L4347"/>
      <c r="M4347"/>
      <c r="N4347"/>
      <c r="O4347"/>
    </row>
    <row r="4348" spans="1:15" hidden="1" x14ac:dyDescent="0.25">
      <c r="A4348" t="s">
        <v>54</v>
      </c>
      <c r="B4348" t="s">
        <v>115</v>
      </c>
      <c r="C4348" t="b">
        <v>0</v>
      </c>
      <c r="D4348" s="1">
        <v>41943</v>
      </c>
      <c r="E4348">
        <v>5</v>
      </c>
      <c r="F4348"/>
      <c r="G4348"/>
      <c r="H4348"/>
      <c r="I4348"/>
      <c r="J4348"/>
      <c r="K4348"/>
      <c r="L4348"/>
      <c r="M4348"/>
      <c r="N4348"/>
      <c r="O4348"/>
    </row>
    <row r="4349" spans="1:15" hidden="1" x14ac:dyDescent="0.25">
      <c r="A4349" t="s">
        <v>55</v>
      </c>
      <c r="B4349" t="s">
        <v>115</v>
      </c>
      <c r="C4349" t="b">
        <v>0</v>
      </c>
      <c r="D4349" s="1">
        <v>41943</v>
      </c>
      <c r="E4349">
        <v>5</v>
      </c>
      <c r="F4349"/>
      <c r="G4349"/>
      <c r="H4349"/>
      <c r="I4349"/>
      <c r="J4349"/>
      <c r="K4349"/>
      <c r="L4349"/>
      <c r="M4349"/>
      <c r="N4349"/>
      <c r="O4349"/>
    </row>
    <row r="4350" spans="1:15" hidden="1" x14ac:dyDescent="0.25">
      <c r="A4350" t="s">
        <v>58</v>
      </c>
      <c r="B4350" t="s">
        <v>115</v>
      </c>
      <c r="C4350" t="b">
        <v>0</v>
      </c>
      <c r="D4350" s="1">
        <v>41943</v>
      </c>
      <c r="E4350">
        <v>5</v>
      </c>
      <c r="F4350"/>
      <c r="G4350"/>
      <c r="H4350"/>
      <c r="I4350"/>
      <c r="J4350"/>
      <c r="K4350"/>
      <c r="L4350"/>
      <c r="M4350"/>
      <c r="N4350"/>
      <c r="O4350"/>
    </row>
    <row r="4351" spans="1:15" hidden="1" x14ac:dyDescent="0.25">
      <c r="A4351" t="s">
        <v>59</v>
      </c>
      <c r="B4351" t="s">
        <v>115</v>
      </c>
      <c r="C4351" t="b">
        <v>0</v>
      </c>
      <c r="D4351" s="1">
        <v>41943</v>
      </c>
      <c r="E4351">
        <v>5</v>
      </c>
      <c r="F4351"/>
      <c r="G4351"/>
      <c r="H4351"/>
      <c r="I4351"/>
      <c r="J4351"/>
      <c r="K4351"/>
      <c r="L4351"/>
      <c r="M4351"/>
      <c r="N4351"/>
      <c r="O4351"/>
    </row>
    <row r="4352" spans="1:15" hidden="1" x14ac:dyDescent="0.25">
      <c r="A4352" t="s">
        <v>68</v>
      </c>
      <c r="B4352" t="s">
        <v>115</v>
      </c>
      <c r="C4352" t="b">
        <v>0</v>
      </c>
      <c r="D4352" s="1">
        <v>41943</v>
      </c>
      <c r="E4352">
        <v>5</v>
      </c>
      <c r="F4352"/>
      <c r="G4352"/>
      <c r="H4352"/>
      <c r="I4352"/>
      <c r="J4352"/>
      <c r="K4352"/>
      <c r="L4352"/>
      <c r="M4352"/>
      <c r="N4352"/>
      <c r="O4352"/>
    </row>
    <row r="4353" spans="1:15" hidden="1" x14ac:dyDescent="0.25">
      <c r="A4353" t="s">
        <v>69</v>
      </c>
      <c r="B4353" t="s">
        <v>115</v>
      </c>
      <c r="C4353" t="b">
        <v>0</v>
      </c>
      <c r="D4353" s="1">
        <v>41943</v>
      </c>
      <c r="E4353">
        <v>5</v>
      </c>
      <c r="F4353"/>
      <c r="G4353"/>
      <c r="H4353"/>
      <c r="I4353"/>
      <c r="J4353"/>
      <c r="K4353"/>
      <c r="L4353"/>
      <c r="M4353"/>
      <c r="N4353"/>
      <c r="O4353"/>
    </row>
    <row r="4354" spans="1:15" hidden="1" x14ac:dyDescent="0.25">
      <c r="A4354" t="s">
        <v>76</v>
      </c>
      <c r="B4354" t="s">
        <v>115</v>
      </c>
      <c r="C4354" t="b">
        <v>0</v>
      </c>
      <c r="D4354" s="1">
        <v>41943</v>
      </c>
      <c r="E4354">
        <v>1E-3</v>
      </c>
      <c r="F4354"/>
      <c r="G4354"/>
      <c r="H4354"/>
      <c r="I4354"/>
      <c r="J4354"/>
      <c r="K4354"/>
      <c r="L4354"/>
      <c r="M4354"/>
      <c r="N4354"/>
      <c r="O4354"/>
    </row>
    <row r="4355" spans="1:15" hidden="1" x14ac:dyDescent="0.25">
      <c r="A4355" t="s">
        <v>81</v>
      </c>
      <c r="B4355" t="s">
        <v>115</v>
      </c>
      <c r="C4355" t="b">
        <v>0</v>
      </c>
      <c r="D4355" s="1">
        <v>41943</v>
      </c>
      <c r="E4355">
        <v>5</v>
      </c>
      <c r="F4355"/>
      <c r="G4355"/>
      <c r="H4355"/>
      <c r="I4355"/>
      <c r="J4355"/>
      <c r="K4355"/>
      <c r="L4355"/>
      <c r="M4355"/>
      <c r="N4355"/>
      <c r="O4355"/>
    </row>
    <row r="4356" spans="1:15" hidden="1" x14ac:dyDescent="0.25">
      <c r="A4356" t="s">
        <v>85</v>
      </c>
      <c r="B4356" t="s">
        <v>115</v>
      </c>
      <c r="C4356" t="b">
        <v>0</v>
      </c>
      <c r="D4356" s="1">
        <v>41943</v>
      </c>
      <c r="E4356">
        <v>5</v>
      </c>
      <c r="F4356"/>
      <c r="G4356"/>
      <c r="H4356"/>
      <c r="I4356"/>
      <c r="J4356"/>
      <c r="K4356"/>
      <c r="L4356"/>
      <c r="M4356"/>
      <c r="N4356"/>
      <c r="O4356"/>
    </row>
    <row r="4357" spans="1:15" hidden="1" x14ac:dyDescent="0.25">
      <c r="A4357" t="s">
        <v>84</v>
      </c>
      <c r="B4357" t="s">
        <v>115</v>
      </c>
      <c r="C4357" t="b">
        <v>0</v>
      </c>
      <c r="D4357" s="1">
        <v>41943</v>
      </c>
      <c r="E4357">
        <v>5</v>
      </c>
      <c r="F4357"/>
      <c r="G4357"/>
      <c r="H4357"/>
      <c r="I4357"/>
      <c r="J4357"/>
      <c r="K4357"/>
      <c r="L4357"/>
      <c r="M4357"/>
      <c r="N4357"/>
      <c r="O4357"/>
    </row>
    <row r="4358" spans="1:15" hidden="1" x14ac:dyDescent="0.25">
      <c r="A4358" t="s">
        <v>86</v>
      </c>
      <c r="B4358" t="s">
        <v>115</v>
      </c>
      <c r="C4358" t="b">
        <v>0</v>
      </c>
      <c r="D4358" s="1">
        <v>41943</v>
      </c>
      <c r="E4358">
        <v>5</v>
      </c>
      <c r="F4358"/>
      <c r="G4358"/>
      <c r="H4358"/>
      <c r="I4358"/>
      <c r="J4358"/>
      <c r="K4358"/>
      <c r="L4358"/>
      <c r="M4358"/>
      <c r="N4358"/>
      <c r="O4358"/>
    </row>
    <row r="4359" spans="1:15" hidden="1" x14ac:dyDescent="0.25">
      <c r="A4359" t="s">
        <v>88</v>
      </c>
      <c r="B4359" t="s">
        <v>115</v>
      </c>
      <c r="C4359" t="b">
        <v>0</v>
      </c>
      <c r="D4359" s="1">
        <v>41943</v>
      </c>
      <c r="E4359">
        <v>5</v>
      </c>
      <c r="F4359"/>
      <c r="G4359"/>
      <c r="H4359"/>
      <c r="I4359"/>
      <c r="J4359"/>
      <c r="K4359"/>
      <c r="L4359"/>
      <c r="M4359"/>
      <c r="N4359"/>
      <c r="O4359"/>
    </row>
    <row r="4360" spans="1:15" hidden="1" x14ac:dyDescent="0.25">
      <c r="A4360" t="s">
        <v>95</v>
      </c>
      <c r="B4360" t="s">
        <v>115</v>
      </c>
      <c r="C4360" t="b">
        <v>0</v>
      </c>
      <c r="D4360" s="1">
        <v>41943</v>
      </c>
      <c r="E4360">
        <v>4.99</v>
      </c>
      <c r="F4360"/>
      <c r="G4360"/>
      <c r="H4360"/>
      <c r="I4360"/>
      <c r="J4360"/>
      <c r="K4360"/>
      <c r="L4360"/>
      <c r="M4360"/>
      <c r="N4360"/>
      <c r="O4360"/>
    </row>
    <row r="4361" spans="1:15" hidden="1" x14ac:dyDescent="0.25">
      <c r="A4361" t="s">
        <v>96</v>
      </c>
      <c r="B4361" t="s">
        <v>115</v>
      </c>
      <c r="C4361" t="b">
        <v>0</v>
      </c>
      <c r="D4361" s="1">
        <v>41943</v>
      </c>
      <c r="E4361">
        <v>5</v>
      </c>
      <c r="F4361"/>
      <c r="G4361"/>
      <c r="H4361"/>
      <c r="I4361"/>
      <c r="J4361"/>
      <c r="K4361"/>
      <c r="L4361"/>
      <c r="M4361"/>
      <c r="N4361"/>
      <c r="O4361"/>
    </row>
    <row r="4362" spans="1:15" hidden="1" x14ac:dyDescent="0.25">
      <c r="A4362" t="s">
        <v>98</v>
      </c>
      <c r="B4362" t="s">
        <v>115</v>
      </c>
      <c r="C4362" t="b">
        <v>0</v>
      </c>
      <c r="D4362" s="1">
        <v>41943</v>
      </c>
      <c r="E4362">
        <v>5</v>
      </c>
      <c r="F4362"/>
      <c r="G4362"/>
      <c r="H4362"/>
      <c r="I4362"/>
      <c r="J4362"/>
      <c r="K4362"/>
      <c r="L4362"/>
      <c r="M4362"/>
      <c r="N4362"/>
      <c r="O4362"/>
    </row>
    <row r="4363" spans="1:15" hidden="1" x14ac:dyDescent="0.25">
      <c r="A4363" t="s">
        <v>99</v>
      </c>
      <c r="B4363" t="s">
        <v>114</v>
      </c>
      <c r="C4363" t="b">
        <v>0</v>
      </c>
      <c r="D4363" s="1">
        <v>41943</v>
      </c>
      <c r="E4363">
        <v>21.64</v>
      </c>
      <c r="F4363"/>
      <c r="G4363"/>
      <c r="H4363"/>
      <c r="I4363"/>
      <c r="J4363"/>
      <c r="K4363"/>
      <c r="L4363"/>
      <c r="M4363"/>
      <c r="N4363"/>
      <c r="O4363"/>
    </row>
    <row r="4364" spans="1:15" hidden="1" x14ac:dyDescent="0.25">
      <c r="A4364" t="s">
        <v>100</v>
      </c>
      <c r="B4364" t="s">
        <v>117</v>
      </c>
      <c r="C4364" t="b">
        <v>0</v>
      </c>
      <c r="D4364" s="1">
        <v>41973</v>
      </c>
      <c r="E4364" s="2">
        <v>-68.94</v>
      </c>
      <c r="F4364"/>
      <c r="G4364"/>
      <c r="H4364"/>
      <c r="I4364"/>
      <c r="J4364"/>
      <c r="K4364"/>
      <c r="L4364"/>
      <c r="M4364"/>
      <c r="N4364"/>
      <c r="O4364"/>
    </row>
    <row r="4365" spans="1:15" hidden="1" x14ac:dyDescent="0.25">
      <c r="A4365" t="s">
        <v>104</v>
      </c>
      <c r="B4365" t="s">
        <v>117</v>
      </c>
      <c r="C4365" t="b">
        <v>0</v>
      </c>
      <c r="D4365" s="1">
        <v>41973</v>
      </c>
      <c r="E4365" s="2">
        <v>-10</v>
      </c>
      <c r="F4365"/>
      <c r="G4365"/>
      <c r="H4365"/>
      <c r="I4365"/>
      <c r="J4365"/>
      <c r="K4365"/>
      <c r="L4365"/>
      <c r="M4365"/>
      <c r="N4365"/>
      <c r="O4365"/>
    </row>
    <row r="4366" spans="1:15" hidden="1" x14ac:dyDescent="0.25">
      <c r="A4366" t="s">
        <v>102</v>
      </c>
      <c r="B4366" t="s">
        <v>117</v>
      </c>
      <c r="C4366" t="b">
        <v>0</v>
      </c>
      <c r="D4366" s="1">
        <v>41973</v>
      </c>
      <c r="E4366" s="2">
        <v>-34.049999999999997</v>
      </c>
      <c r="F4366"/>
      <c r="G4366"/>
      <c r="H4366"/>
      <c r="I4366"/>
      <c r="J4366"/>
      <c r="K4366"/>
      <c r="L4366"/>
      <c r="M4366"/>
      <c r="N4366"/>
      <c r="O4366"/>
    </row>
    <row r="4367" spans="1:15" hidden="1" x14ac:dyDescent="0.25">
      <c r="A4367" t="s">
        <v>103</v>
      </c>
      <c r="B4367" t="s">
        <v>117</v>
      </c>
      <c r="C4367" t="b">
        <v>0</v>
      </c>
      <c r="D4367" s="1">
        <v>41973</v>
      </c>
      <c r="E4367" s="2">
        <v>-6.5</v>
      </c>
      <c r="F4367"/>
      <c r="G4367"/>
      <c r="H4367"/>
      <c r="I4367"/>
      <c r="J4367"/>
      <c r="K4367"/>
      <c r="L4367"/>
      <c r="M4367"/>
      <c r="N4367"/>
      <c r="O4367"/>
    </row>
    <row r="4368" spans="1:15" hidden="1" x14ac:dyDescent="0.25">
      <c r="A4368" t="s">
        <v>101</v>
      </c>
      <c r="B4368" t="s">
        <v>117</v>
      </c>
      <c r="C4368" t="b">
        <v>0</v>
      </c>
      <c r="D4368" s="1">
        <v>41973</v>
      </c>
      <c r="E4368" s="2">
        <v>-2.5</v>
      </c>
      <c r="F4368"/>
      <c r="G4368"/>
      <c r="H4368"/>
      <c r="I4368"/>
      <c r="J4368"/>
      <c r="K4368"/>
      <c r="L4368"/>
      <c r="M4368"/>
      <c r="N4368"/>
      <c r="O4368"/>
    </row>
    <row r="4369" spans="1:15" hidden="1" x14ac:dyDescent="0.25">
      <c r="A4369" t="s">
        <v>43</v>
      </c>
      <c r="B4369" t="s">
        <v>115</v>
      </c>
      <c r="C4369" t="b">
        <v>0</v>
      </c>
      <c r="D4369" s="1">
        <v>41973</v>
      </c>
      <c r="E4369">
        <v>5</v>
      </c>
      <c r="F4369"/>
      <c r="G4369"/>
      <c r="H4369"/>
      <c r="I4369"/>
      <c r="J4369"/>
      <c r="K4369"/>
      <c r="L4369"/>
      <c r="M4369"/>
      <c r="N4369"/>
      <c r="O4369"/>
    </row>
    <row r="4370" spans="1:15" hidden="1" x14ac:dyDescent="0.25">
      <c r="A4370" t="s">
        <v>44</v>
      </c>
      <c r="B4370" t="s">
        <v>115</v>
      </c>
      <c r="C4370" t="b">
        <v>0</v>
      </c>
      <c r="D4370" s="1">
        <v>41973</v>
      </c>
      <c r="E4370">
        <v>5</v>
      </c>
      <c r="F4370"/>
      <c r="G4370"/>
      <c r="H4370"/>
      <c r="I4370"/>
      <c r="J4370"/>
      <c r="K4370"/>
      <c r="L4370"/>
      <c r="M4370"/>
      <c r="N4370"/>
      <c r="O4370"/>
    </row>
    <row r="4371" spans="1:15" hidden="1" x14ac:dyDescent="0.25">
      <c r="A4371" t="s">
        <v>50</v>
      </c>
      <c r="B4371" t="s">
        <v>115</v>
      </c>
      <c r="C4371" t="b">
        <v>0</v>
      </c>
      <c r="D4371" s="1">
        <v>41973</v>
      </c>
      <c r="E4371">
        <v>5</v>
      </c>
      <c r="F4371"/>
      <c r="G4371"/>
      <c r="H4371"/>
      <c r="I4371"/>
      <c r="J4371"/>
      <c r="K4371"/>
      <c r="L4371"/>
      <c r="M4371"/>
      <c r="N4371"/>
      <c r="O4371"/>
    </row>
    <row r="4372" spans="1:15" hidden="1" x14ac:dyDescent="0.25">
      <c r="A4372" t="s">
        <v>53</v>
      </c>
      <c r="B4372" t="s">
        <v>115</v>
      </c>
      <c r="C4372" t="b">
        <v>0</v>
      </c>
      <c r="D4372" s="1">
        <v>41973</v>
      </c>
      <c r="E4372">
        <v>5</v>
      </c>
      <c r="F4372"/>
      <c r="G4372"/>
      <c r="H4372"/>
      <c r="I4372"/>
      <c r="J4372"/>
      <c r="K4372"/>
      <c r="L4372"/>
      <c r="M4372"/>
      <c r="N4372"/>
      <c r="O4372"/>
    </row>
    <row r="4373" spans="1:15" hidden="1" x14ac:dyDescent="0.25">
      <c r="A4373" t="s">
        <v>54</v>
      </c>
      <c r="B4373" t="s">
        <v>115</v>
      </c>
      <c r="C4373" t="b">
        <v>0</v>
      </c>
      <c r="D4373" s="1">
        <v>41973</v>
      </c>
      <c r="E4373">
        <v>5</v>
      </c>
      <c r="F4373"/>
      <c r="G4373"/>
      <c r="H4373"/>
      <c r="I4373"/>
      <c r="J4373"/>
      <c r="K4373"/>
      <c r="L4373"/>
      <c r="M4373"/>
      <c r="N4373"/>
      <c r="O4373"/>
    </row>
    <row r="4374" spans="1:15" hidden="1" x14ac:dyDescent="0.25">
      <c r="A4374" t="s">
        <v>55</v>
      </c>
      <c r="B4374" t="s">
        <v>115</v>
      </c>
      <c r="C4374" t="b">
        <v>0</v>
      </c>
      <c r="D4374" s="1">
        <v>41973</v>
      </c>
      <c r="E4374">
        <v>5</v>
      </c>
      <c r="F4374"/>
      <c r="G4374"/>
      <c r="H4374"/>
      <c r="I4374"/>
      <c r="J4374"/>
      <c r="K4374"/>
      <c r="L4374"/>
      <c r="M4374"/>
      <c r="N4374"/>
      <c r="O4374"/>
    </row>
    <row r="4375" spans="1:15" hidden="1" x14ac:dyDescent="0.25">
      <c r="A4375" t="s">
        <v>58</v>
      </c>
      <c r="B4375" t="s">
        <v>115</v>
      </c>
      <c r="C4375" t="b">
        <v>0</v>
      </c>
      <c r="D4375" s="1">
        <v>41973</v>
      </c>
      <c r="E4375">
        <v>5</v>
      </c>
      <c r="F4375"/>
      <c r="G4375"/>
      <c r="H4375"/>
      <c r="I4375"/>
      <c r="J4375"/>
      <c r="K4375"/>
      <c r="L4375"/>
      <c r="M4375"/>
      <c r="N4375"/>
      <c r="O4375"/>
    </row>
    <row r="4376" spans="1:15" hidden="1" x14ac:dyDescent="0.25">
      <c r="A4376" t="s">
        <v>59</v>
      </c>
      <c r="B4376" t="s">
        <v>115</v>
      </c>
      <c r="C4376" t="b">
        <v>0</v>
      </c>
      <c r="D4376" s="1">
        <v>41973</v>
      </c>
      <c r="E4376">
        <v>5</v>
      </c>
      <c r="F4376"/>
      <c r="G4376"/>
      <c r="H4376"/>
      <c r="I4376"/>
      <c r="J4376"/>
      <c r="K4376"/>
      <c r="L4376"/>
      <c r="M4376"/>
      <c r="N4376"/>
      <c r="O4376"/>
    </row>
    <row r="4377" spans="1:15" hidden="1" x14ac:dyDescent="0.25">
      <c r="A4377" t="s">
        <v>68</v>
      </c>
      <c r="B4377" t="s">
        <v>115</v>
      </c>
      <c r="C4377" t="b">
        <v>0</v>
      </c>
      <c r="D4377" s="1">
        <v>41973</v>
      </c>
      <c r="E4377">
        <v>5</v>
      </c>
      <c r="F4377"/>
      <c r="G4377"/>
      <c r="H4377"/>
      <c r="I4377"/>
      <c r="J4377"/>
      <c r="K4377"/>
      <c r="L4377"/>
      <c r="M4377"/>
      <c r="N4377"/>
      <c r="O4377"/>
    </row>
    <row r="4378" spans="1:15" hidden="1" x14ac:dyDescent="0.25">
      <c r="A4378" t="s">
        <v>69</v>
      </c>
      <c r="B4378" t="s">
        <v>115</v>
      </c>
      <c r="C4378" t="b">
        <v>0</v>
      </c>
      <c r="D4378" s="1">
        <v>41973</v>
      </c>
      <c r="E4378">
        <v>5</v>
      </c>
      <c r="F4378"/>
      <c r="G4378"/>
      <c r="H4378"/>
      <c r="I4378"/>
      <c r="J4378"/>
      <c r="K4378"/>
      <c r="L4378"/>
      <c r="M4378"/>
      <c r="N4378"/>
      <c r="O4378"/>
    </row>
    <row r="4379" spans="1:15" hidden="1" x14ac:dyDescent="0.25">
      <c r="A4379" t="s">
        <v>75</v>
      </c>
      <c r="B4379" t="s">
        <v>115</v>
      </c>
      <c r="C4379" t="b">
        <v>0</v>
      </c>
      <c r="D4379" s="1">
        <v>41973</v>
      </c>
      <c r="E4379">
        <v>5</v>
      </c>
      <c r="F4379"/>
      <c r="G4379"/>
      <c r="H4379"/>
      <c r="I4379"/>
      <c r="J4379"/>
      <c r="K4379"/>
      <c r="L4379"/>
      <c r="M4379"/>
      <c r="N4379"/>
      <c r="O4379"/>
    </row>
    <row r="4380" spans="1:15" hidden="1" x14ac:dyDescent="0.25">
      <c r="A4380" t="s">
        <v>76</v>
      </c>
      <c r="B4380" t="s">
        <v>115</v>
      </c>
      <c r="C4380" t="b">
        <v>0</v>
      </c>
      <c r="D4380" s="1">
        <v>41973</v>
      </c>
      <c r="E4380">
        <v>1E-3</v>
      </c>
      <c r="F4380"/>
      <c r="G4380"/>
      <c r="H4380"/>
      <c r="I4380"/>
      <c r="J4380"/>
      <c r="K4380"/>
      <c r="L4380"/>
      <c r="M4380"/>
      <c r="N4380"/>
      <c r="O4380"/>
    </row>
    <row r="4381" spans="1:15" hidden="1" x14ac:dyDescent="0.25">
      <c r="A4381" t="s">
        <v>81</v>
      </c>
      <c r="B4381" t="s">
        <v>115</v>
      </c>
      <c r="C4381" t="b">
        <v>0</v>
      </c>
      <c r="D4381" s="1">
        <v>41973</v>
      </c>
      <c r="E4381">
        <v>5</v>
      </c>
      <c r="F4381"/>
      <c r="G4381"/>
      <c r="H4381"/>
      <c r="I4381"/>
      <c r="J4381"/>
      <c r="K4381"/>
      <c r="L4381"/>
      <c r="M4381"/>
      <c r="N4381"/>
      <c r="O4381"/>
    </row>
    <row r="4382" spans="1:15" hidden="1" x14ac:dyDescent="0.25">
      <c r="A4382" t="s">
        <v>85</v>
      </c>
      <c r="B4382" t="s">
        <v>115</v>
      </c>
      <c r="C4382" t="b">
        <v>0</v>
      </c>
      <c r="D4382" s="1">
        <v>41973</v>
      </c>
      <c r="E4382">
        <v>5</v>
      </c>
      <c r="F4382"/>
      <c r="G4382"/>
      <c r="H4382"/>
      <c r="I4382"/>
      <c r="J4382"/>
      <c r="K4382"/>
      <c r="L4382"/>
      <c r="M4382"/>
      <c r="N4382"/>
      <c r="O4382"/>
    </row>
    <row r="4383" spans="1:15" hidden="1" x14ac:dyDescent="0.25">
      <c r="A4383" t="s">
        <v>84</v>
      </c>
      <c r="B4383" t="s">
        <v>115</v>
      </c>
      <c r="C4383" t="b">
        <v>0</v>
      </c>
      <c r="D4383" s="1">
        <v>41973</v>
      </c>
      <c r="E4383">
        <v>5</v>
      </c>
      <c r="F4383"/>
      <c r="G4383"/>
      <c r="H4383"/>
      <c r="I4383"/>
      <c r="J4383"/>
      <c r="K4383"/>
      <c r="L4383"/>
      <c r="M4383"/>
      <c r="N4383"/>
      <c r="O4383"/>
    </row>
    <row r="4384" spans="1:15" hidden="1" x14ac:dyDescent="0.25">
      <c r="A4384" t="s">
        <v>86</v>
      </c>
      <c r="B4384" t="s">
        <v>115</v>
      </c>
      <c r="C4384" t="b">
        <v>0</v>
      </c>
      <c r="D4384" s="1">
        <v>41973</v>
      </c>
      <c r="E4384">
        <v>5</v>
      </c>
      <c r="F4384"/>
      <c r="G4384"/>
      <c r="H4384"/>
      <c r="I4384"/>
      <c r="J4384"/>
      <c r="K4384"/>
      <c r="L4384"/>
      <c r="M4384"/>
      <c r="N4384"/>
      <c r="O4384"/>
    </row>
    <row r="4385" spans="1:15" hidden="1" x14ac:dyDescent="0.25">
      <c r="A4385" t="s">
        <v>88</v>
      </c>
      <c r="B4385" t="s">
        <v>115</v>
      </c>
      <c r="C4385" t="b">
        <v>0</v>
      </c>
      <c r="D4385" s="1">
        <v>41973</v>
      </c>
      <c r="E4385">
        <v>5</v>
      </c>
      <c r="F4385"/>
      <c r="G4385"/>
      <c r="H4385"/>
      <c r="I4385"/>
      <c r="J4385"/>
      <c r="K4385"/>
      <c r="L4385"/>
      <c r="M4385"/>
      <c r="N4385"/>
      <c r="O4385"/>
    </row>
    <row r="4386" spans="1:15" hidden="1" x14ac:dyDescent="0.25">
      <c r="A4386" t="s">
        <v>95</v>
      </c>
      <c r="B4386" t="s">
        <v>115</v>
      </c>
      <c r="C4386" t="b">
        <v>0</v>
      </c>
      <c r="D4386" s="1">
        <v>41973</v>
      </c>
      <c r="E4386">
        <v>5</v>
      </c>
      <c r="F4386"/>
      <c r="G4386"/>
      <c r="H4386"/>
      <c r="I4386"/>
      <c r="J4386"/>
      <c r="K4386"/>
      <c r="L4386"/>
      <c r="M4386"/>
      <c r="N4386"/>
      <c r="O4386"/>
    </row>
    <row r="4387" spans="1:15" hidden="1" x14ac:dyDescent="0.25">
      <c r="A4387" t="s">
        <v>96</v>
      </c>
      <c r="B4387" t="s">
        <v>115</v>
      </c>
      <c r="C4387" t="b">
        <v>0</v>
      </c>
      <c r="D4387" s="1">
        <v>41973</v>
      </c>
      <c r="E4387">
        <v>5</v>
      </c>
      <c r="F4387"/>
      <c r="G4387"/>
      <c r="H4387"/>
      <c r="I4387"/>
      <c r="J4387"/>
      <c r="K4387"/>
      <c r="L4387"/>
      <c r="M4387"/>
      <c r="N4387"/>
      <c r="O4387"/>
    </row>
    <row r="4388" spans="1:15" hidden="1" x14ac:dyDescent="0.25">
      <c r="A4388" t="s">
        <v>98</v>
      </c>
      <c r="B4388" t="s">
        <v>115</v>
      </c>
      <c r="C4388" t="b">
        <v>0</v>
      </c>
      <c r="D4388" s="1">
        <v>41973</v>
      </c>
      <c r="E4388">
        <v>5</v>
      </c>
      <c r="F4388"/>
      <c r="G4388"/>
      <c r="H4388"/>
      <c r="I4388"/>
      <c r="J4388"/>
      <c r="K4388"/>
      <c r="L4388"/>
      <c r="M4388"/>
      <c r="N4388"/>
      <c r="O4388"/>
    </row>
    <row r="4389" spans="1:15" hidden="1" x14ac:dyDescent="0.25">
      <c r="A4389" t="s">
        <v>99</v>
      </c>
      <c r="B4389" t="s">
        <v>114</v>
      </c>
      <c r="C4389" t="b">
        <v>0</v>
      </c>
      <c r="D4389" s="1">
        <v>41973</v>
      </c>
      <c r="E4389">
        <v>17.2</v>
      </c>
      <c r="F4389"/>
      <c r="G4389"/>
      <c r="H4389"/>
      <c r="I4389"/>
      <c r="J4389"/>
      <c r="K4389"/>
      <c r="L4389"/>
      <c r="M4389"/>
      <c r="N4389"/>
      <c r="O4389"/>
    </row>
    <row r="4390" spans="1:15" hidden="1" x14ac:dyDescent="0.25">
      <c r="A4390" t="s">
        <v>100</v>
      </c>
      <c r="B4390" t="s">
        <v>117</v>
      </c>
      <c r="C4390" t="b">
        <v>0</v>
      </c>
      <c r="D4390" s="1">
        <v>42004</v>
      </c>
      <c r="E4390" s="2">
        <v>-64.08</v>
      </c>
      <c r="F4390"/>
      <c r="G4390"/>
      <c r="H4390"/>
      <c r="I4390"/>
      <c r="J4390"/>
      <c r="K4390"/>
      <c r="L4390"/>
      <c r="M4390"/>
      <c r="N4390"/>
      <c r="O4390"/>
    </row>
    <row r="4391" spans="1:15" hidden="1" x14ac:dyDescent="0.25">
      <c r="A4391" t="s">
        <v>102</v>
      </c>
      <c r="B4391" t="s">
        <v>117</v>
      </c>
      <c r="C4391" t="b">
        <v>0</v>
      </c>
      <c r="D4391" s="1">
        <v>42004</v>
      </c>
      <c r="E4391" s="2">
        <v>-21.47</v>
      </c>
      <c r="F4391"/>
      <c r="G4391"/>
      <c r="H4391"/>
      <c r="I4391"/>
      <c r="J4391"/>
      <c r="K4391"/>
      <c r="L4391"/>
      <c r="M4391"/>
      <c r="N4391"/>
      <c r="O4391"/>
    </row>
    <row r="4392" spans="1:15" hidden="1" x14ac:dyDescent="0.25">
      <c r="A4392" t="s">
        <v>103</v>
      </c>
      <c r="B4392" t="s">
        <v>117</v>
      </c>
      <c r="C4392" t="b">
        <v>0</v>
      </c>
      <c r="D4392" s="1">
        <v>42004</v>
      </c>
      <c r="E4392" s="2">
        <v>-16.5</v>
      </c>
      <c r="F4392"/>
      <c r="G4392"/>
      <c r="H4392"/>
      <c r="I4392"/>
      <c r="J4392"/>
      <c r="K4392"/>
      <c r="L4392"/>
      <c r="M4392"/>
      <c r="N4392"/>
      <c r="O4392"/>
    </row>
    <row r="4393" spans="1:15" hidden="1" x14ac:dyDescent="0.25">
      <c r="A4393" t="s">
        <v>101</v>
      </c>
      <c r="B4393" t="s">
        <v>117</v>
      </c>
      <c r="C4393" t="b">
        <v>0</v>
      </c>
      <c r="D4393" s="1">
        <v>42004</v>
      </c>
      <c r="E4393" s="2">
        <v>-9.2899999999999991</v>
      </c>
      <c r="F4393"/>
      <c r="G4393"/>
      <c r="H4393"/>
      <c r="I4393"/>
      <c r="J4393"/>
      <c r="K4393"/>
      <c r="L4393"/>
      <c r="M4393"/>
      <c r="N4393"/>
      <c r="O4393"/>
    </row>
    <row r="4394" spans="1:15" hidden="1" x14ac:dyDescent="0.25">
      <c r="A4394" t="s">
        <v>43</v>
      </c>
      <c r="B4394" t="s">
        <v>115</v>
      </c>
      <c r="C4394" t="b">
        <v>0</v>
      </c>
      <c r="D4394" s="1">
        <v>42004</v>
      </c>
      <c r="E4394">
        <v>0</v>
      </c>
      <c r="F4394"/>
      <c r="G4394"/>
      <c r="H4394"/>
      <c r="I4394"/>
      <c r="J4394"/>
      <c r="K4394"/>
      <c r="L4394"/>
      <c r="M4394"/>
      <c r="N4394"/>
      <c r="O4394"/>
    </row>
    <row r="4395" spans="1:15" hidden="1" x14ac:dyDescent="0.25">
      <c r="A4395" t="s">
        <v>44</v>
      </c>
      <c r="B4395" t="s">
        <v>115</v>
      </c>
      <c r="C4395" t="b">
        <v>0</v>
      </c>
      <c r="D4395" s="1">
        <v>42004</v>
      </c>
      <c r="E4395">
        <v>5</v>
      </c>
      <c r="F4395"/>
      <c r="G4395"/>
      <c r="H4395"/>
      <c r="I4395"/>
      <c r="J4395"/>
      <c r="K4395"/>
      <c r="L4395"/>
      <c r="M4395"/>
      <c r="N4395"/>
      <c r="O4395"/>
    </row>
    <row r="4396" spans="1:15" hidden="1" x14ac:dyDescent="0.25">
      <c r="A4396" t="s">
        <v>50</v>
      </c>
      <c r="B4396" t="s">
        <v>115</v>
      </c>
      <c r="C4396" t="b">
        <v>0</v>
      </c>
      <c r="D4396" s="1">
        <v>42004</v>
      </c>
      <c r="E4396">
        <v>5</v>
      </c>
      <c r="F4396"/>
      <c r="G4396"/>
      <c r="H4396"/>
      <c r="I4396"/>
      <c r="J4396"/>
      <c r="K4396"/>
      <c r="L4396"/>
      <c r="M4396"/>
      <c r="N4396"/>
      <c r="O4396"/>
    </row>
    <row r="4397" spans="1:15" hidden="1" x14ac:dyDescent="0.25">
      <c r="A4397" t="s">
        <v>53</v>
      </c>
      <c r="B4397" t="s">
        <v>115</v>
      </c>
      <c r="C4397" t="b">
        <v>0</v>
      </c>
      <c r="D4397" s="1">
        <v>42004</v>
      </c>
      <c r="E4397">
        <v>0</v>
      </c>
      <c r="F4397"/>
      <c r="G4397"/>
      <c r="H4397"/>
      <c r="I4397"/>
      <c r="J4397"/>
      <c r="K4397"/>
      <c r="L4397"/>
      <c r="M4397"/>
      <c r="N4397"/>
      <c r="O4397"/>
    </row>
    <row r="4398" spans="1:15" hidden="1" x14ac:dyDescent="0.25">
      <c r="A4398" t="s">
        <v>54</v>
      </c>
      <c r="B4398" t="s">
        <v>115</v>
      </c>
      <c r="C4398" t="b">
        <v>0</v>
      </c>
      <c r="D4398" s="1">
        <v>42004</v>
      </c>
      <c r="E4398">
        <v>5</v>
      </c>
      <c r="F4398"/>
      <c r="G4398"/>
      <c r="H4398"/>
      <c r="I4398"/>
      <c r="J4398"/>
      <c r="K4398"/>
      <c r="L4398"/>
      <c r="M4398"/>
      <c r="N4398"/>
      <c r="O4398"/>
    </row>
    <row r="4399" spans="1:15" hidden="1" x14ac:dyDescent="0.25">
      <c r="A4399" t="s">
        <v>55</v>
      </c>
      <c r="B4399" t="s">
        <v>115</v>
      </c>
      <c r="C4399" t="b">
        <v>0</v>
      </c>
      <c r="D4399" s="1">
        <v>42004</v>
      </c>
      <c r="E4399">
        <v>5</v>
      </c>
      <c r="F4399"/>
      <c r="G4399"/>
      <c r="H4399"/>
      <c r="I4399"/>
      <c r="J4399"/>
      <c r="K4399"/>
      <c r="L4399"/>
      <c r="M4399"/>
      <c r="N4399"/>
      <c r="O4399"/>
    </row>
    <row r="4400" spans="1:15" hidden="1" x14ac:dyDescent="0.25">
      <c r="A4400" t="s">
        <v>58</v>
      </c>
      <c r="B4400" t="s">
        <v>115</v>
      </c>
      <c r="C4400" t="b">
        <v>0</v>
      </c>
      <c r="D4400" s="1">
        <v>42004</v>
      </c>
      <c r="E4400">
        <v>5</v>
      </c>
      <c r="F4400"/>
      <c r="G4400"/>
      <c r="H4400"/>
      <c r="I4400"/>
      <c r="J4400"/>
      <c r="K4400"/>
      <c r="L4400"/>
      <c r="M4400"/>
      <c r="N4400"/>
      <c r="O4400"/>
    </row>
    <row r="4401" spans="1:15" hidden="1" x14ac:dyDescent="0.25">
      <c r="A4401" t="s">
        <v>59</v>
      </c>
      <c r="B4401" t="s">
        <v>115</v>
      </c>
      <c r="C4401" t="b">
        <v>0</v>
      </c>
      <c r="D4401" s="1">
        <v>42004</v>
      </c>
      <c r="E4401">
        <v>5</v>
      </c>
      <c r="F4401"/>
      <c r="G4401"/>
      <c r="H4401"/>
      <c r="I4401"/>
      <c r="J4401"/>
      <c r="K4401"/>
      <c r="L4401"/>
      <c r="M4401"/>
      <c r="N4401"/>
      <c r="O4401"/>
    </row>
    <row r="4402" spans="1:15" hidden="1" x14ac:dyDescent="0.25">
      <c r="A4402" t="s">
        <v>68</v>
      </c>
      <c r="B4402" t="s">
        <v>115</v>
      </c>
      <c r="C4402" t="b">
        <v>0</v>
      </c>
      <c r="D4402" s="1">
        <v>42004</v>
      </c>
      <c r="E4402">
        <v>5</v>
      </c>
      <c r="F4402"/>
      <c r="G4402"/>
      <c r="H4402"/>
      <c r="I4402"/>
      <c r="J4402"/>
      <c r="K4402"/>
      <c r="L4402"/>
      <c r="M4402"/>
      <c r="N4402"/>
      <c r="O4402"/>
    </row>
    <row r="4403" spans="1:15" hidden="1" x14ac:dyDescent="0.25">
      <c r="A4403" t="s">
        <v>69</v>
      </c>
      <c r="B4403" t="s">
        <v>115</v>
      </c>
      <c r="C4403" t="b">
        <v>0</v>
      </c>
      <c r="D4403" s="1">
        <v>42004</v>
      </c>
      <c r="E4403">
        <v>0</v>
      </c>
      <c r="F4403"/>
      <c r="G4403"/>
      <c r="H4403"/>
      <c r="I4403"/>
      <c r="J4403"/>
      <c r="K4403"/>
      <c r="L4403"/>
      <c r="M4403"/>
      <c r="N4403"/>
      <c r="O4403"/>
    </row>
    <row r="4404" spans="1:15" hidden="1" x14ac:dyDescent="0.25">
      <c r="A4404" t="s">
        <v>75</v>
      </c>
      <c r="B4404" t="s">
        <v>115</v>
      </c>
      <c r="C4404" t="b">
        <v>0</v>
      </c>
      <c r="D4404" s="1">
        <v>42004</v>
      </c>
      <c r="E4404">
        <v>5</v>
      </c>
      <c r="F4404"/>
      <c r="G4404"/>
      <c r="H4404"/>
      <c r="I4404"/>
      <c r="J4404"/>
      <c r="K4404"/>
      <c r="L4404"/>
      <c r="M4404"/>
      <c r="N4404"/>
      <c r="O4404"/>
    </row>
    <row r="4405" spans="1:15" hidden="1" x14ac:dyDescent="0.25">
      <c r="A4405" t="s">
        <v>76</v>
      </c>
      <c r="B4405" t="s">
        <v>115</v>
      </c>
      <c r="C4405" t="b">
        <v>0</v>
      </c>
      <c r="D4405" s="1">
        <v>42004</v>
      </c>
      <c r="E4405">
        <v>1E-3</v>
      </c>
      <c r="F4405"/>
      <c r="G4405"/>
      <c r="H4405"/>
      <c r="I4405"/>
      <c r="J4405"/>
      <c r="K4405"/>
      <c r="L4405"/>
      <c r="M4405"/>
      <c r="N4405"/>
      <c r="O4405"/>
    </row>
    <row r="4406" spans="1:15" hidden="1" x14ac:dyDescent="0.25">
      <c r="A4406" t="s">
        <v>81</v>
      </c>
      <c r="B4406" t="s">
        <v>115</v>
      </c>
      <c r="C4406" t="b">
        <v>0</v>
      </c>
      <c r="D4406" s="1">
        <v>42004</v>
      </c>
      <c r="E4406">
        <v>5</v>
      </c>
      <c r="F4406"/>
      <c r="G4406"/>
      <c r="H4406"/>
      <c r="I4406"/>
      <c r="J4406"/>
      <c r="K4406"/>
      <c r="L4406"/>
      <c r="M4406"/>
      <c r="N4406"/>
      <c r="O4406"/>
    </row>
    <row r="4407" spans="1:15" hidden="1" x14ac:dyDescent="0.25">
      <c r="A4407" t="s">
        <v>85</v>
      </c>
      <c r="B4407" t="s">
        <v>115</v>
      </c>
      <c r="C4407" t="b">
        <v>0</v>
      </c>
      <c r="D4407" s="1">
        <v>42004</v>
      </c>
      <c r="E4407">
        <v>5</v>
      </c>
      <c r="F4407"/>
      <c r="G4407"/>
      <c r="H4407"/>
      <c r="I4407"/>
      <c r="J4407"/>
      <c r="K4407"/>
      <c r="L4407"/>
      <c r="M4407"/>
      <c r="N4407"/>
      <c r="O4407"/>
    </row>
    <row r="4408" spans="1:15" hidden="1" x14ac:dyDescent="0.25">
      <c r="A4408" t="s">
        <v>84</v>
      </c>
      <c r="B4408" t="s">
        <v>115</v>
      </c>
      <c r="C4408" t="b">
        <v>0</v>
      </c>
      <c r="D4408" s="1">
        <v>42004</v>
      </c>
      <c r="E4408">
        <v>5</v>
      </c>
      <c r="F4408"/>
      <c r="G4408"/>
      <c r="H4408"/>
      <c r="I4408"/>
      <c r="J4408"/>
      <c r="K4408"/>
      <c r="L4408"/>
      <c r="M4408"/>
      <c r="N4408"/>
      <c r="O4408"/>
    </row>
    <row r="4409" spans="1:15" hidden="1" x14ac:dyDescent="0.25">
      <c r="A4409" t="s">
        <v>86</v>
      </c>
      <c r="B4409" t="s">
        <v>115</v>
      </c>
      <c r="C4409" t="b">
        <v>0</v>
      </c>
      <c r="D4409" s="1">
        <v>42004</v>
      </c>
      <c r="E4409">
        <v>5</v>
      </c>
      <c r="F4409"/>
      <c r="G4409"/>
      <c r="H4409"/>
      <c r="I4409"/>
      <c r="J4409"/>
      <c r="K4409"/>
      <c r="L4409"/>
      <c r="M4409"/>
      <c r="N4409"/>
      <c r="O4409"/>
    </row>
    <row r="4410" spans="1:15" hidden="1" x14ac:dyDescent="0.25">
      <c r="A4410" t="s">
        <v>88</v>
      </c>
      <c r="B4410" t="s">
        <v>115</v>
      </c>
      <c r="C4410" t="b">
        <v>0</v>
      </c>
      <c r="D4410" s="1">
        <v>42004</v>
      </c>
      <c r="E4410">
        <v>5</v>
      </c>
      <c r="F4410"/>
      <c r="G4410"/>
      <c r="H4410"/>
      <c r="I4410"/>
      <c r="J4410"/>
      <c r="K4410"/>
      <c r="L4410"/>
      <c r="M4410"/>
      <c r="N4410"/>
      <c r="O4410"/>
    </row>
    <row r="4411" spans="1:15" hidden="1" x14ac:dyDescent="0.25">
      <c r="A4411" t="s">
        <v>96</v>
      </c>
      <c r="B4411" t="s">
        <v>115</v>
      </c>
      <c r="C4411" t="b">
        <v>0</v>
      </c>
      <c r="D4411" s="1">
        <v>42004</v>
      </c>
      <c r="E4411">
        <v>5</v>
      </c>
      <c r="F4411"/>
      <c r="G4411"/>
      <c r="H4411"/>
      <c r="I4411"/>
      <c r="J4411"/>
      <c r="K4411"/>
      <c r="L4411"/>
      <c r="M4411"/>
      <c r="N4411"/>
      <c r="O4411"/>
    </row>
    <row r="4412" spans="1:15" hidden="1" x14ac:dyDescent="0.25">
      <c r="A4412" t="s">
        <v>98</v>
      </c>
      <c r="B4412" t="s">
        <v>115</v>
      </c>
      <c r="C4412" t="b">
        <v>0</v>
      </c>
      <c r="D4412" s="1">
        <v>42004</v>
      </c>
      <c r="E4412">
        <v>5</v>
      </c>
      <c r="F4412"/>
      <c r="G4412"/>
      <c r="H4412"/>
      <c r="I4412"/>
      <c r="J4412"/>
      <c r="K4412"/>
      <c r="L4412"/>
      <c r="M4412"/>
      <c r="N4412"/>
      <c r="O4412"/>
    </row>
    <row r="4413" spans="1:15" hidden="1" x14ac:dyDescent="0.25">
      <c r="A4413" t="s">
        <v>97</v>
      </c>
      <c r="B4413" t="s">
        <v>115</v>
      </c>
      <c r="C4413" t="b">
        <v>0</v>
      </c>
      <c r="D4413" s="1">
        <v>42004</v>
      </c>
      <c r="E4413">
        <v>5</v>
      </c>
      <c r="F4413"/>
      <c r="G4413"/>
      <c r="H4413"/>
      <c r="I4413"/>
      <c r="J4413"/>
      <c r="K4413"/>
      <c r="L4413"/>
      <c r="M4413"/>
      <c r="N4413"/>
      <c r="O4413"/>
    </row>
    <row r="4414" spans="1:15" hidden="1" x14ac:dyDescent="0.25">
      <c r="A4414" t="s">
        <v>99</v>
      </c>
      <c r="B4414" t="s">
        <v>114</v>
      </c>
      <c r="C4414" t="b">
        <v>0</v>
      </c>
      <c r="D4414" s="1">
        <v>42004</v>
      </c>
      <c r="E4414">
        <v>17.099999999999998</v>
      </c>
      <c r="F4414"/>
      <c r="G4414"/>
      <c r="H4414"/>
      <c r="I4414"/>
      <c r="J4414"/>
      <c r="K4414"/>
      <c r="L4414"/>
      <c r="M4414"/>
      <c r="N4414"/>
      <c r="O4414"/>
    </row>
    <row r="4415" spans="1:15" hidden="1" x14ac:dyDescent="0.25">
      <c r="A4415" t="s">
        <v>100</v>
      </c>
      <c r="B4415" t="s">
        <v>117</v>
      </c>
      <c r="C4415" t="b">
        <v>0</v>
      </c>
      <c r="D4415" s="1">
        <v>42035</v>
      </c>
      <c r="E4415" s="2">
        <v>-43.96</v>
      </c>
      <c r="F4415"/>
      <c r="G4415"/>
      <c r="H4415"/>
      <c r="I4415"/>
      <c r="J4415"/>
      <c r="K4415"/>
      <c r="L4415"/>
      <c r="M4415"/>
      <c r="N4415"/>
      <c r="O4415"/>
    </row>
    <row r="4416" spans="1:15" hidden="1" x14ac:dyDescent="0.25">
      <c r="A4416" t="s">
        <v>102</v>
      </c>
      <c r="B4416" t="s">
        <v>117</v>
      </c>
      <c r="C4416" t="b">
        <v>0</v>
      </c>
      <c r="D4416" s="1">
        <v>42035</v>
      </c>
      <c r="E4416" s="2">
        <v>-41.64</v>
      </c>
      <c r="F4416"/>
      <c r="G4416"/>
      <c r="H4416"/>
      <c r="I4416"/>
      <c r="J4416"/>
      <c r="K4416"/>
      <c r="L4416"/>
      <c r="M4416"/>
      <c r="N4416"/>
      <c r="O4416"/>
    </row>
    <row r="4417" spans="1:15" hidden="1" x14ac:dyDescent="0.25">
      <c r="A4417" t="s">
        <v>103</v>
      </c>
      <c r="B4417" t="s">
        <v>117</v>
      </c>
      <c r="C4417" t="b">
        <v>0</v>
      </c>
      <c r="D4417" s="1">
        <v>42035</v>
      </c>
      <c r="E4417" s="2">
        <v>-10</v>
      </c>
      <c r="F4417"/>
      <c r="G4417"/>
      <c r="H4417"/>
      <c r="I4417"/>
      <c r="J4417"/>
      <c r="K4417"/>
      <c r="L4417"/>
      <c r="M4417"/>
      <c r="N4417"/>
      <c r="O4417"/>
    </row>
    <row r="4418" spans="1:15" hidden="1" x14ac:dyDescent="0.25">
      <c r="A4418" t="s">
        <v>43</v>
      </c>
      <c r="B4418" t="s">
        <v>115</v>
      </c>
      <c r="C4418" t="b">
        <v>0</v>
      </c>
      <c r="D4418" s="1">
        <v>42035</v>
      </c>
      <c r="E4418">
        <v>5</v>
      </c>
      <c r="F4418"/>
      <c r="G4418"/>
      <c r="H4418"/>
      <c r="I4418"/>
      <c r="J4418"/>
      <c r="K4418"/>
      <c r="L4418"/>
      <c r="M4418"/>
      <c r="N4418"/>
      <c r="O4418"/>
    </row>
    <row r="4419" spans="1:15" hidden="1" x14ac:dyDescent="0.25">
      <c r="A4419" t="s">
        <v>44</v>
      </c>
      <c r="B4419" t="s">
        <v>115</v>
      </c>
      <c r="C4419" t="b">
        <v>0</v>
      </c>
      <c r="D4419" s="1">
        <v>42035</v>
      </c>
      <c r="E4419">
        <v>5</v>
      </c>
      <c r="F4419"/>
      <c r="G4419"/>
      <c r="H4419"/>
      <c r="I4419"/>
      <c r="J4419"/>
      <c r="K4419"/>
      <c r="L4419"/>
      <c r="M4419"/>
      <c r="N4419"/>
      <c r="O4419"/>
    </row>
    <row r="4420" spans="1:15" hidden="1" x14ac:dyDescent="0.25">
      <c r="A4420" t="s">
        <v>50</v>
      </c>
      <c r="B4420" t="s">
        <v>115</v>
      </c>
      <c r="C4420" t="b">
        <v>0</v>
      </c>
      <c r="D4420" s="1">
        <v>42035</v>
      </c>
      <c r="E4420">
        <v>5</v>
      </c>
      <c r="F4420"/>
      <c r="G4420"/>
      <c r="H4420"/>
      <c r="I4420"/>
      <c r="J4420"/>
      <c r="K4420"/>
      <c r="L4420"/>
      <c r="M4420"/>
      <c r="N4420"/>
      <c r="O4420"/>
    </row>
    <row r="4421" spans="1:15" hidden="1" x14ac:dyDescent="0.25">
      <c r="A4421" t="s">
        <v>53</v>
      </c>
      <c r="B4421" t="s">
        <v>115</v>
      </c>
      <c r="C4421" t="b">
        <v>0</v>
      </c>
      <c r="D4421" s="1">
        <v>42035</v>
      </c>
      <c r="E4421">
        <v>5</v>
      </c>
      <c r="F4421"/>
      <c r="G4421"/>
      <c r="H4421"/>
      <c r="I4421"/>
      <c r="J4421"/>
      <c r="K4421"/>
      <c r="L4421"/>
      <c r="M4421"/>
      <c r="N4421"/>
      <c r="O4421"/>
    </row>
    <row r="4422" spans="1:15" hidden="1" x14ac:dyDescent="0.25">
      <c r="A4422" t="s">
        <v>54</v>
      </c>
      <c r="B4422" t="s">
        <v>115</v>
      </c>
      <c r="C4422" t="b">
        <v>0</v>
      </c>
      <c r="D4422" s="1">
        <v>42035</v>
      </c>
      <c r="E4422">
        <v>5</v>
      </c>
      <c r="F4422"/>
      <c r="G4422"/>
      <c r="H4422"/>
      <c r="I4422"/>
      <c r="J4422"/>
      <c r="K4422"/>
      <c r="L4422"/>
      <c r="M4422"/>
      <c r="N4422"/>
      <c r="O4422"/>
    </row>
    <row r="4423" spans="1:15" hidden="1" x14ac:dyDescent="0.25">
      <c r="A4423" t="s">
        <v>55</v>
      </c>
      <c r="B4423" t="s">
        <v>115</v>
      </c>
      <c r="C4423" t="b">
        <v>0</v>
      </c>
      <c r="D4423" s="1">
        <v>42035</v>
      </c>
      <c r="E4423">
        <v>5</v>
      </c>
      <c r="F4423"/>
      <c r="G4423"/>
      <c r="H4423"/>
      <c r="I4423"/>
      <c r="J4423"/>
      <c r="K4423"/>
      <c r="L4423"/>
      <c r="M4423"/>
      <c r="N4423"/>
      <c r="O4423"/>
    </row>
    <row r="4424" spans="1:15" hidden="1" x14ac:dyDescent="0.25">
      <c r="A4424" t="s">
        <v>58</v>
      </c>
      <c r="B4424" t="s">
        <v>115</v>
      </c>
      <c r="C4424" t="b">
        <v>0</v>
      </c>
      <c r="D4424" s="1">
        <v>42035</v>
      </c>
      <c r="E4424">
        <v>5</v>
      </c>
      <c r="F4424"/>
      <c r="G4424"/>
      <c r="H4424"/>
      <c r="I4424"/>
      <c r="J4424"/>
      <c r="K4424"/>
      <c r="L4424"/>
      <c r="M4424"/>
      <c r="N4424"/>
      <c r="O4424"/>
    </row>
    <row r="4425" spans="1:15" hidden="1" x14ac:dyDescent="0.25">
      <c r="A4425" t="s">
        <v>59</v>
      </c>
      <c r="B4425" t="s">
        <v>115</v>
      </c>
      <c r="C4425" t="b">
        <v>0</v>
      </c>
      <c r="D4425" s="1">
        <v>42035</v>
      </c>
      <c r="E4425">
        <v>5</v>
      </c>
      <c r="F4425"/>
      <c r="G4425"/>
      <c r="H4425"/>
      <c r="I4425"/>
      <c r="J4425"/>
      <c r="K4425"/>
      <c r="L4425"/>
      <c r="M4425"/>
      <c r="N4425"/>
      <c r="O4425"/>
    </row>
    <row r="4426" spans="1:15" hidden="1" x14ac:dyDescent="0.25">
      <c r="A4426" t="s">
        <v>68</v>
      </c>
      <c r="B4426" t="s">
        <v>115</v>
      </c>
      <c r="C4426" t="b">
        <v>0</v>
      </c>
      <c r="D4426" s="1">
        <v>42035</v>
      </c>
      <c r="E4426">
        <v>5</v>
      </c>
      <c r="F4426"/>
      <c r="G4426"/>
      <c r="H4426"/>
      <c r="I4426"/>
      <c r="J4426"/>
      <c r="K4426"/>
      <c r="L4426"/>
      <c r="M4426"/>
      <c r="N4426"/>
      <c r="O4426"/>
    </row>
    <row r="4427" spans="1:15" hidden="1" x14ac:dyDescent="0.25">
      <c r="A4427" t="s">
        <v>69</v>
      </c>
      <c r="B4427" t="s">
        <v>115</v>
      </c>
      <c r="C4427" t="b">
        <v>0</v>
      </c>
      <c r="D4427" s="1">
        <v>42035</v>
      </c>
      <c r="E4427">
        <v>5</v>
      </c>
      <c r="F4427"/>
      <c r="G4427"/>
      <c r="H4427"/>
      <c r="I4427"/>
      <c r="J4427"/>
      <c r="K4427"/>
      <c r="L4427"/>
      <c r="M4427"/>
      <c r="N4427"/>
      <c r="O4427"/>
    </row>
    <row r="4428" spans="1:15" hidden="1" x14ac:dyDescent="0.25">
      <c r="A4428" t="s">
        <v>75</v>
      </c>
      <c r="B4428" t="s">
        <v>115</v>
      </c>
      <c r="C4428" t="b">
        <v>0</v>
      </c>
      <c r="D4428" s="1">
        <v>42035</v>
      </c>
      <c r="E4428">
        <v>5</v>
      </c>
      <c r="F4428"/>
      <c r="G4428"/>
      <c r="H4428"/>
      <c r="I4428"/>
      <c r="J4428"/>
      <c r="K4428"/>
      <c r="L4428"/>
      <c r="M4428"/>
      <c r="N4428"/>
      <c r="O4428"/>
    </row>
    <row r="4429" spans="1:15" hidden="1" x14ac:dyDescent="0.25">
      <c r="A4429" t="s">
        <v>76</v>
      </c>
      <c r="B4429" t="s">
        <v>115</v>
      </c>
      <c r="C4429" t="b">
        <v>0</v>
      </c>
      <c r="D4429" s="1">
        <v>42035</v>
      </c>
      <c r="E4429">
        <v>1E-3</v>
      </c>
      <c r="F4429"/>
      <c r="G4429"/>
      <c r="H4429"/>
      <c r="I4429"/>
      <c r="J4429"/>
      <c r="K4429"/>
      <c r="L4429"/>
      <c r="M4429"/>
      <c r="N4429"/>
      <c r="O4429"/>
    </row>
    <row r="4430" spans="1:15" hidden="1" x14ac:dyDescent="0.25">
      <c r="A4430" t="s">
        <v>81</v>
      </c>
      <c r="B4430" t="s">
        <v>115</v>
      </c>
      <c r="C4430" t="b">
        <v>0</v>
      </c>
      <c r="D4430" s="1">
        <v>42035</v>
      </c>
      <c r="E4430">
        <v>5</v>
      </c>
      <c r="F4430"/>
      <c r="G4430"/>
      <c r="H4430"/>
      <c r="I4430"/>
      <c r="J4430"/>
      <c r="K4430"/>
      <c r="L4430"/>
      <c r="M4430"/>
      <c r="N4430"/>
      <c r="O4430"/>
    </row>
    <row r="4431" spans="1:15" hidden="1" x14ac:dyDescent="0.25">
      <c r="A4431" t="s">
        <v>85</v>
      </c>
      <c r="B4431" t="s">
        <v>115</v>
      </c>
      <c r="C4431" t="b">
        <v>0</v>
      </c>
      <c r="D4431" s="1">
        <v>42035</v>
      </c>
      <c r="E4431">
        <v>5</v>
      </c>
      <c r="F4431"/>
      <c r="G4431"/>
      <c r="H4431"/>
      <c r="I4431"/>
      <c r="J4431"/>
      <c r="K4431"/>
      <c r="L4431"/>
      <c r="M4431"/>
      <c r="N4431"/>
      <c r="O4431"/>
    </row>
    <row r="4432" spans="1:15" hidden="1" x14ac:dyDescent="0.25">
      <c r="A4432" t="s">
        <v>84</v>
      </c>
      <c r="B4432" t="s">
        <v>115</v>
      </c>
      <c r="C4432" t="b">
        <v>0</v>
      </c>
      <c r="D4432" s="1">
        <v>42035</v>
      </c>
      <c r="E4432">
        <v>5</v>
      </c>
      <c r="F4432"/>
      <c r="G4432"/>
      <c r="H4432"/>
      <c r="I4432"/>
      <c r="J4432"/>
      <c r="K4432"/>
      <c r="L4432"/>
      <c r="M4432"/>
      <c r="N4432"/>
      <c r="O4432"/>
    </row>
    <row r="4433" spans="1:15" hidden="1" x14ac:dyDescent="0.25">
      <c r="A4433" t="s">
        <v>86</v>
      </c>
      <c r="B4433" t="s">
        <v>115</v>
      </c>
      <c r="C4433" t="b">
        <v>0</v>
      </c>
      <c r="D4433" s="1">
        <v>42035</v>
      </c>
      <c r="E4433">
        <v>5</v>
      </c>
      <c r="F4433"/>
      <c r="G4433"/>
      <c r="H4433"/>
      <c r="I4433"/>
      <c r="J4433"/>
      <c r="K4433"/>
      <c r="L4433"/>
      <c r="M4433"/>
      <c r="N4433"/>
      <c r="O4433"/>
    </row>
    <row r="4434" spans="1:15" hidden="1" x14ac:dyDescent="0.25">
      <c r="A4434" t="s">
        <v>88</v>
      </c>
      <c r="B4434" t="s">
        <v>115</v>
      </c>
      <c r="C4434" t="b">
        <v>0</v>
      </c>
      <c r="D4434" s="1">
        <v>42035</v>
      </c>
      <c r="E4434">
        <v>5</v>
      </c>
      <c r="F4434"/>
      <c r="G4434"/>
      <c r="H4434"/>
      <c r="I4434"/>
      <c r="J4434"/>
      <c r="K4434"/>
      <c r="L4434"/>
      <c r="M4434"/>
      <c r="N4434"/>
      <c r="O4434"/>
    </row>
    <row r="4435" spans="1:15" hidden="1" x14ac:dyDescent="0.25">
      <c r="A4435" t="s">
        <v>95</v>
      </c>
      <c r="B4435" t="s">
        <v>115</v>
      </c>
      <c r="C4435" t="b">
        <v>0</v>
      </c>
      <c r="D4435" s="1">
        <v>42035</v>
      </c>
      <c r="E4435">
        <v>5</v>
      </c>
      <c r="F4435"/>
      <c r="G4435"/>
      <c r="H4435"/>
      <c r="I4435"/>
      <c r="J4435"/>
      <c r="K4435"/>
      <c r="L4435"/>
      <c r="M4435"/>
      <c r="N4435"/>
      <c r="O4435"/>
    </row>
    <row r="4436" spans="1:15" hidden="1" x14ac:dyDescent="0.25">
      <c r="A4436" t="s">
        <v>96</v>
      </c>
      <c r="B4436" t="s">
        <v>115</v>
      </c>
      <c r="C4436" t="b">
        <v>0</v>
      </c>
      <c r="D4436" s="1">
        <v>42035</v>
      </c>
      <c r="E4436">
        <v>5</v>
      </c>
      <c r="F4436"/>
      <c r="G4436"/>
      <c r="H4436"/>
      <c r="I4436"/>
      <c r="J4436"/>
      <c r="K4436"/>
      <c r="L4436"/>
      <c r="M4436"/>
      <c r="N4436"/>
      <c r="O4436"/>
    </row>
    <row r="4437" spans="1:15" hidden="1" x14ac:dyDescent="0.25">
      <c r="A4437" t="s">
        <v>98</v>
      </c>
      <c r="B4437" t="s">
        <v>115</v>
      </c>
      <c r="C4437" t="b">
        <v>0</v>
      </c>
      <c r="D4437" s="1">
        <v>42035</v>
      </c>
      <c r="E4437">
        <v>5</v>
      </c>
      <c r="F4437"/>
      <c r="G4437"/>
      <c r="H4437"/>
      <c r="I4437"/>
      <c r="J4437"/>
      <c r="K4437"/>
      <c r="L4437"/>
      <c r="M4437"/>
      <c r="N4437"/>
      <c r="O4437"/>
    </row>
    <row r="4438" spans="1:15" hidden="1" x14ac:dyDescent="0.25">
      <c r="A4438" t="s">
        <v>97</v>
      </c>
      <c r="B4438" t="s">
        <v>115</v>
      </c>
      <c r="C4438" t="b">
        <v>0</v>
      </c>
      <c r="D4438" s="1">
        <v>42035</v>
      </c>
      <c r="E4438">
        <v>5</v>
      </c>
      <c r="F4438"/>
      <c r="G4438"/>
      <c r="H4438"/>
      <c r="I4438"/>
      <c r="J4438"/>
      <c r="K4438"/>
      <c r="L4438"/>
      <c r="M4438"/>
      <c r="N4438"/>
      <c r="O4438"/>
    </row>
    <row r="4439" spans="1:15" hidden="1" x14ac:dyDescent="0.25">
      <c r="A4439" t="s">
        <v>99</v>
      </c>
      <c r="B4439" t="s">
        <v>114</v>
      </c>
      <c r="C4439" t="b">
        <v>0</v>
      </c>
      <c r="D4439" s="1">
        <v>42035</v>
      </c>
      <c r="E4439">
        <v>12.33</v>
      </c>
      <c r="F4439"/>
      <c r="G4439"/>
      <c r="H4439"/>
      <c r="I4439"/>
      <c r="J4439"/>
      <c r="K4439"/>
      <c r="L4439"/>
      <c r="M4439"/>
      <c r="N4439"/>
      <c r="O4439"/>
    </row>
    <row r="4440" spans="1:15" hidden="1" x14ac:dyDescent="0.25">
      <c r="A4440" t="s">
        <v>100</v>
      </c>
      <c r="B4440" t="s">
        <v>117</v>
      </c>
      <c r="C4440" t="b">
        <v>0</v>
      </c>
      <c r="D4440" s="1">
        <v>42063</v>
      </c>
      <c r="E4440" s="2">
        <v>-54.95</v>
      </c>
      <c r="F4440"/>
      <c r="G4440"/>
      <c r="H4440"/>
      <c r="I4440"/>
      <c r="J4440"/>
      <c r="K4440"/>
      <c r="L4440"/>
      <c r="M4440"/>
      <c r="N4440"/>
      <c r="O4440"/>
    </row>
    <row r="4441" spans="1:15" hidden="1" x14ac:dyDescent="0.25">
      <c r="A4441" t="s">
        <v>104</v>
      </c>
      <c r="B4441" t="s">
        <v>117</v>
      </c>
      <c r="C4441" t="b">
        <v>0</v>
      </c>
      <c r="D4441" s="1">
        <v>42063</v>
      </c>
      <c r="E4441" s="2">
        <v>-20</v>
      </c>
      <c r="F4441"/>
      <c r="G4441"/>
      <c r="H4441"/>
      <c r="I4441"/>
      <c r="J4441"/>
      <c r="K4441"/>
      <c r="L4441"/>
      <c r="M4441"/>
      <c r="N4441"/>
      <c r="O4441"/>
    </row>
    <row r="4442" spans="1:15" hidden="1" x14ac:dyDescent="0.25">
      <c r="A4442" t="s">
        <v>102</v>
      </c>
      <c r="B4442" t="s">
        <v>117</v>
      </c>
      <c r="C4442" t="b">
        <v>0</v>
      </c>
      <c r="D4442" s="1">
        <v>42063</v>
      </c>
      <c r="E4442" s="2">
        <v>-27.759999999999998</v>
      </c>
      <c r="F4442"/>
      <c r="G4442"/>
      <c r="H4442"/>
      <c r="I4442"/>
      <c r="J4442"/>
      <c r="K4442"/>
      <c r="L4442"/>
      <c r="M4442"/>
      <c r="N4442"/>
      <c r="O4442"/>
    </row>
    <row r="4443" spans="1:15" hidden="1" x14ac:dyDescent="0.25">
      <c r="A4443" t="s">
        <v>103</v>
      </c>
      <c r="B4443" t="s">
        <v>117</v>
      </c>
      <c r="C4443" t="b">
        <v>0</v>
      </c>
      <c r="D4443" s="1">
        <v>42063</v>
      </c>
      <c r="E4443" s="2">
        <v>-2.5</v>
      </c>
      <c r="F4443"/>
      <c r="G4443"/>
      <c r="H4443"/>
      <c r="I4443"/>
      <c r="J4443"/>
      <c r="K4443"/>
      <c r="L4443"/>
      <c r="M4443"/>
      <c r="N4443"/>
      <c r="O4443"/>
    </row>
    <row r="4444" spans="1:15" hidden="1" x14ac:dyDescent="0.25">
      <c r="A4444" t="s">
        <v>43</v>
      </c>
      <c r="B4444" t="s">
        <v>115</v>
      </c>
      <c r="C4444" t="b">
        <v>0</v>
      </c>
      <c r="D4444" s="1">
        <v>42063</v>
      </c>
      <c r="E4444">
        <v>5</v>
      </c>
      <c r="F4444"/>
      <c r="G4444"/>
      <c r="H4444"/>
      <c r="I4444"/>
      <c r="J4444"/>
      <c r="K4444"/>
      <c r="L4444"/>
      <c r="M4444"/>
      <c r="N4444"/>
      <c r="O4444"/>
    </row>
    <row r="4445" spans="1:15" hidden="1" x14ac:dyDescent="0.25">
      <c r="A4445" t="s">
        <v>50</v>
      </c>
      <c r="B4445" t="s">
        <v>115</v>
      </c>
      <c r="C4445" t="b">
        <v>0</v>
      </c>
      <c r="D4445" s="1">
        <v>42063</v>
      </c>
      <c r="E4445">
        <v>5</v>
      </c>
      <c r="F4445"/>
      <c r="G4445"/>
      <c r="H4445"/>
      <c r="I4445"/>
      <c r="J4445"/>
      <c r="K4445"/>
      <c r="L4445"/>
      <c r="M4445"/>
      <c r="N4445"/>
      <c r="O4445"/>
    </row>
    <row r="4446" spans="1:15" hidden="1" x14ac:dyDescent="0.25">
      <c r="A4446" t="s">
        <v>53</v>
      </c>
      <c r="B4446" t="s">
        <v>115</v>
      </c>
      <c r="C4446" t="b">
        <v>0</v>
      </c>
      <c r="D4446" s="1">
        <v>42063</v>
      </c>
      <c r="E4446">
        <v>5</v>
      </c>
      <c r="F4446"/>
      <c r="G4446"/>
      <c r="H4446"/>
      <c r="I4446"/>
      <c r="J4446"/>
      <c r="K4446"/>
      <c r="L4446"/>
      <c r="M4446"/>
      <c r="N4446"/>
      <c r="O4446"/>
    </row>
    <row r="4447" spans="1:15" hidden="1" x14ac:dyDescent="0.25">
      <c r="A4447" t="s">
        <v>54</v>
      </c>
      <c r="B4447" t="s">
        <v>115</v>
      </c>
      <c r="C4447" t="b">
        <v>0</v>
      </c>
      <c r="D4447" s="1">
        <v>42063</v>
      </c>
      <c r="E4447">
        <v>5</v>
      </c>
      <c r="F4447"/>
      <c r="G4447"/>
      <c r="H4447"/>
      <c r="I4447"/>
      <c r="J4447"/>
      <c r="K4447"/>
      <c r="L4447"/>
      <c r="M4447"/>
      <c r="N4447"/>
      <c r="O4447"/>
    </row>
    <row r="4448" spans="1:15" hidden="1" x14ac:dyDescent="0.25">
      <c r="A4448" t="s">
        <v>55</v>
      </c>
      <c r="B4448" t="s">
        <v>115</v>
      </c>
      <c r="C4448" t="b">
        <v>0</v>
      </c>
      <c r="D4448" s="1">
        <v>42063</v>
      </c>
      <c r="E4448">
        <v>5</v>
      </c>
      <c r="F4448"/>
      <c r="G4448"/>
      <c r="H4448"/>
      <c r="I4448"/>
      <c r="J4448"/>
      <c r="K4448"/>
      <c r="L4448"/>
      <c r="M4448"/>
      <c r="N4448"/>
      <c r="O4448"/>
    </row>
    <row r="4449" spans="1:15" hidden="1" x14ac:dyDescent="0.25">
      <c r="A4449" t="s">
        <v>58</v>
      </c>
      <c r="B4449" t="s">
        <v>115</v>
      </c>
      <c r="C4449" t="b">
        <v>0</v>
      </c>
      <c r="D4449" s="1">
        <v>42063</v>
      </c>
      <c r="E4449">
        <v>5</v>
      </c>
      <c r="F4449"/>
      <c r="G4449"/>
      <c r="H4449"/>
      <c r="I4449"/>
      <c r="J4449"/>
      <c r="K4449"/>
      <c r="L4449"/>
      <c r="M4449"/>
      <c r="N4449"/>
      <c r="O4449"/>
    </row>
    <row r="4450" spans="1:15" hidden="1" x14ac:dyDescent="0.25">
      <c r="A4450" t="s">
        <v>59</v>
      </c>
      <c r="B4450" t="s">
        <v>115</v>
      </c>
      <c r="C4450" t="b">
        <v>0</v>
      </c>
      <c r="D4450" s="1">
        <v>42063</v>
      </c>
      <c r="E4450">
        <v>5</v>
      </c>
      <c r="F4450"/>
      <c r="G4450"/>
      <c r="H4450"/>
      <c r="I4450"/>
      <c r="J4450"/>
      <c r="K4450"/>
      <c r="L4450"/>
      <c r="M4450"/>
      <c r="N4450"/>
      <c r="O4450"/>
    </row>
    <row r="4451" spans="1:15" hidden="1" x14ac:dyDescent="0.25">
      <c r="A4451" t="s">
        <v>68</v>
      </c>
      <c r="B4451" t="s">
        <v>115</v>
      </c>
      <c r="C4451" t="b">
        <v>0</v>
      </c>
      <c r="D4451" s="1">
        <v>42063</v>
      </c>
      <c r="E4451">
        <v>5</v>
      </c>
      <c r="F4451"/>
      <c r="G4451"/>
      <c r="H4451"/>
      <c r="I4451"/>
      <c r="J4451"/>
      <c r="K4451"/>
      <c r="L4451"/>
      <c r="M4451"/>
      <c r="N4451"/>
      <c r="O4451"/>
    </row>
    <row r="4452" spans="1:15" hidden="1" x14ac:dyDescent="0.25">
      <c r="A4452" t="s">
        <v>69</v>
      </c>
      <c r="B4452" t="s">
        <v>115</v>
      </c>
      <c r="C4452" t="b">
        <v>0</v>
      </c>
      <c r="D4452" s="1">
        <v>42063</v>
      </c>
      <c r="E4452">
        <v>5</v>
      </c>
      <c r="F4452"/>
      <c r="G4452"/>
      <c r="H4452"/>
      <c r="I4452"/>
      <c r="J4452"/>
      <c r="K4452"/>
      <c r="L4452"/>
      <c r="M4452"/>
      <c r="N4452"/>
      <c r="O4452"/>
    </row>
    <row r="4453" spans="1:15" hidden="1" x14ac:dyDescent="0.25">
      <c r="A4453" t="s">
        <v>75</v>
      </c>
      <c r="B4453" t="s">
        <v>115</v>
      </c>
      <c r="C4453" t="b">
        <v>0</v>
      </c>
      <c r="D4453" s="1">
        <v>42063</v>
      </c>
      <c r="E4453">
        <v>5</v>
      </c>
      <c r="F4453"/>
      <c r="G4453"/>
      <c r="H4453"/>
      <c r="I4453"/>
      <c r="J4453"/>
      <c r="K4453"/>
      <c r="L4453"/>
      <c r="M4453"/>
      <c r="N4453"/>
      <c r="O4453"/>
    </row>
    <row r="4454" spans="1:15" hidden="1" x14ac:dyDescent="0.25">
      <c r="A4454" t="s">
        <v>76</v>
      </c>
      <c r="B4454" t="s">
        <v>115</v>
      </c>
      <c r="C4454" t="b">
        <v>0</v>
      </c>
      <c r="D4454" s="1">
        <v>42063</v>
      </c>
      <c r="E4454">
        <v>1E-3</v>
      </c>
      <c r="F4454"/>
      <c r="G4454"/>
      <c r="H4454"/>
      <c r="I4454"/>
      <c r="J4454"/>
      <c r="K4454"/>
      <c r="L4454"/>
      <c r="M4454"/>
      <c r="N4454"/>
      <c r="O4454"/>
    </row>
    <row r="4455" spans="1:15" hidden="1" x14ac:dyDescent="0.25">
      <c r="A4455" t="s">
        <v>81</v>
      </c>
      <c r="B4455" t="s">
        <v>115</v>
      </c>
      <c r="C4455" t="b">
        <v>0</v>
      </c>
      <c r="D4455" s="1">
        <v>42063</v>
      </c>
      <c r="E4455">
        <v>5</v>
      </c>
      <c r="F4455"/>
      <c r="G4455"/>
      <c r="H4455"/>
      <c r="I4455"/>
      <c r="J4455"/>
      <c r="K4455"/>
      <c r="L4455"/>
      <c r="M4455"/>
      <c r="N4455"/>
      <c r="O4455"/>
    </row>
    <row r="4456" spans="1:15" hidden="1" x14ac:dyDescent="0.25">
      <c r="A4456" t="s">
        <v>85</v>
      </c>
      <c r="B4456" t="s">
        <v>115</v>
      </c>
      <c r="C4456" t="b">
        <v>0</v>
      </c>
      <c r="D4456" s="1">
        <v>42063</v>
      </c>
      <c r="E4456">
        <v>5</v>
      </c>
      <c r="F4456"/>
      <c r="G4456"/>
      <c r="H4456"/>
      <c r="I4456"/>
      <c r="J4456"/>
      <c r="K4456"/>
      <c r="L4456"/>
      <c r="M4456"/>
      <c r="N4456"/>
      <c r="O4456"/>
    </row>
    <row r="4457" spans="1:15" hidden="1" x14ac:dyDescent="0.25">
      <c r="A4457" t="s">
        <v>84</v>
      </c>
      <c r="B4457" t="s">
        <v>115</v>
      </c>
      <c r="C4457" t="b">
        <v>0</v>
      </c>
      <c r="D4457" s="1">
        <v>42063</v>
      </c>
      <c r="E4457">
        <v>5</v>
      </c>
      <c r="F4457"/>
      <c r="G4457"/>
      <c r="H4457"/>
      <c r="I4457"/>
      <c r="J4457"/>
      <c r="K4457"/>
      <c r="L4457"/>
      <c r="M4457"/>
      <c r="N4457"/>
      <c r="O4457"/>
    </row>
    <row r="4458" spans="1:15" hidden="1" x14ac:dyDescent="0.25">
      <c r="A4458" t="s">
        <v>86</v>
      </c>
      <c r="B4458" t="s">
        <v>115</v>
      </c>
      <c r="C4458" t="b">
        <v>0</v>
      </c>
      <c r="D4458" s="1">
        <v>42063</v>
      </c>
      <c r="E4458">
        <v>5</v>
      </c>
      <c r="F4458"/>
      <c r="G4458"/>
      <c r="H4458"/>
      <c r="I4458"/>
      <c r="J4458"/>
      <c r="K4458"/>
      <c r="L4458"/>
      <c r="M4458"/>
      <c r="N4458"/>
      <c r="O4458"/>
    </row>
    <row r="4459" spans="1:15" hidden="1" x14ac:dyDescent="0.25">
      <c r="A4459" t="s">
        <v>88</v>
      </c>
      <c r="B4459" t="s">
        <v>115</v>
      </c>
      <c r="C4459" t="b">
        <v>0</v>
      </c>
      <c r="D4459" s="1">
        <v>42063</v>
      </c>
      <c r="E4459">
        <v>5</v>
      </c>
      <c r="F4459"/>
      <c r="G4459"/>
      <c r="H4459"/>
      <c r="I4459"/>
      <c r="J4459"/>
      <c r="K4459"/>
      <c r="L4459"/>
      <c r="M4459"/>
      <c r="N4459"/>
      <c r="O4459"/>
    </row>
    <row r="4460" spans="1:15" hidden="1" x14ac:dyDescent="0.25">
      <c r="A4460" t="s">
        <v>94</v>
      </c>
      <c r="B4460" t="s">
        <v>115</v>
      </c>
      <c r="C4460" t="b">
        <v>0</v>
      </c>
      <c r="D4460" s="1">
        <v>42063</v>
      </c>
      <c r="E4460">
        <v>5</v>
      </c>
      <c r="F4460"/>
      <c r="G4460"/>
      <c r="H4460"/>
      <c r="I4460"/>
      <c r="J4460"/>
      <c r="K4460"/>
      <c r="L4460"/>
      <c r="M4460"/>
      <c r="N4460"/>
      <c r="O4460"/>
    </row>
    <row r="4461" spans="1:15" hidden="1" x14ac:dyDescent="0.25">
      <c r="A4461" t="s">
        <v>95</v>
      </c>
      <c r="B4461" t="s">
        <v>115</v>
      </c>
      <c r="C4461" t="b">
        <v>0</v>
      </c>
      <c r="D4461" s="1">
        <v>42063</v>
      </c>
      <c r="E4461">
        <v>5</v>
      </c>
      <c r="F4461"/>
      <c r="G4461"/>
      <c r="H4461"/>
      <c r="I4461"/>
      <c r="J4461"/>
      <c r="K4461"/>
      <c r="L4461"/>
      <c r="M4461"/>
      <c r="N4461"/>
      <c r="O4461"/>
    </row>
    <row r="4462" spans="1:15" hidden="1" x14ac:dyDescent="0.25">
      <c r="A4462" t="s">
        <v>96</v>
      </c>
      <c r="B4462" t="s">
        <v>115</v>
      </c>
      <c r="C4462" t="b">
        <v>0</v>
      </c>
      <c r="D4462" s="1">
        <v>42063</v>
      </c>
      <c r="E4462">
        <v>5</v>
      </c>
      <c r="F4462"/>
      <c r="G4462"/>
      <c r="H4462"/>
      <c r="I4462"/>
      <c r="J4462"/>
      <c r="K4462"/>
      <c r="L4462"/>
      <c r="M4462"/>
      <c r="N4462"/>
      <c r="O4462"/>
    </row>
    <row r="4463" spans="1:15" hidden="1" x14ac:dyDescent="0.25">
      <c r="A4463" t="s">
        <v>98</v>
      </c>
      <c r="B4463" t="s">
        <v>115</v>
      </c>
      <c r="C4463" t="b">
        <v>0</v>
      </c>
      <c r="D4463" s="1">
        <v>42063</v>
      </c>
      <c r="E4463">
        <v>5</v>
      </c>
      <c r="F4463"/>
      <c r="G4463"/>
      <c r="H4463"/>
      <c r="I4463"/>
      <c r="J4463"/>
      <c r="K4463"/>
      <c r="L4463"/>
      <c r="M4463"/>
      <c r="N4463"/>
      <c r="O4463"/>
    </row>
    <row r="4464" spans="1:15" hidden="1" x14ac:dyDescent="0.25">
      <c r="A4464" t="s">
        <v>97</v>
      </c>
      <c r="B4464" t="s">
        <v>115</v>
      </c>
      <c r="C4464" t="b">
        <v>0</v>
      </c>
      <c r="D4464" s="1">
        <v>42063</v>
      </c>
      <c r="E4464">
        <v>5</v>
      </c>
      <c r="F4464"/>
      <c r="G4464"/>
      <c r="H4464"/>
      <c r="I4464"/>
      <c r="J4464"/>
      <c r="K4464"/>
      <c r="L4464"/>
      <c r="M4464"/>
      <c r="N4464"/>
      <c r="O4464"/>
    </row>
    <row r="4465" spans="1:15" hidden="1" x14ac:dyDescent="0.25">
      <c r="A4465" t="s">
        <v>99</v>
      </c>
      <c r="B4465" t="s">
        <v>114</v>
      </c>
      <c r="C4465" t="b">
        <v>0</v>
      </c>
      <c r="D4465" s="1">
        <v>42063</v>
      </c>
      <c r="E4465">
        <v>21.555</v>
      </c>
      <c r="F4465"/>
      <c r="G4465"/>
      <c r="H4465"/>
      <c r="I4465"/>
      <c r="J4465"/>
      <c r="K4465"/>
      <c r="L4465"/>
      <c r="M4465"/>
      <c r="N4465"/>
      <c r="O4465"/>
    </row>
    <row r="4466" spans="1:15" hidden="1" x14ac:dyDescent="0.25">
      <c r="A4466" t="s">
        <v>100</v>
      </c>
      <c r="B4466" t="s">
        <v>117</v>
      </c>
      <c r="C4466" t="b">
        <v>0</v>
      </c>
      <c r="D4466" s="1">
        <v>42094</v>
      </c>
      <c r="E4466" s="2">
        <v>-65.94</v>
      </c>
      <c r="F4466"/>
      <c r="G4466"/>
      <c r="H4466"/>
      <c r="I4466"/>
      <c r="J4466"/>
      <c r="K4466"/>
      <c r="L4466"/>
      <c r="M4466"/>
      <c r="N4466"/>
      <c r="O4466"/>
    </row>
    <row r="4467" spans="1:15" hidden="1" x14ac:dyDescent="0.25">
      <c r="A4467" t="s">
        <v>102</v>
      </c>
      <c r="B4467" t="s">
        <v>117</v>
      </c>
      <c r="C4467" t="b">
        <v>0</v>
      </c>
      <c r="D4467" s="1">
        <v>42094</v>
      </c>
      <c r="E4467" s="2">
        <v>-35.159999999999997</v>
      </c>
      <c r="F4467"/>
      <c r="G4467"/>
      <c r="H4467"/>
      <c r="I4467"/>
      <c r="J4467"/>
      <c r="K4467"/>
      <c r="L4467"/>
      <c r="M4467"/>
      <c r="N4467"/>
      <c r="O4467"/>
    </row>
    <row r="4468" spans="1:15" hidden="1" x14ac:dyDescent="0.25">
      <c r="A4468" t="s">
        <v>103</v>
      </c>
      <c r="B4468" t="s">
        <v>117</v>
      </c>
      <c r="C4468" t="b">
        <v>0</v>
      </c>
      <c r="D4468" s="1">
        <v>42094</v>
      </c>
      <c r="E4468" s="2">
        <v>-2.5</v>
      </c>
      <c r="F4468"/>
      <c r="G4468"/>
      <c r="H4468"/>
      <c r="I4468"/>
      <c r="J4468"/>
      <c r="K4468"/>
      <c r="L4468"/>
      <c r="M4468"/>
      <c r="N4468"/>
      <c r="O4468"/>
    </row>
    <row r="4469" spans="1:15" hidden="1" x14ac:dyDescent="0.25">
      <c r="A4469" t="s">
        <v>43</v>
      </c>
      <c r="B4469" t="s">
        <v>115</v>
      </c>
      <c r="C4469" t="b">
        <v>0</v>
      </c>
      <c r="D4469" s="1">
        <v>42094</v>
      </c>
      <c r="E4469">
        <v>5</v>
      </c>
      <c r="F4469"/>
      <c r="G4469"/>
      <c r="H4469"/>
      <c r="I4469"/>
      <c r="J4469"/>
      <c r="K4469"/>
      <c r="L4469"/>
      <c r="M4469"/>
      <c r="N4469"/>
      <c r="O4469"/>
    </row>
    <row r="4470" spans="1:15" hidden="1" x14ac:dyDescent="0.25">
      <c r="A4470" t="s">
        <v>50</v>
      </c>
      <c r="B4470" t="s">
        <v>115</v>
      </c>
      <c r="C4470" t="b">
        <v>0</v>
      </c>
      <c r="D4470" s="1">
        <v>42094</v>
      </c>
      <c r="E4470">
        <v>5</v>
      </c>
      <c r="F4470"/>
      <c r="G4470"/>
      <c r="H4470"/>
      <c r="I4470"/>
      <c r="J4470"/>
      <c r="K4470"/>
      <c r="L4470"/>
      <c r="M4470"/>
      <c r="N4470"/>
      <c r="O4470"/>
    </row>
    <row r="4471" spans="1:15" hidden="1" x14ac:dyDescent="0.25">
      <c r="A4471" t="s">
        <v>53</v>
      </c>
      <c r="B4471" t="s">
        <v>115</v>
      </c>
      <c r="C4471" t="b">
        <v>0</v>
      </c>
      <c r="D4471" s="1">
        <v>42094</v>
      </c>
      <c r="E4471">
        <v>5</v>
      </c>
      <c r="F4471"/>
      <c r="G4471"/>
      <c r="H4471"/>
      <c r="I4471"/>
      <c r="J4471"/>
      <c r="K4471"/>
      <c r="L4471"/>
      <c r="M4471"/>
      <c r="N4471"/>
      <c r="O4471"/>
    </row>
    <row r="4472" spans="1:15" hidden="1" x14ac:dyDescent="0.25">
      <c r="A4472" t="s">
        <v>54</v>
      </c>
      <c r="B4472" t="s">
        <v>115</v>
      </c>
      <c r="C4472" t="b">
        <v>0</v>
      </c>
      <c r="D4472" s="1">
        <v>42094</v>
      </c>
      <c r="E4472">
        <v>5</v>
      </c>
      <c r="F4472"/>
      <c r="G4472"/>
      <c r="H4472"/>
      <c r="I4472"/>
      <c r="J4472"/>
      <c r="K4472"/>
      <c r="L4472"/>
      <c r="M4472"/>
      <c r="N4472"/>
      <c r="O4472"/>
    </row>
    <row r="4473" spans="1:15" hidden="1" x14ac:dyDescent="0.25">
      <c r="A4473" t="s">
        <v>55</v>
      </c>
      <c r="B4473" t="s">
        <v>115</v>
      </c>
      <c r="C4473" t="b">
        <v>0</v>
      </c>
      <c r="D4473" s="1">
        <v>42094</v>
      </c>
      <c r="E4473">
        <v>5</v>
      </c>
      <c r="F4473"/>
      <c r="G4473"/>
      <c r="H4473"/>
      <c r="I4473"/>
      <c r="J4473"/>
      <c r="K4473"/>
      <c r="L4473"/>
      <c r="M4473"/>
      <c r="N4473"/>
      <c r="O4473"/>
    </row>
    <row r="4474" spans="1:15" hidden="1" x14ac:dyDescent="0.25">
      <c r="A4474" t="s">
        <v>58</v>
      </c>
      <c r="B4474" t="s">
        <v>115</v>
      </c>
      <c r="C4474" t="b">
        <v>0</v>
      </c>
      <c r="D4474" s="1">
        <v>42094</v>
      </c>
      <c r="E4474">
        <v>5</v>
      </c>
      <c r="F4474"/>
      <c r="G4474"/>
      <c r="H4474"/>
      <c r="I4474"/>
      <c r="J4474"/>
      <c r="K4474"/>
      <c r="L4474"/>
      <c r="M4474"/>
      <c r="N4474"/>
      <c r="O4474"/>
    </row>
    <row r="4475" spans="1:15" hidden="1" x14ac:dyDescent="0.25">
      <c r="A4475" t="s">
        <v>59</v>
      </c>
      <c r="B4475" t="s">
        <v>115</v>
      </c>
      <c r="C4475" t="b">
        <v>0</v>
      </c>
      <c r="D4475" s="1">
        <v>42094</v>
      </c>
      <c r="E4475">
        <v>5</v>
      </c>
      <c r="F4475"/>
      <c r="G4475"/>
      <c r="H4475"/>
      <c r="I4475"/>
      <c r="J4475"/>
      <c r="K4475"/>
      <c r="L4475"/>
      <c r="M4475"/>
      <c r="N4475"/>
      <c r="O4475"/>
    </row>
    <row r="4476" spans="1:15" hidden="1" x14ac:dyDescent="0.25">
      <c r="A4476" t="s">
        <v>68</v>
      </c>
      <c r="B4476" t="s">
        <v>115</v>
      </c>
      <c r="C4476" t="b">
        <v>0</v>
      </c>
      <c r="D4476" s="1">
        <v>42094</v>
      </c>
      <c r="E4476">
        <v>5</v>
      </c>
      <c r="F4476"/>
      <c r="G4476"/>
      <c r="H4476"/>
      <c r="I4476"/>
      <c r="J4476"/>
      <c r="K4476"/>
      <c r="L4476"/>
      <c r="M4476"/>
      <c r="N4476"/>
      <c r="O4476"/>
    </row>
    <row r="4477" spans="1:15" hidden="1" x14ac:dyDescent="0.25">
      <c r="A4477" t="s">
        <v>69</v>
      </c>
      <c r="B4477" t="s">
        <v>115</v>
      </c>
      <c r="C4477" t="b">
        <v>0</v>
      </c>
      <c r="D4477" s="1">
        <v>42094</v>
      </c>
      <c r="E4477">
        <v>5</v>
      </c>
      <c r="F4477"/>
      <c r="G4477"/>
      <c r="H4477"/>
      <c r="I4477"/>
      <c r="J4477"/>
      <c r="K4477"/>
      <c r="L4477"/>
      <c r="M4477"/>
      <c r="N4477"/>
      <c r="O4477"/>
    </row>
    <row r="4478" spans="1:15" hidden="1" x14ac:dyDescent="0.25">
      <c r="A4478" t="s">
        <v>75</v>
      </c>
      <c r="B4478" t="s">
        <v>115</v>
      </c>
      <c r="C4478" t="b">
        <v>0</v>
      </c>
      <c r="D4478" s="1">
        <v>42094</v>
      </c>
      <c r="E4478">
        <v>5</v>
      </c>
      <c r="F4478"/>
      <c r="G4478"/>
      <c r="H4478"/>
      <c r="I4478"/>
      <c r="J4478"/>
      <c r="K4478"/>
      <c r="L4478"/>
      <c r="M4478"/>
      <c r="N4478"/>
      <c r="O4478"/>
    </row>
    <row r="4479" spans="1:15" hidden="1" x14ac:dyDescent="0.25">
      <c r="A4479" t="s">
        <v>76</v>
      </c>
      <c r="B4479" t="s">
        <v>115</v>
      </c>
      <c r="C4479" t="b">
        <v>0</v>
      </c>
      <c r="D4479" s="1">
        <v>42094</v>
      </c>
      <c r="E4479">
        <v>1E-3</v>
      </c>
      <c r="F4479"/>
      <c r="G4479"/>
      <c r="H4479"/>
      <c r="I4479"/>
      <c r="J4479"/>
      <c r="K4479"/>
      <c r="L4479"/>
      <c r="M4479"/>
      <c r="N4479"/>
      <c r="O4479"/>
    </row>
    <row r="4480" spans="1:15" hidden="1" x14ac:dyDescent="0.25">
      <c r="A4480" t="s">
        <v>81</v>
      </c>
      <c r="B4480" t="s">
        <v>115</v>
      </c>
      <c r="C4480" t="b">
        <v>0</v>
      </c>
      <c r="D4480" s="1">
        <v>42094</v>
      </c>
      <c r="E4480">
        <v>5</v>
      </c>
      <c r="F4480"/>
      <c r="G4480"/>
      <c r="H4480"/>
      <c r="I4480"/>
      <c r="J4480"/>
      <c r="K4480"/>
      <c r="L4480"/>
      <c r="M4480"/>
      <c r="N4480"/>
      <c r="O4480"/>
    </row>
    <row r="4481" spans="1:15" hidden="1" x14ac:dyDescent="0.25">
      <c r="A4481" t="s">
        <v>85</v>
      </c>
      <c r="B4481" t="s">
        <v>115</v>
      </c>
      <c r="C4481" t="b">
        <v>0</v>
      </c>
      <c r="D4481" s="1">
        <v>42094</v>
      </c>
      <c r="E4481">
        <v>5</v>
      </c>
      <c r="F4481"/>
      <c r="G4481"/>
      <c r="H4481"/>
      <c r="I4481"/>
      <c r="J4481"/>
      <c r="K4481"/>
      <c r="L4481"/>
      <c r="M4481"/>
      <c r="N4481"/>
      <c r="O4481"/>
    </row>
    <row r="4482" spans="1:15" hidden="1" x14ac:dyDescent="0.25">
      <c r="A4482" t="s">
        <v>84</v>
      </c>
      <c r="B4482" t="s">
        <v>115</v>
      </c>
      <c r="C4482" t="b">
        <v>0</v>
      </c>
      <c r="D4482" s="1">
        <v>42094</v>
      </c>
      <c r="E4482">
        <v>5</v>
      </c>
      <c r="F4482"/>
      <c r="G4482"/>
      <c r="H4482"/>
      <c r="I4482"/>
      <c r="J4482"/>
      <c r="K4482"/>
      <c r="L4482"/>
      <c r="M4482"/>
      <c r="N4482"/>
      <c r="O4482"/>
    </row>
    <row r="4483" spans="1:15" hidden="1" x14ac:dyDescent="0.25">
      <c r="A4483" t="s">
        <v>86</v>
      </c>
      <c r="B4483" t="s">
        <v>115</v>
      </c>
      <c r="C4483" t="b">
        <v>0</v>
      </c>
      <c r="D4483" s="1">
        <v>42094</v>
      </c>
      <c r="E4483">
        <v>5</v>
      </c>
      <c r="F4483"/>
      <c r="G4483"/>
      <c r="H4483"/>
      <c r="I4483"/>
      <c r="J4483"/>
      <c r="K4483"/>
      <c r="L4483"/>
      <c r="M4483"/>
      <c r="N4483"/>
      <c r="O4483"/>
    </row>
    <row r="4484" spans="1:15" hidden="1" x14ac:dyDescent="0.25">
      <c r="A4484" t="s">
        <v>88</v>
      </c>
      <c r="B4484" t="s">
        <v>115</v>
      </c>
      <c r="C4484" t="b">
        <v>0</v>
      </c>
      <c r="D4484" s="1">
        <v>42094</v>
      </c>
      <c r="E4484">
        <v>5</v>
      </c>
      <c r="F4484"/>
      <c r="G4484"/>
      <c r="H4484"/>
      <c r="I4484"/>
      <c r="J4484"/>
      <c r="K4484"/>
      <c r="L4484"/>
      <c r="M4484"/>
      <c r="N4484"/>
      <c r="O4484"/>
    </row>
    <row r="4485" spans="1:15" hidden="1" x14ac:dyDescent="0.25">
      <c r="A4485" t="s">
        <v>94</v>
      </c>
      <c r="B4485" t="s">
        <v>115</v>
      </c>
      <c r="C4485" t="b">
        <v>0</v>
      </c>
      <c r="D4485" s="1">
        <v>42094</v>
      </c>
      <c r="E4485">
        <v>5</v>
      </c>
      <c r="F4485"/>
      <c r="G4485"/>
      <c r="H4485"/>
      <c r="I4485"/>
      <c r="J4485"/>
      <c r="K4485"/>
      <c r="L4485"/>
      <c r="M4485"/>
      <c r="N4485"/>
      <c r="O4485"/>
    </row>
    <row r="4486" spans="1:15" hidden="1" x14ac:dyDescent="0.25">
      <c r="A4486" t="s">
        <v>96</v>
      </c>
      <c r="B4486" t="s">
        <v>115</v>
      </c>
      <c r="C4486" t="b">
        <v>0</v>
      </c>
      <c r="D4486" s="1">
        <v>42094</v>
      </c>
      <c r="E4486">
        <v>5</v>
      </c>
      <c r="F4486"/>
      <c r="G4486"/>
      <c r="H4486"/>
      <c r="I4486"/>
      <c r="J4486"/>
      <c r="K4486"/>
      <c r="L4486"/>
      <c r="M4486"/>
      <c r="N4486"/>
      <c r="O4486"/>
    </row>
    <row r="4487" spans="1:15" hidden="1" x14ac:dyDescent="0.25">
      <c r="A4487" t="s">
        <v>98</v>
      </c>
      <c r="B4487" t="s">
        <v>115</v>
      </c>
      <c r="C4487" t="b">
        <v>0</v>
      </c>
      <c r="D4487" s="1">
        <v>42094</v>
      </c>
      <c r="E4487">
        <v>5</v>
      </c>
      <c r="F4487"/>
      <c r="G4487"/>
      <c r="H4487"/>
      <c r="I4487"/>
      <c r="J4487"/>
      <c r="K4487"/>
      <c r="L4487"/>
      <c r="M4487"/>
      <c r="N4487"/>
      <c r="O4487"/>
    </row>
    <row r="4488" spans="1:15" hidden="1" x14ac:dyDescent="0.25">
      <c r="A4488" t="s">
        <v>97</v>
      </c>
      <c r="B4488" t="s">
        <v>115</v>
      </c>
      <c r="C4488" t="b">
        <v>0</v>
      </c>
      <c r="D4488" s="1">
        <v>42094</v>
      </c>
      <c r="E4488">
        <v>5</v>
      </c>
      <c r="F4488"/>
      <c r="G4488"/>
      <c r="H4488"/>
      <c r="I4488"/>
      <c r="J4488"/>
      <c r="K4488"/>
      <c r="L4488"/>
      <c r="M4488"/>
      <c r="N4488"/>
      <c r="O4488"/>
    </row>
    <row r="4489" spans="1:15" hidden="1" x14ac:dyDescent="0.25">
      <c r="A4489" t="s">
        <v>99</v>
      </c>
      <c r="B4489" t="s">
        <v>114</v>
      </c>
      <c r="C4489" t="b">
        <v>0</v>
      </c>
      <c r="D4489" s="1">
        <v>42094</v>
      </c>
      <c r="E4489">
        <v>8.25</v>
      </c>
      <c r="F4489"/>
      <c r="G4489"/>
      <c r="H4489"/>
      <c r="I4489"/>
      <c r="J4489"/>
      <c r="K4489"/>
      <c r="L4489"/>
      <c r="M4489"/>
      <c r="N4489"/>
      <c r="O4489"/>
    </row>
    <row r="4490" spans="1:15" hidden="1" x14ac:dyDescent="0.25">
      <c r="A4490" t="s">
        <v>100</v>
      </c>
      <c r="B4490" t="s">
        <v>117</v>
      </c>
      <c r="C4490" t="b">
        <v>0</v>
      </c>
      <c r="D4490" s="1">
        <v>42124</v>
      </c>
      <c r="E4490" s="2">
        <v>-65.94</v>
      </c>
      <c r="F4490"/>
      <c r="G4490"/>
      <c r="H4490"/>
      <c r="I4490"/>
      <c r="J4490"/>
      <c r="K4490"/>
      <c r="L4490"/>
      <c r="M4490"/>
      <c r="N4490"/>
      <c r="O4490"/>
    </row>
    <row r="4491" spans="1:15" hidden="1" x14ac:dyDescent="0.25">
      <c r="A4491" t="s">
        <v>104</v>
      </c>
      <c r="B4491" t="s">
        <v>117</v>
      </c>
      <c r="C4491" t="b">
        <v>0</v>
      </c>
      <c r="D4491" s="1">
        <v>42124</v>
      </c>
      <c r="E4491" s="2">
        <v>-6.83</v>
      </c>
      <c r="F4491"/>
      <c r="G4491"/>
      <c r="H4491"/>
      <c r="I4491"/>
      <c r="J4491"/>
      <c r="K4491"/>
      <c r="L4491"/>
      <c r="M4491"/>
      <c r="N4491"/>
      <c r="O4491"/>
    </row>
    <row r="4492" spans="1:15" hidden="1" x14ac:dyDescent="0.25">
      <c r="A4492" t="s">
        <v>102</v>
      </c>
      <c r="B4492" t="s">
        <v>117</v>
      </c>
      <c r="C4492" t="b">
        <v>0</v>
      </c>
      <c r="D4492" s="1">
        <v>42124</v>
      </c>
      <c r="E4492" s="2">
        <v>-45.15</v>
      </c>
      <c r="F4492"/>
      <c r="G4492"/>
      <c r="H4492"/>
      <c r="I4492"/>
      <c r="J4492"/>
      <c r="K4492"/>
      <c r="L4492"/>
      <c r="M4492"/>
      <c r="N4492"/>
      <c r="O4492"/>
    </row>
    <row r="4493" spans="1:15" hidden="1" x14ac:dyDescent="0.25">
      <c r="A4493" t="s">
        <v>103</v>
      </c>
      <c r="B4493" t="s">
        <v>117</v>
      </c>
      <c r="C4493" t="b">
        <v>0</v>
      </c>
      <c r="D4493" s="1">
        <v>42124</v>
      </c>
      <c r="E4493" s="2">
        <v>-2.5</v>
      </c>
      <c r="F4493"/>
      <c r="G4493"/>
      <c r="H4493"/>
      <c r="I4493"/>
      <c r="J4493"/>
      <c r="K4493"/>
      <c r="L4493"/>
      <c r="M4493"/>
      <c r="N4493"/>
      <c r="O4493"/>
    </row>
    <row r="4494" spans="1:15" hidden="1" x14ac:dyDescent="0.25">
      <c r="A4494" t="s">
        <v>43</v>
      </c>
      <c r="B4494" t="s">
        <v>115</v>
      </c>
      <c r="C4494" t="b">
        <v>0</v>
      </c>
      <c r="D4494" s="1">
        <v>42124</v>
      </c>
      <c r="E4494">
        <v>5</v>
      </c>
      <c r="F4494"/>
      <c r="G4494"/>
      <c r="H4494"/>
      <c r="I4494"/>
      <c r="J4494"/>
      <c r="K4494"/>
      <c r="L4494"/>
      <c r="M4494"/>
      <c r="N4494"/>
      <c r="O4494"/>
    </row>
    <row r="4495" spans="1:15" hidden="1" x14ac:dyDescent="0.25">
      <c r="A4495" t="s">
        <v>50</v>
      </c>
      <c r="B4495" t="s">
        <v>115</v>
      </c>
      <c r="C4495" t="b">
        <v>0</v>
      </c>
      <c r="D4495" s="1">
        <v>42124</v>
      </c>
      <c r="E4495">
        <v>5</v>
      </c>
      <c r="F4495"/>
      <c r="G4495"/>
      <c r="H4495"/>
      <c r="I4495"/>
      <c r="J4495"/>
      <c r="K4495"/>
      <c r="L4495"/>
      <c r="M4495"/>
      <c r="N4495"/>
      <c r="O4495"/>
    </row>
    <row r="4496" spans="1:15" hidden="1" x14ac:dyDescent="0.25">
      <c r="A4496" t="s">
        <v>53</v>
      </c>
      <c r="B4496" t="s">
        <v>115</v>
      </c>
      <c r="C4496" t="b">
        <v>0</v>
      </c>
      <c r="D4496" s="1">
        <v>42124</v>
      </c>
      <c r="E4496">
        <v>5</v>
      </c>
      <c r="F4496"/>
      <c r="G4496"/>
      <c r="H4496"/>
      <c r="I4496"/>
      <c r="J4496"/>
      <c r="K4496"/>
      <c r="L4496"/>
      <c r="M4496"/>
      <c r="N4496"/>
      <c r="O4496"/>
    </row>
    <row r="4497" spans="1:15" hidden="1" x14ac:dyDescent="0.25">
      <c r="A4497" t="s">
        <v>54</v>
      </c>
      <c r="B4497" t="s">
        <v>115</v>
      </c>
      <c r="C4497" t="b">
        <v>0</v>
      </c>
      <c r="D4497" s="1">
        <v>42124</v>
      </c>
      <c r="E4497">
        <v>5</v>
      </c>
      <c r="F4497"/>
      <c r="G4497"/>
      <c r="H4497"/>
      <c r="I4497"/>
      <c r="J4497"/>
      <c r="K4497"/>
      <c r="L4497"/>
      <c r="M4497"/>
      <c r="N4497"/>
      <c r="O4497"/>
    </row>
    <row r="4498" spans="1:15" hidden="1" x14ac:dyDescent="0.25">
      <c r="A4498" t="s">
        <v>55</v>
      </c>
      <c r="B4498" t="s">
        <v>115</v>
      </c>
      <c r="C4498" t="b">
        <v>0</v>
      </c>
      <c r="D4498" s="1">
        <v>42124</v>
      </c>
      <c r="E4498">
        <v>5</v>
      </c>
      <c r="F4498"/>
      <c r="G4498"/>
      <c r="H4498"/>
      <c r="I4498"/>
      <c r="J4498"/>
      <c r="K4498"/>
      <c r="L4498"/>
      <c r="M4498"/>
      <c r="N4498"/>
      <c r="O4498"/>
    </row>
    <row r="4499" spans="1:15" hidden="1" x14ac:dyDescent="0.25">
      <c r="A4499" t="s">
        <v>58</v>
      </c>
      <c r="B4499" t="s">
        <v>115</v>
      </c>
      <c r="C4499" t="b">
        <v>0</v>
      </c>
      <c r="D4499" s="1">
        <v>42124</v>
      </c>
      <c r="E4499">
        <v>5</v>
      </c>
      <c r="F4499"/>
      <c r="G4499"/>
      <c r="H4499"/>
      <c r="I4499"/>
      <c r="J4499"/>
      <c r="K4499"/>
      <c r="L4499"/>
      <c r="M4499"/>
      <c r="N4499"/>
      <c r="O4499"/>
    </row>
    <row r="4500" spans="1:15" hidden="1" x14ac:dyDescent="0.25">
      <c r="A4500" t="s">
        <v>59</v>
      </c>
      <c r="B4500" t="s">
        <v>115</v>
      </c>
      <c r="C4500" t="b">
        <v>0</v>
      </c>
      <c r="D4500" s="1">
        <v>42124</v>
      </c>
      <c r="E4500">
        <v>5</v>
      </c>
      <c r="F4500"/>
      <c r="G4500"/>
      <c r="H4500"/>
      <c r="I4500"/>
      <c r="J4500"/>
      <c r="K4500"/>
      <c r="L4500"/>
      <c r="M4500"/>
      <c r="N4500"/>
      <c r="O4500"/>
    </row>
    <row r="4501" spans="1:15" hidden="1" x14ac:dyDescent="0.25">
      <c r="A4501" t="s">
        <v>68</v>
      </c>
      <c r="B4501" t="s">
        <v>115</v>
      </c>
      <c r="C4501" t="b">
        <v>0</v>
      </c>
      <c r="D4501" s="1">
        <v>42124</v>
      </c>
      <c r="E4501">
        <v>5</v>
      </c>
      <c r="F4501"/>
      <c r="G4501"/>
      <c r="H4501"/>
      <c r="I4501"/>
      <c r="J4501"/>
      <c r="K4501"/>
      <c r="L4501"/>
      <c r="M4501"/>
      <c r="N4501"/>
      <c r="O4501"/>
    </row>
    <row r="4502" spans="1:15" hidden="1" x14ac:dyDescent="0.25">
      <c r="A4502" t="s">
        <v>69</v>
      </c>
      <c r="B4502" t="s">
        <v>115</v>
      </c>
      <c r="C4502" t="b">
        <v>0</v>
      </c>
      <c r="D4502" s="1">
        <v>42124</v>
      </c>
      <c r="E4502">
        <v>5</v>
      </c>
      <c r="F4502"/>
      <c r="G4502"/>
      <c r="H4502"/>
      <c r="I4502"/>
      <c r="J4502"/>
      <c r="K4502"/>
      <c r="L4502"/>
      <c r="M4502"/>
      <c r="N4502"/>
      <c r="O4502"/>
    </row>
    <row r="4503" spans="1:15" hidden="1" x14ac:dyDescent="0.25">
      <c r="A4503" t="s">
        <v>75</v>
      </c>
      <c r="B4503" t="s">
        <v>115</v>
      </c>
      <c r="C4503" t="b">
        <v>0</v>
      </c>
      <c r="D4503" s="1">
        <v>42124</v>
      </c>
      <c r="E4503">
        <v>5</v>
      </c>
      <c r="F4503"/>
      <c r="G4503"/>
      <c r="H4503"/>
      <c r="I4503"/>
      <c r="J4503"/>
      <c r="K4503"/>
      <c r="L4503"/>
      <c r="M4503"/>
      <c r="N4503"/>
      <c r="O4503"/>
    </row>
    <row r="4504" spans="1:15" hidden="1" x14ac:dyDescent="0.25">
      <c r="A4504" t="s">
        <v>76</v>
      </c>
      <c r="B4504" t="s">
        <v>115</v>
      </c>
      <c r="C4504" t="b">
        <v>0</v>
      </c>
      <c r="D4504" s="1">
        <v>42124</v>
      </c>
      <c r="E4504">
        <v>1E-3</v>
      </c>
      <c r="F4504"/>
      <c r="G4504"/>
      <c r="H4504"/>
      <c r="I4504"/>
      <c r="J4504"/>
      <c r="K4504"/>
      <c r="L4504"/>
      <c r="M4504"/>
      <c r="N4504"/>
      <c r="O4504"/>
    </row>
    <row r="4505" spans="1:15" hidden="1" x14ac:dyDescent="0.25">
      <c r="A4505" t="s">
        <v>81</v>
      </c>
      <c r="B4505" t="s">
        <v>115</v>
      </c>
      <c r="C4505" t="b">
        <v>0</v>
      </c>
      <c r="D4505" s="1">
        <v>42124</v>
      </c>
      <c r="E4505">
        <v>5</v>
      </c>
      <c r="F4505"/>
      <c r="G4505"/>
      <c r="H4505"/>
      <c r="I4505"/>
      <c r="J4505"/>
      <c r="K4505"/>
      <c r="L4505"/>
      <c r="M4505"/>
      <c r="N4505"/>
      <c r="O4505"/>
    </row>
    <row r="4506" spans="1:15" hidden="1" x14ac:dyDescent="0.25">
      <c r="A4506" t="s">
        <v>85</v>
      </c>
      <c r="B4506" t="s">
        <v>115</v>
      </c>
      <c r="C4506" t="b">
        <v>0</v>
      </c>
      <c r="D4506" s="1">
        <v>42124</v>
      </c>
      <c r="E4506">
        <v>5</v>
      </c>
      <c r="F4506"/>
      <c r="G4506"/>
      <c r="H4506"/>
      <c r="I4506"/>
      <c r="J4506"/>
      <c r="K4506"/>
      <c r="L4506"/>
      <c r="M4506"/>
      <c r="N4506"/>
      <c r="O4506"/>
    </row>
    <row r="4507" spans="1:15" hidden="1" x14ac:dyDescent="0.25">
      <c r="A4507" t="s">
        <v>82</v>
      </c>
      <c r="B4507" t="s">
        <v>115</v>
      </c>
      <c r="C4507" t="b">
        <v>0</v>
      </c>
      <c r="D4507" s="1">
        <v>42124</v>
      </c>
      <c r="E4507">
        <v>5</v>
      </c>
      <c r="F4507"/>
      <c r="G4507"/>
      <c r="H4507"/>
      <c r="I4507"/>
      <c r="J4507"/>
      <c r="K4507"/>
      <c r="L4507"/>
      <c r="M4507"/>
      <c r="N4507"/>
      <c r="O4507"/>
    </row>
    <row r="4508" spans="1:15" hidden="1" x14ac:dyDescent="0.25">
      <c r="A4508" t="s">
        <v>84</v>
      </c>
      <c r="B4508" t="s">
        <v>115</v>
      </c>
      <c r="C4508" t="b">
        <v>0</v>
      </c>
      <c r="D4508" s="1">
        <v>42124</v>
      </c>
      <c r="E4508">
        <v>5</v>
      </c>
      <c r="F4508"/>
      <c r="G4508"/>
      <c r="H4508"/>
      <c r="I4508"/>
      <c r="J4508"/>
      <c r="K4508"/>
      <c r="L4508"/>
      <c r="M4508"/>
      <c r="N4508"/>
      <c r="O4508"/>
    </row>
    <row r="4509" spans="1:15" hidden="1" x14ac:dyDescent="0.25">
      <c r="A4509" t="s">
        <v>86</v>
      </c>
      <c r="B4509" t="s">
        <v>115</v>
      </c>
      <c r="C4509" t="b">
        <v>0</v>
      </c>
      <c r="D4509" s="1">
        <v>42124</v>
      </c>
      <c r="E4509">
        <v>5</v>
      </c>
      <c r="F4509"/>
      <c r="G4509"/>
      <c r="H4509"/>
      <c r="I4509"/>
      <c r="J4509"/>
      <c r="K4509"/>
      <c r="L4509"/>
      <c r="M4509"/>
      <c r="N4509"/>
      <c r="O4509"/>
    </row>
    <row r="4510" spans="1:15" hidden="1" x14ac:dyDescent="0.25">
      <c r="A4510" t="s">
        <v>88</v>
      </c>
      <c r="B4510" t="s">
        <v>115</v>
      </c>
      <c r="C4510" t="b">
        <v>0</v>
      </c>
      <c r="D4510" s="1">
        <v>42124</v>
      </c>
      <c r="E4510">
        <v>5</v>
      </c>
      <c r="F4510"/>
      <c r="G4510"/>
      <c r="H4510"/>
      <c r="I4510"/>
      <c r="J4510"/>
      <c r="K4510"/>
      <c r="L4510"/>
      <c r="M4510"/>
      <c r="N4510"/>
      <c r="O4510"/>
    </row>
    <row r="4511" spans="1:15" hidden="1" x14ac:dyDescent="0.25">
      <c r="A4511" t="s">
        <v>94</v>
      </c>
      <c r="B4511" t="s">
        <v>115</v>
      </c>
      <c r="C4511" t="b">
        <v>0</v>
      </c>
      <c r="D4511" s="1">
        <v>42124</v>
      </c>
      <c r="E4511">
        <v>5</v>
      </c>
      <c r="F4511"/>
      <c r="G4511"/>
      <c r="H4511"/>
      <c r="I4511"/>
      <c r="J4511"/>
      <c r="K4511"/>
      <c r="L4511"/>
      <c r="M4511"/>
      <c r="N4511"/>
      <c r="O4511"/>
    </row>
    <row r="4512" spans="1:15" hidden="1" x14ac:dyDescent="0.25">
      <c r="A4512" t="s">
        <v>96</v>
      </c>
      <c r="B4512" t="s">
        <v>115</v>
      </c>
      <c r="C4512" t="b">
        <v>0</v>
      </c>
      <c r="D4512" s="1">
        <v>42124</v>
      </c>
      <c r="E4512">
        <v>5</v>
      </c>
      <c r="F4512"/>
      <c r="G4512"/>
      <c r="H4512"/>
      <c r="I4512"/>
      <c r="J4512"/>
      <c r="K4512"/>
      <c r="L4512"/>
      <c r="M4512"/>
      <c r="N4512"/>
      <c r="O4512"/>
    </row>
    <row r="4513" spans="1:15" hidden="1" x14ac:dyDescent="0.25">
      <c r="A4513" t="s">
        <v>98</v>
      </c>
      <c r="B4513" t="s">
        <v>115</v>
      </c>
      <c r="C4513" t="b">
        <v>0</v>
      </c>
      <c r="D4513" s="1">
        <v>42124</v>
      </c>
      <c r="E4513">
        <v>5</v>
      </c>
      <c r="F4513"/>
      <c r="G4513"/>
      <c r="H4513"/>
      <c r="I4513"/>
      <c r="J4513"/>
      <c r="K4513"/>
      <c r="L4513"/>
      <c r="M4513"/>
      <c r="N4513"/>
      <c r="O4513"/>
    </row>
    <row r="4514" spans="1:15" hidden="1" x14ac:dyDescent="0.25">
      <c r="A4514" t="s">
        <v>97</v>
      </c>
      <c r="B4514" t="s">
        <v>115</v>
      </c>
      <c r="C4514" t="b">
        <v>0</v>
      </c>
      <c r="D4514" s="1">
        <v>42124</v>
      </c>
      <c r="E4514">
        <v>5</v>
      </c>
      <c r="F4514"/>
      <c r="G4514"/>
      <c r="H4514"/>
      <c r="I4514"/>
      <c r="J4514"/>
      <c r="K4514"/>
      <c r="L4514"/>
      <c r="M4514"/>
      <c r="N4514"/>
      <c r="O4514"/>
    </row>
    <row r="4515" spans="1:15" hidden="1" x14ac:dyDescent="0.25">
      <c r="A4515" t="s">
        <v>99</v>
      </c>
      <c r="B4515" t="s">
        <v>114</v>
      </c>
      <c r="C4515" t="b">
        <v>0</v>
      </c>
      <c r="D4515" s="1">
        <v>42124</v>
      </c>
      <c r="E4515">
        <v>36.33</v>
      </c>
      <c r="F4515"/>
      <c r="G4515"/>
      <c r="H4515"/>
      <c r="I4515"/>
      <c r="J4515"/>
      <c r="K4515"/>
      <c r="L4515"/>
      <c r="M4515"/>
      <c r="N4515"/>
      <c r="O4515"/>
    </row>
    <row r="4516" spans="1:15" hidden="1" x14ac:dyDescent="0.25">
      <c r="A4516" t="s">
        <v>100</v>
      </c>
      <c r="B4516" t="s">
        <v>117</v>
      </c>
      <c r="C4516" t="b">
        <v>0</v>
      </c>
      <c r="D4516" s="1">
        <v>42155</v>
      </c>
      <c r="E4516" s="2">
        <v>-65.94</v>
      </c>
      <c r="F4516"/>
      <c r="G4516"/>
      <c r="H4516"/>
      <c r="I4516"/>
      <c r="J4516"/>
      <c r="K4516"/>
      <c r="L4516"/>
      <c r="M4516"/>
      <c r="N4516"/>
      <c r="O4516"/>
    </row>
    <row r="4517" spans="1:15" hidden="1" x14ac:dyDescent="0.25">
      <c r="A4517" t="s">
        <v>102</v>
      </c>
      <c r="B4517" t="s">
        <v>117</v>
      </c>
      <c r="C4517" t="b">
        <v>0</v>
      </c>
      <c r="D4517" s="1">
        <v>42155</v>
      </c>
      <c r="E4517" s="2">
        <v>-32.26</v>
      </c>
      <c r="F4517"/>
      <c r="G4517"/>
      <c r="H4517"/>
      <c r="I4517"/>
      <c r="J4517"/>
      <c r="K4517"/>
      <c r="L4517"/>
      <c r="M4517"/>
      <c r="N4517"/>
      <c r="O4517"/>
    </row>
    <row r="4518" spans="1:15" hidden="1" x14ac:dyDescent="0.25">
      <c r="A4518" t="s">
        <v>103</v>
      </c>
      <c r="B4518" t="s">
        <v>117</v>
      </c>
      <c r="C4518" t="b">
        <v>0</v>
      </c>
      <c r="D4518" s="1">
        <v>42155</v>
      </c>
      <c r="E4518" s="2">
        <v>-2.5</v>
      </c>
      <c r="F4518"/>
      <c r="G4518"/>
      <c r="H4518"/>
      <c r="I4518"/>
      <c r="J4518"/>
      <c r="K4518"/>
      <c r="L4518"/>
      <c r="M4518"/>
      <c r="N4518"/>
      <c r="O4518"/>
    </row>
    <row r="4519" spans="1:15" hidden="1" x14ac:dyDescent="0.25">
      <c r="A4519" t="s">
        <v>101</v>
      </c>
      <c r="B4519" t="s">
        <v>117</v>
      </c>
      <c r="C4519" t="b">
        <v>0</v>
      </c>
      <c r="D4519" s="1">
        <v>42155</v>
      </c>
      <c r="E4519" s="2">
        <v>-9.33</v>
      </c>
      <c r="F4519"/>
      <c r="G4519"/>
      <c r="H4519"/>
      <c r="I4519"/>
      <c r="J4519"/>
      <c r="K4519"/>
      <c r="L4519"/>
      <c r="M4519"/>
      <c r="N4519"/>
      <c r="O4519"/>
    </row>
    <row r="4520" spans="1:15" hidden="1" x14ac:dyDescent="0.25">
      <c r="A4520" t="s">
        <v>47</v>
      </c>
      <c r="B4520" t="s">
        <v>115</v>
      </c>
      <c r="C4520" t="b">
        <v>0</v>
      </c>
      <c r="D4520" s="1">
        <v>42155</v>
      </c>
      <c r="E4520">
        <v>5</v>
      </c>
      <c r="F4520"/>
      <c r="G4520"/>
      <c r="H4520"/>
      <c r="I4520"/>
      <c r="J4520"/>
      <c r="K4520"/>
      <c r="L4520"/>
      <c r="M4520"/>
      <c r="N4520"/>
      <c r="O4520"/>
    </row>
    <row r="4521" spans="1:15" hidden="1" x14ac:dyDescent="0.25">
      <c r="A4521" t="s">
        <v>43</v>
      </c>
      <c r="B4521" t="s">
        <v>115</v>
      </c>
      <c r="C4521" t="b">
        <v>0</v>
      </c>
      <c r="D4521" s="1">
        <v>42155</v>
      </c>
      <c r="E4521">
        <v>5</v>
      </c>
      <c r="F4521"/>
      <c r="G4521"/>
      <c r="H4521"/>
      <c r="I4521"/>
      <c r="J4521"/>
      <c r="K4521"/>
      <c r="L4521"/>
      <c r="M4521"/>
      <c r="N4521"/>
      <c r="O4521"/>
    </row>
    <row r="4522" spans="1:15" hidden="1" x14ac:dyDescent="0.25">
      <c r="A4522" t="s">
        <v>50</v>
      </c>
      <c r="B4522" t="s">
        <v>115</v>
      </c>
      <c r="C4522" t="b">
        <v>0</v>
      </c>
      <c r="D4522" s="1">
        <v>42155</v>
      </c>
      <c r="E4522">
        <v>5</v>
      </c>
      <c r="F4522"/>
      <c r="G4522"/>
      <c r="H4522"/>
      <c r="I4522"/>
      <c r="J4522"/>
      <c r="K4522"/>
      <c r="L4522"/>
      <c r="M4522"/>
      <c r="N4522"/>
      <c r="O4522"/>
    </row>
    <row r="4523" spans="1:15" hidden="1" x14ac:dyDescent="0.25">
      <c r="A4523" t="s">
        <v>53</v>
      </c>
      <c r="B4523" t="s">
        <v>115</v>
      </c>
      <c r="C4523" t="b">
        <v>0</v>
      </c>
      <c r="D4523" s="1">
        <v>42155</v>
      </c>
      <c r="E4523">
        <v>5</v>
      </c>
      <c r="F4523"/>
      <c r="G4523"/>
      <c r="H4523"/>
      <c r="I4523"/>
      <c r="J4523"/>
      <c r="K4523"/>
      <c r="L4523"/>
      <c r="M4523"/>
      <c r="N4523"/>
      <c r="O4523"/>
    </row>
    <row r="4524" spans="1:15" hidden="1" x14ac:dyDescent="0.25">
      <c r="A4524" t="s">
        <v>54</v>
      </c>
      <c r="B4524" t="s">
        <v>115</v>
      </c>
      <c r="C4524" t="b">
        <v>0</v>
      </c>
      <c r="D4524" s="1">
        <v>42155</v>
      </c>
      <c r="E4524">
        <v>5</v>
      </c>
      <c r="F4524"/>
      <c r="G4524"/>
      <c r="H4524"/>
      <c r="I4524"/>
      <c r="J4524"/>
      <c r="K4524"/>
      <c r="L4524"/>
      <c r="M4524"/>
      <c r="N4524"/>
      <c r="O4524"/>
    </row>
    <row r="4525" spans="1:15" hidden="1" x14ac:dyDescent="0.25">
      <c r="A4525" t="s">
        <v>55</v>
      </c>
      <c r="B4525" t="s">
        <v>115</v>
      </c>
      <c r="C4525" t="b">
        <v>0</v>
      </c>
      <c r="D4525" s="1">
        <v>42155</v>
      </c>
      <c r="E4525">
        <v>5</v>
      </c>
      <c r="F4525"/>
      <c r="G4525"/>
      <c r="H4525"/>
      <c r="I4525"/>
      <c r="J4525"/>
      <c r="K4525"/>
      <c r="L4525"/>
      <c r="M4525"/>
      <c r="N4525"/>
      <c r="O4525"/>
    </row>
    <row r="4526" spans="1:15" hidden="1" x14ac:dyDescent="0.25">
      <c r="A4526" t="s">
        <v>58</v>
      </c>
      <c r="B4526" t="s">
        <v>115</v>
      </c>
      <c r="C4526" t="b">
        <v>0</v>
      </c>
      <c r="D4526" s="1">
        <v>42155</v>
      </c>
      <c r="E4526">
        <v>5</v>
      </c>
      <c r="F4526"/>
      <c r="G4526"/>
      <c r="H4526"/>
      <c r="I4526"/>
      <c r="J4526"/>
      <c r="K4526"/>
      <c r="L4526"/>
      <c r="M4526"/>
      <c r="N4526"/>
      <c r="O4526"/>
    </row>
    <row r="4527" spans="1:15" hidden="1" x14ac:dyDescent="0.25">
      <c r="A4527" t="s">
        <v>59</v>
      </c>
      <c r="B4527" t="s">
        <v>115</v>
      </c>
      <c r="C4527" t="b">
        <v>0</v>
      </c>
      <c r="D4527" s="1">
        <v>42155</v>
      </c>
      <c r="E4527">
        <v>5</v>
      </c>
      <c r="F4527"/>
      <c r="G4527"/>
      <c r="H4527"/>
      <c r="I4527"/>
      <c r="J4527"/>
      <c r="K4527"/>
      <c r="L4527"/>
      <c r="M4527"/>
      <c r="N4527"/>
      <c r="O4527"/>
    </row>
    <row r="4528" spans="1:15" hidden="1" x14ac:dyDescent="0.25">
      <c r="A4528" t="s">
        <v>68</v>
      </c>
      <c r="B4528" t="s">
        <v>115</v>
      </c>
      <c r="C4528" t="b">
        <v>0</v>
      </c>
      <c r="D4528" s="1">
        <v>42155</v>
      </c>
      <c r="E4528">
        <v>5</v>
      </c>
      <c r="F4528"/>
      <c r="G4528"/>
      <c r="H4528"/>
      <c r="I4528"/>
      <c r="J4528"/>
      <c r="K4528"/>
      <c r="L4528"/>
      <c r="M4528"/>
      <c r="N4528"/>
      <c r="O4528"/>
    </row>
    <row r="4529" spans="1:15" hidden="1" x14ac:dyDescent="0.25">
      <c r="A4529" t="s">
        <v>69</v>
      </c>
      <c r="B4529" t="s">
        <v>115</v>
      </c>
      <c r="C4529" t="b">
        <v>0</v>
      </c>
      <c r="D4529" s="1">
        <v>42155</v>
      </c>
      <c r="E4529">
        <v>5</v>
      </c>
      <c r="F4529"/>
      <c r="G4529"/>
      <c r="H4529"/>
      <c r="I4529"/>
      <c r="J4529"/>
      <c r="K4529"/>
      <c r="L4529"/>
      <c r="M4529"/>
      <c r="N4529"/>
      <c r="O4529"/>
    </row>
    <row r="4530" spans="1:15" hidden="1" x14ac:dyDescent="0.25">
      <c r="A4530" t="s">
        <v>75</v>
      </c>
      <c r="B4530" t="s">
        <v>115</v>
      </c>
      <c r="C4530" t="b">
        <v>0</v>
      </c>
      <c r="D4530" s="1">
        <v>42155</v>
      </c>
      <c r="E4530">
        <v>5</v>
      </c>
      <c r="F4530"/>
      <c r="G4530"/>
      <c r="H4530"/>
      <c r="I4530"/>
      <c r="J4530"/>
      <c r="K4530"/>
      <c r="L4530"/>
      <c r="M4530"/>
      <c r="N4530"/>
      <c r="O4530"/>
    </row>
    <row r="4531" spans="1:15" hidden="1" x14ac:dyDescent="0.25">
      <c r="A4531" t="s">
        <v>76</v>
      </c>
      <c r="B4531" t="s">
        <v>115</v>
      </c>
      <c r="C4531" t="b">
        <v>0</v>
      </c>
      <c r="D4531" s="1">
        <v>42155</v>
      </c>
      <c r="E4531">
        <v>1E-3</v>
      </c>
      <c r="F4531"/>
      <c r="G4531"/>
      <c r="H4531"/>
      <c r="I4531"/>
      <c r="J4531"/>
      <c r="K4531"/>
      <c r="L4531"/>
      <c r="M4531"/>
      <c r="N4531"/>
      <c r="O4531"/>
    </row>
    <row r="4532" spans="1:15" hidden="1" x14ac:dyDescent="0.25">
      <c r="A4532" t="s">
        <v>81</v>
      </c>
      <c r="B4532" t="s">
        <v>115</v>
      </c>
      <c r="C4532" t="b">
        <v>0</v>
      </c>
      <c r="D4532" s="1">
        <v>42155</v>
      </c>
      <c r="E4532">
        <v>5</v>
      </c>
      <c r="F4532"/>
      <c r="G4532"/>
      <c r="H4532"/>
      <c r="I4532"/>
      <c r="J4532"/>
      <c r="K4532"/>
      <c r="L4532"/>
      <c r="M4532"/>
      <c r="N4532"/>
      <c r="O4532"/>
    </row>
    <row r="4533" spans="1:15" hidden="1" x14ac:dyDescent="0.25">
      <c r="A4533" t="s">
        <v>85</v>
      </c>
      <c r="B4533" t="s">
        <v>115</v>
      </c>
      <c r="C4533" t="b">
        <v>0</v>
      </c>
      <c r="D4533" s="1">
        <v>42155</v>
      </c>
      <c r="E4533">
        <v>5</v>
      </c>
      <c r="F4533"/>
      <c r="G4533"/>
      <c r="H4533"/>
      <c r="I4533"/>
      <c r="J4533"/>
      <c r="K4533"/>
      <c r="L4533"/>
      <c r="M4533"/>
      <c r="N4533"/>
      <c r="O4533"/>
    </row>
    <row r="4534" spans="1:15" hidden="1" x14ac:dyDescent="0.25">
      <c r="A4534" t="s">
        <v>82</v>
      </c>
      <c r="B4534" t="s">
        <v>115</v>
      </c>
      <c r="C4534" t="b">
        <v>0</v>
      </c>
      <c r="D4534" s="1">
        <v>42155</v>
      </c>
      <c r="E4534">
        <v>5</v>
      </c>
      <c r="F4534"/>
      <c r="G4534"/>
      <c r="H4534"/>
      <c r="I4534"/>
      <c r="J4534"/>
      <c r="K4534"/>
      <c r="L4534"/>
      <c r="M4534"/>
      <c r="N4534"/>
      <c r="O4534"/>
    </row>
    <row r="4535" spans="1:15" hidden="1" x14ac:dyDescent="0.25">
      <c r="A4535" t="s">
        <v>84</v>
      </c>
      <c r="B4535" t="s">
        <v>115</v>
      </c>
      <c r="C4535" t="b">
        <v>0</v>
      </c>
      <c r="D4535" s="1">
        <v>42155</v>
      </c>
      <c r="E4535">
        <v>5</v>
      </c>
      <c r="F4535"/>
      <c r="G4535"/>
      <c r="H4535"/>
      <c r="I4535"/>
      <c r="J4535"/>
      <c r="K4535"/>
      <c r="L4535"/>
      <c r="M4535"/>
      <c r="N4535"/>
      <c r="O4535"/>
    </row>
    <row r="4536" spans="1:15" hidden="1" x14ac:dyDescent="0.25">
      <c r="A4536" t="s">
        <v>86</v>
      </c>
      <c r="B4536" t="s">
        <v>115</v>
      </c>
      <c r="C4536" t="b">
        <v>0</v>
      </c>
      <c r="D4536" s="1">
        <v>42155</v>
      </c>
      <c r="E4536">
        <v>5</v>
      </c>
      <c r="F4536"/>
      <c r="G4536"/>
      <c r="H4536"/>
      <c r="I4536"/>
      <c r="J4536"/>
      <c r="K4536"/>
      <c r="L4536"/>
      <c r="M4536"/>
      <c r="N4536"/>
      <c r="O4536"/>
    </row>
    <row r="4537" spans="1:15" hidden="1" x14ac:dyDescent="0.25">
      <c r="A4537" t="s">
        <v>88</v>
      </c>
      <c r="B4537" t="s">
        <v>115</v>
      </c>
      <c r="C4537" t="b">
        <v>0</v>
      </c>
      <c r="D4537" s="1">
        <v>42155</v>
      </c>
      <c r="E4537">
        <v>5</v>
      </c>
      <c r="F4537"/>
      <c r="G4537"/>
      <c r="H4537"/>
      <c r="I4537"/>
      <c r="J4537"/>
      <c r="K4537"/>
      <c r="L4537"/>
      <c r="M4537"/>
      <c r="N4537"/>
      <c r="O4537"/>
    </row>
    <row r="4538" spans="1:15" hidden="1" x14ac:dyDescent="0.25">
      <c r="A4538" t="s">
        <v>94</v>
      </c>
      <c r="B4538" t="s">
        <v>115</v>
      </c>
      <c r="C4538" t="b">
        <v>0</v>
      </c>
      <c r="D4538" s="1">
        <v>42155</v>
      </c>
      <c r="E4538">
        <v>5</v>
      </c>
      <c r="F4538"/>
      <c r="G4538"/>
      <c r="H4538"/>
      <c r="I4538"/>
      <c r="J4538"/>
      <c r="K4538"/>
      <c r="L4538"/>
      <c r="M4538"/>
      <c r="N4538"/>
      <c r="O4538"/>
    </row>
    <row r="4539" spans="1:15" hidden="1" x14ac:dyDescent="0.25">
      <c r="A4539" t="s">
        <v>96</v>
      </c>
      <c r="B4539" t="s">
        <v>115</v>
      </c>
      <c r="C4539" t="b">
        <v>0</v>
      </c>
      <c r="D4539" s="1">
        <v>42155</v>
      </c>
      <c r="E4539">
        <v>5</v>
      </c>
      <c r="F4539"/>
      <c r="G4539"/>
      <c r="H4539"/>
      <c r="I4539"/>
      <c r="J4539"/>
      <c r="K4539"/>
      <c r="L4539"/>
      <c r="M4539"/>
      <c r="N4539"/>
      <c r="O4539"/>
    </row>
    <row r="4540" spans="1:15" hidden="1" x14ac:dyDescent="0.25">
      <c r="A4540" t="s">
        <v>98</v>
      </c>
      <c r="B4540" t="s">
        <v>115</v>
      </c>
      <c r="C4540" t="b">
        <v>0</v>
      </c>
      <c r="D4540" s="1">
        <v>42155</v>
      </c>
      <c r="E4540">
        <v>5</v>
      </c>
      <c r="F4540"/>
      <c r="G4540"/>
      <c r="H4540"/>
      <c r="I4540"/>
      <c r="J4540"/>
      <c r="K4540"/>
      <c r="L4540"/>
      <c r="M4540"/>
      <c r="N4540"/>
      <c r="O4540"/>
    </row>
    <row r="4541" spans="1:15" hidden="1" x14ac:dyDescent="0.25">
      <c r="A4541" t="s">
        <v>97</v>
      </c>
      <c r="B4541" t="s">
        <v>115</v>
      </c>
      <c r="C4541" t="b">
        <v>0</v>
      </c>
      <c r="D4541" s="1">
        <v>42155</v>
      </c>
      <c r="E4541">
        <v>5</v>
      </c>
      <c r="F4541"/>
      <c r="G4541"/>
      <c r="H4541"/>
      <c r="I4541"/>
      <c r="J4541"/>
      <c r="K4541"/>
      <c r="L4541"/>
      <c r="M4541"/>
      <c r="N4541"/>
      <c r="O4541"/>
    </row>
    <row r="4542" spans="1:15" hidden="1" x14ac:dyDescent="0.25">
      <c r="A4542" t="s">
        <v>99</v>
      </c>
      <c r="B4542" t="s">
        <v>114</v>
      </c>
      <c r="C4542" t="b">
        <v>0</v>
      </c>
      <c r="D4542" s="1">
        <v>42155</v>
      </c>
      <c r="E4542">
        <v>34.78</v>
      </c>
      <c r="F4542"/>
      <c r="G4542"/>
      <c r="H4542"/>
      <c r="I4542"/>
      <c r="J4542"/>
      <c r="K4542"/>
      <c r="L4542"/>
      <c r="M4542"/>
      <c r="N4542"/>
      <c r="O4542"/>
    </row>
    <row r="4543" spans="1:15" hidden="1" x14ac:dyDescent="0.25">
      <c r="A4543" t="s">
        <v>100</v>
      </c>
      <c r="B4543" t="s">
        <v>117</v>
      </c>
      <c r="C4543" t="b">
        <v>0</v>
      </c>
      <c r="D4543" s="1">
        <v>42185</v>
      </c>
      <c r="E4543" s="2">
        <v>-65.94</v>
      </c>
      <c r="F4543"/>
      <c r="G4543"/>
      <c r="H4543"/>
      <c r="I4543"/>
      <c r="J4543"/>
      <c r="K4543"/>
      <c r="L4543"/>
      <c r="M4543"/>
      <c r="N4543"/>
      <c r="O4543"/>
    </row>
    <row r="4544" spans="1:15" hidden="1" x14ac:dyDescent="0.25">
      <c r="A4544" t="s">
        <v>104</v>
      </c>
      <c r="B4544" t="s">
        <v>117</v>
      </c>
      <c r="C4544" t="b">
        <v>0</v>
      </c>
      <c r="D4544" s="1">
        <v>42185</v>
      </c>
      <c r="E4544" s="2">
        <v>-5.88</v>
      </c>
      <c r="F4544"/>
      <c r="G4544"/>
      <c r="H4544"/>
      <c r="I4544"/>
      <c r="J4544"/>
      <c r="K4544"/>
      <c r="L4544"/>
      <c r="M4544"/>
      <c r="N4544"/>
      <c r="O4544"/>
    </row>
    <row r="4545" spans="1:15" hidden="1" x14ac:dyDescent="0.25">
      <c r="A4545" t="s">
        <v>102</v>
      </c>
      <c r="B4545" t="s">
        <v>117</v>
      </c>
      <c r="C4545" t="b">
        <v>0</v>
      </c>
      <c r="D4545" s="1">
        <v>42185</v>
      </c>
      <c r="E4545" s="2">
        <v>-42.480000000000004</v>
      </c>
      <c r="F4545"/>
      <c r="G4545"/>
      <c r="H4545"/>
      <c r="I4545"/>
      <c r="J4545"/>
      <c r="K4545"/>
      <c r="L4545"/>
      <c r="M4545"/>
      <c r="N4545"/>
      <c r="O4545"/>
    </row>
    <row r="4546" spans="1:15" hidden="1" x14ac:dyDescent="0.25">
      <c r="A4546" t="s">
        <v>103</v>
      </c>
      <c r="B4546" t="s">
        <v>117</v>
      </c>
      <c r="C4546" t="b">
        <v>0</v>
      </c>
      <c r="D4546" s="1">
        <v>42185</v>
      </c>
      <c r="E4546" s="2">
        <v>-12.494999999999999</v>
      </c>
      <c r="F4546"/>
      <c r="G4546"/>
      <c r="H4546"/>
      <c r="I4546"/>
      <c r="J4546"/>
      <c r="K4546"/>
      <c r="L4546"/>
      <c r="M4546"/>
      <c r="N4546"/>
      <c r="O4546"/>
    </row>
    <row r="4547" spans="1:15" hidden="1" x14ac:dyDescent="0.25">
      <c r="A4547" t="s">
        <v>47</v>
      </c>
      <c r="B4547" t="s">
        <v>115</v>
      </c>
      <c r="C4547" t="b">
        <v>0</v>
      </c>
      <c r="D4547" s="1">
        <v>42185</v>
      </c>
      <c r="E4547">
        <v>5</v>
      </c>
      <c r="F4547"/>
      <c r="G4547"/>
      <c r="H4547"/>
      <c r="I4547"/>
      <c r="J4547"/>
      <c r="K4547"/>
      <c r="L4547"/>
      <c r="M4547"/>
      <c r="N4547"/>
      <c r="O4547"/>
    </row>
    <row r="4548" spans="1:15" hidden="1" x14ac:dyDescent="0.25">
      <c r="A4548" t="s">
        <v>43</v>
      </c>
      <c r="B4548" t="s">
        <v>115</v>
      </c>
      <c r="C4548" t="b">
        <v>0</v>
      </c>
      <c r="D4548" s="1">
        <v>42185</v>
      </c>
      <c r="E4548">
        <v>5</v>
      </c>
      <c r="F4548"/>
      <c r="G4548"/>
      <c r="H4548"/>
      <c r="I4548"/>
      <c r="J4548"/>
      <c r="K4548"/>
      <c r="L4548"/>
      <c r="M4548"/>
      <c r="N4548"/>
      <c r="O4548"/>
    </row>
    <row r="4549" spans="1:15" hidden="1" x14ac:dyDescent="0.25">
      <c r="A4549" t="s">
        <v>50</v>
      </c>
      <c r="B4549" t="s">
        <v>115</v>
      </c>
      <c r="C4549" t="b">
        <v>0</v>
      </c>
      <c r="D4549" s="1">
        <v>42185</v>
      </c>
      <c r="E4549">
        <v>5</v>
      </c>
      <c r="F4549"/>
      <c r="G4549"/>
      <c r="H4549"/>
      <c r="I4549"/>
      <c r="J4549"/>
      <c r="K4549"/>
      <c r="L4549"/>
      <c r="M4549"/>
      <c r="N4549"/>
      <c r="O4549"/>
    </row>
    <row r="4550" spans="1:15" hidden="1" x14ac:dyDescent="0.25">
      <c r="A4550" t="s">
        <v>53</v>
      </c>
      <c r="B4550" t="s">
        <v>115</v>
      </c>
      <c r="C4550" t="b">
        <v>0</v>
      </c>
      <c r="D4550" s="1">
        <v>42185</v>
      </c>
      <c r="E4550">
        <v>5</v>
      </c>
      <c r="F4550"/>
      <c r="G4550"/>
      <c r="H4550"/>
      <c r="I4550"/>
      <c r="J4550"/>
      <c r="K4550"/>
      <c r="L4550"/>
      <c r="M4550"/>
      <c r="N4550"/>
      <c r="O4550"/>
    </row>
    <row r="4551" spans="1:15" hidden="1" x14ac:dyDescent="0.25">
      <c r="A4551" t="s">
        <v>54</v>
      </c>
      <c r="B4551" t="s">
        <v>115</v>
      </c>
      <c r="C4551" t="b">
        <v>0</v>
      </c>
      <c r="D4551" s="1">
        <v>42185</v>
      </c>
      <c r="E4551">
        <v>5</v>
      </c>
      <c r="F4551"/>
      <c r="G4551"/>
      <c r="H4551"/>
      <c r="I4551"/>
      <c r="J4551"/>
      <c r="K4551"/>
      <c r="L4551"/>
      <c r="M4551"/>
      <c r="N4551"/>
      <c r="O4551"/>
    </row>
    <row r="4552" spans="1:15" hidden="1" x14ac:dyDescent="0.25">
      <c r="A4552" t="s">
        <v>55</v>
      </c>
      <c r="B4552" t="s">
        <v>115</v>
      </c>
      <c r="C4552" t="b">
        <v>0</v>
      </c>
      <c r="D4552" s="1">
        <v>42185</v>
      </c>
      <c r="E4552">
        <v>5</v>
      </c>
      <c r="F4552"/>
      <c r="G4552"/>
      <c r="H4552"/>
      <c r="I4552"/>
      <c r="J4552"/>
      <c r="K4552"/>
      <c r="L4552"/>
      <c r="M4552"/>
      <c r="N4552"/>
      <c r="O4552"/>
    </row>
    <row r="4553" spans="1:15" hidden="1" x14ac:dyDescent="0.25">
      <c r="A4553" t="s">
        <v>58</v>
      </c>
      <c r="B4553" t="s">
        <v>115</v>
      </c>
      <c r="C4553" t="b">
        <v>0</v>
      </c>
      <c r="D4553" s="1">
        <v>42185</v>
      </c>
      <c r="E4553">
        <v>5</v>
      </c>
      <c r="F4553"/>
      <c r="G4553"/>
      <c r="H4553"/>
      <c r="I4553"/>
      <c r="J4553"/>
      <c r="K4553"/>
      <c r="L4553"/>
      <c r="M4553"/>
      <c r="N4553"/>
      <c r="O4553"/>
    </row>
    <row r="4554" spans="1:15" hidden="1" x14ac:dyDescent="0.25">
      <c r="A4554" t="s">
        <v>68</v>
      </c>
      <c r="B4554" t="s">
        <v>115</v>
      </c>
      <c r="C4554" t="b">
        <v>0</v>
      </c>
      <c r="D4554" s="1">
        <v>42185</v>
      </c>
      <c r="E4554">
        <v>5</v>
      </c>
      <c r="F4554"/>
      <c r="G4554"/>
      <c r="H4554"/>
      <c r="I4554"/>
      <c r="J4554"/>
      <c r="K4554"/>
      <c r="L4554"/>
      <c r="M4554"/>
      <c r="N4554"/>
      <c r="O4554"/>
    </row>
    <row r="4555" spans="1:15" hidden="1" x14ac:dyDescent="0.25">
      <c r="A4555" t="s">
        <v>69</v>
      </c>
      <c r="B4555" t="s">
        <v>115</v>
      </c>
      <c r="C4555" t="b">
        <v>0</v>
      </c>
      <c r="D4555" s="1">
        <v>42185</v>
      </c>
      <c r="E4555">
        <v>0</v>
      </c>
      <c r="F4555"/>
      <c r="G4555"/>
      <c r="H4555"/>
      <c r="I4555"/>
      <c r="J4555"/>
      <c r="K4555"/>
      <c r="L4555"/>
      <c r="M4555"/>
      <c r="N4555"/>
      <c r="O4555"/>
    </row>
    <row r="4556" spans="1:15" hidden="1" x14ac:dyDescent="0.25">
      <c r="A4556" t="s">
        <v>75</v>
      </c>
      <c r="B4556" t="s">
        <v>115</v>
      </c>
      <c r="C4556" t="b">
        <v>0</v>
      </c>
      <c r="D4556" s="1">
        <v>42185</v>
      </c>
      <c r="E4556">
        <v>5</v>
      </c>
      <c r="F4556"/>
      <c r="G4556"/>
      <c r="H4556"/>
      <c r="I4556"/>
      <c r="J4556"/>
      <c r="K4556"/>
      <c r="L4556"/>
      <c r="M4556"/>
      <c r="N4556"/>
      <c r="O4556"/>
    </row>
    <row r="4557" spans="1:15" hidden="1" x14ac:dyDescent="0.25">
      <c r="A4557" t="s">
        <v>76</v>
      </c>
      <c r="B4557" t="s">
        <v>115</v>
      </c>
      <c r="C4557" t="b">
        <v>0</v>
      </c>
      <c r="D4557" s="1">
        <v>42185</v>
      </c>
      <c r="E4557">
        <v>1E-3</v>
      </c>
      <c r="F4557"/>
      <c r="G4557"/>
      <c r="H4557"/>
      <c r="I4557"/>
      <c r="J4557"/>
      <c r="K4557"/>
      <c r="L4557"/>
      <c r="M4557"/>
      <c r="N4557"/>
      <c r="O4557"/>
    </row>
    <row r="4558" spans="1:15" hidden="1" x14ac:dyDescent="0.25">
      <c r="A4558" t="s">
        <v>81</v>
      </c>
      <c r="B4558" t="s">
        <v>115</v>
      </c>
      <c r="C4558" t="b">
        <v>0</v>
      </c>
      <c r="D4558" s="1">
        <v>42185</v>
      </c>
      <c r="E4558">
        <v>5</v>
      </c>
      <c r="F4558"/>
      <c r="G4558"/>
      <c r="H4558"/>
      <c r="I4558"/>
      <c r="J4558"/>
      <c r="K4558"/>
      <c r="L4558"/>
      <c r="M4558"/>
      <c r="N4558"/>
      <c r="O4558"/>
    </row>
    <row r="4559" spans="1:15" hidden="1" x14ac:dyDescent="0.25">
      <c r="A4559" t="s">
        <v>85</v>
      </c>
      <c r="B4559" t="s">
        <v>115</v>
      </c>
      <c r="C4559" t="b">
        <v>0</v>
      </c>
      <c r="D4559" s="1">
        <v>42185</v>
      </c>
      <c r="E4559">
        <v>5</v>
      </c>
      <c r="F4559"/>
      <c r="G4559"/>
      <c r="H4559"/>
      <c r="I4559"/>
      <c r="J4559"/>
      <c r="K4559"/>
      <c r="L4559"/>
      <c r="M4559"/>
      <c r="N4559"/>
      <c r="O4559"/>
    </row>
    <row r="4560" spans="1:15" hidden="1" x14ac:dyDescent="0.25">
      <c r="A4560" t="s">
        <v>82</v>
      </c>
      <c r="B4560" t="s">
        <v>115</v>
      </c>
      <c r="C4560" t="b">
        <v>0</v>
      </c>
      <c r="D4560" s="1">
        <v>42185</v>
      </c>
      <c r="E4560">
        <v>5</v>
      </c>
      <c r="F4560"/>
      <c r="G4560"/>
      <c r="H4560"/>
      <c r="I4560"/>
      <c r="J4560"/>
      <c r="K4560"/>
      <c r="L4560"/>
      <c r="M4560"/>
      <c r="N4560"/>
      <c r="O4560"/>
    </row>
    <row r="4561" spans="1:15" hidden="1" x14ac:dyDescent="0.25">
      <c r="A4561" t="s">
        <v>84</v>
      </c>
      <c r="B4561" t="s">
        <v>115</v>
      </c>
      <c r="C4561" t="b">
        <v>0</v>
      </c>
      <c r="D4561" s="1">
        <v>42185</v>
      </c>
      <c r="E4561">
        <v>5</v>
      </c>
      <c r="F4561"/>
      <c r="G4561"/>
      <c r="H4561"/>
      <c r="I4561"/>
      <c r="J4561"/>
      <c r="K4561"/>
      <c r="L4561"/>
      <c r="M4561"/>
      <c r="N4561"/>
      <c r="O4561"/>
    </row>
    <row r="4562" spans="1:15" hidden="1" x14ac:dyDescent="0.25">
      <c r="A4562" t="s">
        <v>86</v>
      </c>
      <c r="B4562" t="s">
        <v>115</v>
      </c>
      <c r="C4562" t="b">
        <v>0</v>
      </c>
      <c r="D4562" s="1">
        <v>42185</v>
      </c>
      <c r="E4562">
        <v>5</v>
      </c>
      <c r="F4562"/>
      <c r="G4562"/>
      <c r="H4562"/>
      <c r="I4562"/>
      <c r="J4562"/>
      <c r="K4562"/>
      <c r="L4562"/>
      <c r="M4562"/>
      <c r="N4562"/>
      <c r="O4562"/>
    </row>
    <row r="4563" spans="1:15" hidden="1" x14ac:dyDescent="0.25">
      <c r="A4563" t="s">
        <v>88</v>
      </c>
      <c r="B4563" t="s">
        <v>115</v>
      </c>
      <c r="C4563" t="b">
        <v>0</v>
      </c>
      <c r="D4563" s="1">
        <v>42185</v>
      </c>
      <c r="E4563">
        <v>5</v>
      </c>
      <c r="F4563"/>
      <c r="G4563"/>
      <c r="H4563"/>
      <c r="I4563"/>
      <c r="J4563"/>
      <c r="K4563"/>
      <c r="L4563"/>
      <c r="M4563"/>
      <c r="N4563"/>
      <c r="O4563"/>
    </row>
    <row r="4564" spans="1:15" hidden="1" x14ac:dyDescent="0.25">
      <c r="A4564" t="s">
        <v>94</v>
      </c>
      <c r="B4564" t="s">
        <v>115</v>
      </c>
      <c r="C4564" t="b">
        <v>0</v>
      </c>
      <c r="D4564" s="1">
        <v>42185</v>
      </c>
      <c r="E4564">
        <v>5</v>
      </c>
      <c r="F4564"/>
      <c r="G4564"/>
      <c r="H4564"/>
      <c r="I4564"/>
      <c r="J4564"/>
      <c r="K4564"/>
      <c r="L4564"/>
      <c r="M4564"/>
      <c r="N4564"/>
      <c r="O4564"/>
    </row>
    <row r="4565" spans="1:15" hidden="1" x14ac:dyDescent="0.25">
      <c r="A4565" t="s">
        <v>96</v>
      </c>
      <c r="B4565" t="s">
        <v>115</v>
      </c>
      <c r="C4565" t="b">
        <v>0</v>
      </c>
      <c r="D4565" s="1">
        <v>42185</v>
      </c>
      <c r="E4565">
        <v>5</v>
      </c>
      <c r="F4565"/>
      <c r="G4565"/>
      <c r="H4565"/>
      <c r="I4565"/>
      <c r="J4565"/>
      <c r="K4565"/>
      <c r="L4565"/>
      <c r="M4565"/>
      <c r="N4565"/>
      <c r="O4565"/>
    </row>
    <row r="4566" spans="1:15" hidden="1" x14ac:dyDescent="0.25">
      <c r="A4566" t="s">
        <v>98</v>
      </c>
      <c r="B4566" t="s">
        <v>115</v>
      </c>
      <c r="C4566" t="b">
        <v>0</v>
      </c>
      <c r="D4566" s="1">
        <v>42185</v>
      </c>
      <c r="E4566">
        <v>5</v>
      </c>
      <c r="F4566"/>
      <c r="G4566"/>
      <c r="H4566"/>
      <c r="I4566"/>
      <c r="J4566"/>
      <c r="K4566"/>
      <c r="L4566"/>
      <c r="M4566"/>
      <c r="N4566"/>
      <c r="O4566"/>
    </row>
    <row r="4567" spans="1:15" hidden="1" x14ac:dyDescent="0.25">
      <c r="A4567" t="s">
        <v>97</v>
      </c>
      <c r="B4567" t="s">
        <v>115</v>
      </c>
      <c r="C4567" t="b">
        <v>0</v>
      </c>
      <c r="D4567" s="1">
        <v>42185</v>
      </c>
      <c r="E4567">
        <v>5</v>
      </c>
      <c r="F4567"/>
      <c r="G4567"/>
      <c r="H4567"/>
      <c r="I4567"/>
      <c r="J4567"/>
      <c r="K4567"/>
      <c r="L4567"/>
      <c r="M4567"/>
      <c r="N4567"/>
      <c r="O4567"/>
    </row>
    <row r="4568" spans="1:15" hidden="1" x14ac:dyDescent="0.25">
      <c r="A4568" t="s">
        <v>99</v>
      </c>
      <c r="B4568" t="s">
        <v>114</v>
      </c>
      <c r="C4568" t="b">
        <v>0</v>
      </c>
      <c r="D4568" s="1">
        <v>42185</v>
      </c>
      <c r="E4568">
        <v>29.95</v>
      </c>
      <c r="F4568"/>
      <c r="G4568"/>
      <c r="H4568"/>
      <c r="I4568"/>
      <c r="J4568"/>
      <c r="K4568"/>
      <c r="L4568"/>
      <c r="M4568"/>
      <c r="N4568"/>
      <c r="O4568"/>
    </row>
    <row r="4569" spans="1:15" hidden="1" x14ac:dyDescent="0.25">
      <c r="A4569" t="s">
        <v>100</v>
      </c>
      <c r="B4569" t="s">
        <v>117</v>
      </c>
      <c r="C4569" t="b">
        <v>0</v>
      </c>
      <c r="D4569" s="1">
        <v>42216</v>
      </c>
      <c r="E4569" s="2">
        <v>-65.94</v>
      </c>
      <c r="F4569"/>
      <c r="G4569"/>
      <c r="H4569"/>
      <c r="I4569"/>
      <c r="J4569"/>
      <c r="K4569"/>
      <c r="L4569"/>
      <c r="M4569"/>
      <c r="N4569"/>
      <c r="O4569"/>
    </row>
    <row r="4570" spans="1:15" hidden="1" x14ac:dyDescent="0.25">
      <c r="A4570" t="s">
        <v>104</v>
      </c>
      <c r="B4570" t="s">
        <v>117</v>
      </c>
      <c r="C4570" t="b">
        <v>0</v>
      </c>
      <c r="D4570" s="1">
        <v>42216</v>
      </c>
      <c r="E4570" s="2">
        <v>-5.88</v>
      </c>
      <c r="F4570"/>
      <c r="G4570"/>
      <c r="H4570"/>
      <c r="I4570"/>
      <c r="J4570"/>
      <c r="K4570"/>
      <c r="L4570"/>
      <c r="M4570"/>
      <c r="N4570"/>
      <c r="O4570"/>
    </row>
    <row r="4571" spans="1:15" hidden="1" x14ac:dyDescent="0.25">
      <c r="A4571" t="s">
        <v>102</v>
      </c>
      <c r="B4571" t="s">
        <v>117</v>
      </c>
      <c r="C4571" t="b">
        <v>0</v>
      </c>
      <c r="D4571" s="1">
        <v>42216</v>
      </c>
      <c r="E4571" s="2">
        <v>-41.489999999999995</v>
      </c>
      <c r="F4571"/>
      <c r="G4571"/>
      <c r="H4571"/>
      <c r="I4571"/>
      <c r="J4571"/>
      <c r="K4571"/>
      <c r="L4571"/>
      <c r="M4571"/>
      <c r="N4571"/>
      <c r="O4571"/>
    </row>
    <row r="4572" spans="1:15" hidden="1" x14ac:dyDescent="0.25">
      <c r="A4572" t="s">
        <v>103</v>
      </c>
      <c r="B4572" t="s">
        <v>117</v>
      </c>
      <c r="C4572" t="b">
        <v>0</v>
      </c>
      <c r="D4572" s="1">
        <v>42216</v>
      </c>
      <c r="E4572" s="2">
        <v>-12.494999999999999</v>
      </c>
      <c r="F4572"/>
      <c r="G4572"/>
      <c r="H4572"/>
      <c r="I4572"/>
      <c r="J4572"/>
      <c r="K4572"/>
      <c r="L4572"/>
      <c r="M4572"/>
      <c r="N4572"/>
      <c r="O4572"/>
    </row>
    <row r="4573" spans="1:15" hidden="1" x14ac:dyDescent="0.25">
      <c r="A4573" t="s">
        <v>47</v>
      </c>
      <c r="B4573" t="s">
        <v>115</v>
      </c>
      <c r="C4573" t="b">
        <v>0</v>
      </c>
      <c r="D4573" s="1">
        <v>42216</v>
      </c>
      <c r="E4573">
        <v>5</v>
      </c>
      <c r="F4573"/>
      <c r="G4573"/>
      <c r="H4573"/>
      <c r="I4573"/>
      <c r="J4573"/>
      <c r="K4573"/>
      <c r="L4573"/>
      <c r="M4573"/>
      <c r="N4573"/>
      <c r="O4573"/>
    </row>
    <row r="4574" spans="1:15" hidden="1" x14ac:dyDescent="0.25">
      <c r="A4574" t="s">
        <v>43</v>
      </c>
      <c r="B4574" t="s">
        <v>115</v>
      </c>
      <c r="C4574" t="b">
        <v>0</v>
      </c>
      <c r="D4574" s="1">
        <v>42216</v>
      </c>
      <c r="E4574">
        <v>5</v>
      </c>
      <c r="F4574"/>
      <c r="G4574"/>
      <c r="H4574"/>
      <c r="I4574"/>
      <c r="J4574"/>
      <c r="K4574"/>
      <c r="L4574"/>
      <c r="M4574"/>
      <c r="N4574"/>
      <c r="O4574"/>
    </row>
    <row r="4575" spans="1:15" hidden="1" x14ac:dyDescent="0.25">
      <c r="A4575" t="s">
        <v>50</v>
      </c>
      <c r="B4575" t="s">
        <v>115</v>
      </c>
      <c r="C4575" t="b">
        <v>0</v>
      </c>
      <c r="D4575" s="1">
        <v>42216</v>
      </c>
      <c r="E4575">
        <v>5</v>
      </c>
      <c r="F4575"/>
      <c r="G4575"/>
      <c r="H4575"/>
      <c r="I4575"/>
      <c r="J4575"/>
      <c r="K4575"/>
      <c r="L4575"/>
      <c r="M4575"/>
      <c r="N4575"/>
      <c r="O4575"/>
    </row>
    <row r="4576" spans="1:15" hidden="1" x14ac:dyDescent="0.25">
      <c r="A4576" t="s">
        <v>51</v>
      </c>
      <c r="B4576" t="s">
        <v>115</v>
      </c>
      <c r="C4576" t="b">
        <v>0</v>
      </c>
      <c r="D4576" s="1">
        <v>42216</v>
      </c>
      <c r="E4576">
        <v>5</v>
      </c>
      <c r="F4576"/>
      <c r="G4576"/>
      <c r="H4576"/>
      <c r="I4576"/>
      <c r="J4576"/>
      <c r="K4576"/>
      <c r="L4576"/>
      <c r="M4576"/>
      <c r="N4576"/>
      <c r="O4576"/>
    </row>
    <row r="4577" spans="1:15" hidden="1" x14ac:dyDescent="0.25">
      <c r="A4577" t="s">
        <v>53</v>
      </c>
      <c r="B4577" t="s">
        <v>115</v>
      </c>
      <c r="C4577" t="b">
        <v>0</v>
      </c>
      <c r="D4577" s="1">
        <v>42216</v>
      </c>
      <c r="E4577">
        <v>5</v>
      </c>
      <c r="F4577"/>
      <c r="G4577"/>
      <c r="H4577"/>
      <c r="I4577"/>
      <c r="J4577"/>
      <c r="K4577"/>
      <c r="L4577"/>
      <c r="M4577"/>
      <c r="N4577"/>
      <c r="O4577"/>
    </row>
    <row r="4578" spans="1:15" hidden="1" x14ac:dyDescent="0.25">
      <c r="A4578" t="s">
        <v>54</v>
      </c>
      <c r="B4578" t="s">
        <v>115</v>
      </c>
      <c r="C4578" t="b">
        <v>0</v>
      </c>
      <c r="D4578" s="1">
        <v>42216</v>
      </c>
      <c r="E4578">
        <v>5</v>
      </c>
      <c r="F4578"/>
      <c r="G4578"/>
      <c r="H4578"/>
      <c r="I4578"/>
      <c r="J4578"/>
      <c r="K4578"/>
      <c r="L4578"/>
      <c r="M4578"/>
      <c r="N4578"/>
      <c r="O4578"/>
    </row>
    <row r="4579" spans="1:15" hidden="1" x14ac:dyDescent="0.25">
      <c r="A4579" t="s">
        <v>55</v>
      </c>
      <c r="B4579" t="s">
        <v>115</v>
      </c>
      <c r="C4579" t="b">
        <v>0</v>
      </c>
      <c r="D4579" s="1">
        <v>42216</v>
      </c>
      <c r="E4579">
        <v>5</v>
      </c>
      <c r="F4579"/>
      <c r="G4579"/>
      <c r="H4579"/>
      <c r="I4579"/>
      <c r="J4579"/>
      <c r="K4579"/>
      <c r="L4579"/>
      <c r="M4579"/>
      <c r="N4579"/>
      <c r="O4579"/>
    </row>
    <row r="4580" spans="1:15" hidden="1" x14ac:dyDescent="0.25">
      <c r="A4580" t="s">
        <v>58</v>
      </c>
      <c r="B4580" t="s">
        <v>115</v>
      </c>
      <c r="C4580" t="b">
        <v>0</v>
      </c>
      <c r="D4580" s="1">
        <v>42216</v>
      </c>
      <c r="E4580">
        <v>5</v>
      </c>
      <c r="F4580"/>
      <c r="G4580"/>
      <c r="H4580"/>
      <c r="I4580"/>
      <c r="J4580"/>
      <c r="K4580"/>
      <c r="L4580"/>
      <c r="M4580"/>
      <c r="N4580"/>
      <c r="O4580"/>
    </row>
    <row r="4581" spans="1:15" hidden="1" x14ac:dyDescent="0.25">
      <c r="A4581" t="s">
        <v>65</v>
      </c>
      <c r="B4581" t="s">
        <v>115</v>
      </c>
      <c r="C4581" t="b">
        <v>0</v>
      </c>
      <c r="D4581" s="1">
        <v>42216</v>
      </c>
      <c r="E4581">
        <v>5</v>
      </c>
      <c r="F4581"/>
      <c r="G4581"/>
      <c r="H4581"/>
      <c r="I4581"/>
      <c r="J4581"/>
      <c r="K4581"/>
      <c r="L4581"/>
      <c r="M4581"/>
      <c r="N4581"/>
      <c r="O4581"/>
    </row>
    <row r="4582" spans="1:15" hidden="1" x14ac:dyDescent="0.25">
      <c r="A4582" t="s">
        <v>68</v>
      </c>
      <c r="B4582" t="s">
        <v>115</v>
      </c>
      <c r="C4582" t="b">
        <v>0</v>
      </c>
      <c r="D4582" s="1">
        <v>42216</v>
      </c>
      <c r="E4582">
        <v>5</v>
      </c>
      <c r="F4582"/>
      <c r="G4582"/>
      <c r="H4582"/>
      <c r="I4582"/>
      <c r="J4582"/>
      <c r="K4582"/>
      <c r="L4582"/>
      <c r="M4582"/>
      <c r="N4582"/>
      <c r="O4582"/>
    </row>
    <row r="4583" spans="1:15" hidden="1" x14ac:dyDescent="0.25">
      <c r="A4583" t="s">
        <v>69</v>
      </c>
      <c r="B4583" t="s">
        <v>115</v>
      </c>
      <c r="C4583" t="b">
        <v>0</v>
      </c>
      <c r="D4583" s="1">
        <v>42216</v>
      </c>
      <c r="E4583">
        <v>5</v>
      </c>
      <c r="F4583"/>
      <c r="G4583"/>
      <c r="H4583"/>
      <c r="I4583"/>
      <c r="J4583"/>
      <c r="K4583"/>
      <c r="L4583"/>
      <c r="M4583"/>
      <c r="N4583"/>
      <c r="O4583"/>
    </row>
    <row r="4584" spans="1:15" hidden="1" x14ac:dyDescent="0.25">
      <c r="A4584" t="s">
        <v>75</v>
      </c>
      <c r="B4584" t="s">
        <v>115</v>
      </c>
      <c r="C4584" t="b">
        <v>0</v>
      </c>
      <c r="D4584" s="1">
        <v>42216</v>
      </c>
      <c r="E4584">
        <v>5</v>
      </c>
      <c r="F4584"/>
      <c r="G4584"/>
      <c r="H4584"/>
      <c r="I4584"/>
      <c r="J4584"/>
      <c r="K4584"/>
      <c r="L4584"/>
      <c r="M4584"/>
      <c r="N4584"/>
      <c r="O4584"/>
    </row>
    <row r="4585" spans="1:15" hidden="1" x14ac:dyDescent="0.25">
      <c r="A4585" t="s">
        <v>76</v>
      </c>
      <c r="B4585" t="s">
        <v>115</v>
      </c>
      <c r="C4585" t="b">
        <v>0</v>
      </c>
      <c r="D4585" s="1">
        <v>42216</v>
      </c>
      <c r="E4585">
        <v>1E-3</v>
      </c>
      <c r="F4585"/>
      <c r="G4585"/>
      <c r="H4585"/>
      <c r="I4585"/>
      <c r="J4585"/>
      <c r="K4585"/>
      <c r="L4585"/>
      <c r="M4585"/>
      <c r="N4585"/>
      <c r="O4585"/>
    </row>
    <row r="4586" spans="1:15" hidden="1" x14ac:dyDescent="0.25">
      <c r="A4586" t="s">
        <v>81</v>
      </c>
      <c r="B4586" t="s">
        <v>115</v>
      </c>
      <c r="C4586" t="b">
        <v>0</v>
      </c>
      <c r="D4586" s="1">
        <v>42216</v>
      </c>
      <c r="E4586">
        <v>5</v>
      </c>
      <c r="F4586"/>
      <c r="G4586"/>
      <c r="H4586"/>
      <c r="I4586"/>
      <c r="J4586"/>
      <c r="K4586"/>
      <c r="L4586"/>
      <c r="M4586"/>
      <c r="N4586"/>
      <c r="O4586"/>
    </row>
    <row r="4587" spans="1:15" hidden="1" x14ac:dyDescent="0.25">
      <c r="A4587" t="s">
        <v>85</v>
      </c>
      <c r="B4587" t="s">
        <v>115</v>
      </c>
      <c r="C4587" t="b">
        <v>0</v>
      </c>
      <c r="D4587" s="1">
        <v>42216</v>
      </c>
      <c r="E4587">
        <v>5</v>
      </c>
      <c r="F4587"/>
      <c r="G4587"/>
      <c r="H4587"/>
      <c r="I4587"/>
      <c r="J4587"/>
      <c r="K4587"/>
      <c r="L4587"/>
      <c r="M4587"/>
      <c r="N4587"/>
      <c r="O4587"/>
    </row>
    <row r="4588" spans="1:15" hidden="1" x14ac:dyDescent="0.25">
      <c r="A4588" t="s">
        <v>82</v>
      </c>
      <c r="B4588" t="s">
        <v>115</v>
      </c>
      <c r="C4588" t="b">
        <v>0</v>
      </c>
      <c r="D4588" s="1">
        <v>42216</v>
      </c>
      <c r="E4588">
        <v>5</v>
      </c>
      <c r="F4588"/>
      <c r="G4588"/>
      <c r="H4588"/>
      <c r="I4588"/>
      <c r="J4588"/>
      <c r="K4588"/>
      <c r="L4588"/>
      <c r="M4588"/>
      <c r="N4588"/>
      <c r="O4588"/>
    </row>
    <row r="4589" spans="1:15" hidden="1" x14ac:dyDescent="0.25">
      <c r="A4589" t="s">
        <v>84</v>
      </c>
      <c r="B4589" t="s">
        <v>115</v>
      </c>
      <c r="C4589" t="b">
        <v>0</v>
      </c>
      <c r="D4589" s="1">
        <v>42216</v>
      </c>
      <c r="E4589">
        <v>5</v>
      </c>
      <c r="F4589"/>
      <c r="G4589"/>
      <c r="H4589"/>
      <c r="I4589"/>
      <c r="J4589"/>
      <c r="K4589"/>
      <c r="L4589"/>
      <c r="M4589"/>
      <c r="N4589"/>
      <c r="O4589"/>
    </row>
    <row r="4590" spans="1:15" hidden="1" x14ac:dyDescent="0.25">
      <c r="A4590" t="s">
        <v>86</v>
      </c>
      <c r="B4590" t="s">
        <v>115</v>
      </c>
      <c r="C4590" t="b">
        <v>0</v>
      </c>
      <c r="D4590" s="1">
        <v>42216</v>
      </c>
      <c r="E4590">
        <v>5</v>
      </c>
      <c r="F4590"/>
      <c r="G4590"/>
      <c r="H4590"/>
      <c r="I4590"/>
      <c r="J4590"/>
      <c r="K4590"/>
      <c r="L4590"/>
      <c r="M4590"/>
      <c r="N4590"/>
      <c r="O4590"/>
    </row>
    <row r="4591" spans="1:15" hidden="1" x14ac:dyDescent="0.25">
      <c r="A4591" t="s">
        <v>88</v>
      </c>
      <c r="B4591" t="s">
        <v>115</v>
      </c>
      <c r="C4591" t="b">
        <v>0</v>
      </c>
      <c r="D4591" s="1">
        <v>42216</v>
      </c>
      <c r="E4591">
        <v>5</v>
      </c>
      <c r="F4591"/>
      <c r="G4591"/>
      <c r="H4591"/>
      <c r="I4591"/>
      <c r="J4591"/>
      <c r="K4591"/>
      <c r="L4591"/>
      <c r="M4591"/>
      <c r="N4591"/>
      <c r="O4591"/>
    </row>
    <row r="4592" spans="1:15" hidden="1" x14ac:dyDescent="0.25">
      <c r="A4592" t="s">
        <v>94</v>
      </c>
      <c r="B4592" t="s">
        <v>115</v>
      </c>
      <c r="C4592" t="b">
        <v>0</v>
      </c>
      <c r="D4592" s="1">
        <v>42216</v>
      </c>
      <c r="E4592">
        <v>5</v>
      </c>
      <c r="F4592"/>
      <c r="G4592"/>
      <c r="H4592"/>
      <c r="I4592"/>
      <c r="J4592"/>
      <c r="K4592"/>
      <c r="L4592"/>
      <c r="M4592"/>
      <c r="N4592"/>
      <c r="O4592"/>
    </row>
    <row r="4593" spans="1:15" hidden="1" x14ac:dyDescent="0.25">
      <c r="A4593" t="s">
        <v>96</v>
      </c>
      <c r="B4593" t="s">
        <v>115</v>
      </c>
      <c r="C4593" t="b">
        <v>0</v>
      </c>
      <c r="D4593" s="1">
        <v>42216</v>
      </c>
      <c r="E4593">
        <v>5</v>
      </c>
      <c r="F4593"/>
      <c r="G4593"/>
      <c r="H4593"/>
      <c r="I4593"/>
      <c r="J4593"/>
      <c r="K4593"/>
      <c r="L4593"/>
      <c r="M4593"/>
      <c r="N4593"/>
      <c r="O4593"/>
    </row>
    <row r="4594" spans="1:15" hidden="1" x14ac:dyDescent="0.25">
      <c r="A4594" t="s">
        <v>98</v>
      </c>
      <c r="B4594" t="s">
        <v>115</v>
      </c>
      <c r="C4594" t="b">
        <v>0</v>
      </c>
      <c r="D4594" s="1">
        <v>42216</v>
      </c>
      <c r="E4594">
        <v>5</v>
      </c>
      <c r="F4594"/>
      <c r="G4594"/>
      <c r="H4594"/>
      <c r="I4594"/>
      <c r="J4594"/>
      <c r="K4594"/>
      <c r="L4594"/>
      <c r="M4594"/>
      <c r="N4594"/>
      <c r="O4594"/>
    </row>
    <row r="4595" spans="1:15" hidden="1" x14ac:dyDescent="0.25">
      <c r="A4595" t="s">
        <v>97</v>
      </c>
      <c r="B4595" t="s">
        <v>115</v>
      </c>
      <c r="C4595" t="b">
        <v>0</v>
      </c>
      <c r="D4595" s="1">
        <v>42216</v>
      </c>
      <c r="E4595">
        <v>5</v>
      </c>
      <c r="F4595"/>
      <c r="G4595"/>
      <c r="H4595"/>
      <c r="I4595"/>
      <c r="J4595"/>
      <c r="K4595"/>
      <c r="L4595"/>
      <c r="M4595"/>
      <c r="N4595"/>
      <c r="O4595"/>
    </row>
    <row r="4596" spans="1:15" hidden="1" x14ac:dyDescent="0.25">
      <c r="A4596" t="s">
        <v>99</v>
      </c>
      <c r="B4596" t="s">
        <v>114</v>
      </c>
      <c r="C4596" t="b">
        <v>0</v>
      </c>
      <c r="D4596" s="1">
        <v>42216</v>
      </c>
      <c r="E4596">
        <v>28.38</v>
      </c>
      <c r="F4596"/>
      <c r="G4596"/>
      <c r="H4596"/>
      <c r="I4596"/>
      <c r="J4596"/>
      <c r="K4596"/>
      <c r="L4596"/>
      <c r="M4596"/>
      <c r="N4596"/>
      <c r="O4596"/>
    </row>
    <row r="4597" spans="1:15" hidden="1" x14ac:dyDescent="0.25">
      <c r="A4597" t="s">
        <v>100</v>
      </c>
      <c r="B4597" t="s">
        <v>117</v>
      </c>
      <c r="C4597" t="b">
        <v>0</v>
      </c>
      <c r="D4597" s="1">
        <v>42247</v>
      </c>
      <c r="E4597" s="2">
        <v>-65.94</v>
      </c>
      <c r="F4597"/>
      <c r="G4597"/>
      <c r="H4597"/>
      <c r="I4597"/>
      <c r="J4597"/>
      <c r="K4597"/>
      <c r="L4597"/>
      <c r="M4597"/>
      <c r="N4597"/>
      <c r="O4597"/>
    </row>
    <row r="4598" spans="1:15" hidden="1" x14ac:dyDescent="0.25">
      <c r="A4598" t="s">
        <v>104</v>
      </c>
      <c r="B4598" t="s">
        <v>117</v>
      </c>
      <c r="C4598" t="b">
        <v>0</v>
      </c>
      <c r="D4598" s="1">
        <v>42247</v>
      </c>
      <c r="E4598" s="2">
        <v>-11.81</v>
      </c>
      <c r="F4598"/>
      <c r="G4598"/>
      <c r="H4598"/>
      <c r="I4598"/>
      <c r="J4598"/>
      <c r="K4598"/>
      <c r="L4598"/>
      <c r="M4598"/>
      <c r="N4598"/>
      <c r="O4598"/>
    </row>
    <row r="4599" spans="1:15" hidden="1" x14ac:dyDescent="0.25">
      <c r="A4599" t="s">
        <v>102</v>
      </c>
      <c r="B4599" t="s">
        <v>117</v>
      </c>
      <c r="C4599" t="b">
        <v>0</v>
      </c>
      <c r="D4599" s="1">
        <v>42247</v>
      </c>
      <c r="E4599" s="2">
        <v>-47.47</v>
      </c>
      <c r="F4599"/>
      <c r="G4599"/>
      <c r="H4599"/>
      <c r="I4599"/>
      <c r="J4599"/>
      <c r="K4599"/>
      <c r="L4599"/>
      <c r="M4599"/>
      <c r="N4599"/>
      <c r="O4599"/>
    </row>
    <row r="4600" spans="1:15" hidden="1" x14ac:dyDescent="0.25">
      <c r="A4600" t="s">
        <v>103</v>
      </c>
      <c r="B4600" t="s">
        <v>117</v>
      </c>
      <c r="C4600" t="b">
        <v>0</v>
      </c>
      <c r="D4600" s="1">
        <v>42247</v>
      </c>
      <c r="E4600" s="2">
        <v>-2.69</v>
      </c>
      <c r="F4600"/>
      <c r="G4600"/>
      <c r="H4600"/>
      <c r="I4600"/>
      <c r="J4600"/>
      <c r="K4600"/>
      <c r="L4600"/>
      <c r="M4600"/>
      <c r="N4600"/>
      <c r="O4600"/>
    </row>
    <row r="4601" spans="1:15" hidden="1" x14ac:dyDescent="0.25">
      <c r="A4601" t="s">
        <v>101</v>
      </c>
      <c r="B4601" t="s">
        <v>117</v>
      </c>
      <c r="C4601" t="b">
        <v>0</v>
      </c>
      <c r="D4601" s="1">
        <v>42247</v>
      </c>
      <c r="E4601" s="2">
        <v>-5</v>
      </c>
      <c r="F4601"/>
      <c r="G4601"/>
      <c r="H4601"/>
      <c r="I4601"/>
      <c r="J4601"/>
      <c r="K4601"/>
      <c r="L4601"/>
      <c r="M4601"/>
      <c r="N4601"/>
      <c r="O4601"/>
    </row>
    <row r="4602" spans="1:15" hidden="1" x14ac:dyDescent="0.25">
      <c r="A4602" t="s">
        <v>47</v>
      </c>
      <c r="B4602" t="s">
        <v>115</v>
      </c>
      <c r="C4602" t="b">
        <v>0</v>
      </c>
      <c r="D4602" s="1">
        <v>42247</v>
      </c>
      <c r="E4602">
        <v>5</v>
      </c>
      <c r="F4602"/>
      <c r="G4602"/>
      <c r="H4602"/>
      <c r="I4602"/>
      <c r="J4602"/>
      <c r="K4602"/>
      <c r="L4602"/>
      <c r="M4602"/>
      <c r="N4602"/>
      <c r="O4602"/>
    </row>
    <row r="4603" spans="1:15" hidden="1" x14ac:dyDescent="0.25">
      <c r="A4603" t="s">
        <v>43</v>
      </c>
      <c r="B4603" t="s">
        <v>115</v>
      </c>
      <c r="C4603" t="b">
        <v>0</v>
      </c>
      <c r="D4603" s="1">
        <v>42247</v>
      </c>
      <c r="E4603">
        <v>5</v>
      </c>
      <c r="F4603"/>
      <c r="G4603"/>
      <c r="H4603"/>
      <c r="I4603"/>
      <c r="J4603"/>
      <c r="K4603"/>
      <c r="L4603"/>
      <c r="M4603"/>
      <c r="N4603"/>
      <c r="O4603"/>
    </row>
    <row r="4604" spans="1:15" hidden="1" x14ac:dyDescent="0.25">
      <c r="A4604" t="s">
        <v>50</v>
      </c>
      <c r="B4604" t="s">
        <v>115</v>
      </c>
      <c r="C4604" t="b">
        <v>0</v>
      </c>
      <c r="D4604" s="1">
        <v>42247</v>
      </c>
      <c r="E4604">
        <v>5</v>
      </c>
      <c r="F4604"/>
      <c r="G4604"/>
      <c r="H4604"/>
      <c r="I4604"/>
      <c r="J4604"/>
      <c r="K4604"/>
      <c r="L4604"/>
      <c r="M4604"/>
      <c r="N4604"/>
      <c r="O4604"/>
    </row>
    <row r="4605" spans="1:15" hidden="1" x14ac:dyDescent="0.25">
      <c r="A4605" t="s">
        <v>51</v>
      </c>
      <c r="B4605" t="s">
        <v>115</v>
      </c>
      <c r="C4605" t="b">
        <v>0</v>
      </c>
      <c r="D4605" s="1">
        <v>42247</v>
      </c>
      <c r="E4605">
        <v>5</v>
      </c>
      <c r="F4605"/>
      <c r="G4605"/>
      <c r="H4605"/>
      <c r="I4605"/>
      <c r="J4605"/>
      <c r="K4605"/>
      <c r="L4605"/>
      <c r="M4605"/>
      <c r="N4605"/>
      <c r="O4605"/>
    </row>
    <row r="4606" spans="1:15" hidden="1" x14ac:dyDescent="0.25">
      <c r="A4606" t="s">
        <v>53</v>
      </c>
      <c r="B4606" t="s">
        <v>115</v>
      </c>
      <c r="C4606" t="b">
        <v>0</v>
      </c>
      <c r="D4606" s="1">
        <v>42247</v>
      </c>
      <c r="E4606">
        <v>5</v>
      </c>
      <c r="F4606"/>
      <c r="G4606"/>
      <c r="H4606"/>
      <c r="I4606"/>
      <c r="J4606"/>
      <c r="K4606"/>
      <c r="L4606"/>
      <c r="M4606"/>
      <c r="N4606"/>
      <c r="O4606"/>
    </row>
    <row r="4607" spans="1:15" hidden="1" x14ac:dyDescent="0.25">
      <c r="A4607" t="s">
        <v>54</v>
      </c>
      <c r="B4607" t="s">
        <v>115</v>
      </c>
      <c r="C4607" t="b">
        <v>0</v>
      </c>
      <c r="D4607" s="1">
        <v>42247</v>
      </c>
      <c r="E4607">
        <v>5</v>
      </c>
      <c r="F4607"/>
      <c r="G4607"/>
      <c r="H4607"/>
      <c r="I4607"/>
      <c r="J4607"/>
      <c r="K4607"/>
      <c r="L4607"/>
      <c r="M4607"/>
      <c r="N4607"/>
      <c r="O4607"/>
    </row>
    <row r="4608" spans="1:15" hidden="1" x14ac:dyDescent="0.25">
      <c r="A4608" t="s">
        <v>55</v>
      </c>
      <c r="B4608" t="s">
        <v>115</v>
      </c>
      <c r="C4608" t="b">
        <v>0</v>
      </c>
      <c r="D4608" s="1">
        <v>42247</v>
      </c>
      <c r="E4608">
        <v>5</v>
      </c>
      <c r="F4608"/>
      <c r="G4608"/>
      <c r="H4608"/>
      <c r="I4608"/>
      <c r="J4608"/>
      <c r="K4608"/>
      <c r="L4608"/>
      <c r="M4608"/>
      <c r="N4608"/>
      <c r="O4608"/>
    </row>
    <row r="4609" spans="1:15" hidden="1" x14ac:dyDescent="0.25">
      <c r="A4609" t="s">
        <v>58</v>
      </c>
      <c r="B4609" t="s">
        <v>115</v>
      </c>
      <c r="C4609" t="b">
        <v>0</v>
      </c>
      <c r="D4609" s="1">
        <v>42247</v>
      </c>
      <c r="E4609">
        <v>5</v>
      </c>
      <c r="F4609"/>
      <c r="G4609"/>
      <c r="H4609"/>
      <c r="I4609"/>
      <c r="J4609"/>
      <c r="K4609"/>
      <c r="L4609"/>
      <c r="M4609"/>
      <c r="N4609"/>
      <c r="O4609"/>
    </row>
    <row r="4610" spans="1:15" hidden="1" x14ac:dyDescent="0.25">
      <c r="A4610" t="s">
        <v>65</v>
      </c>
      <c r="B4610" t="s">
        <v>115</v>
      </c>
      <c r="C4610" t="b">
        <v>0</v>
      </c>
      <c r="D4610" s="1">
        <v>42247</v>
      </c>
      <c r="E4610">
        <v>5</v>
      </c>
      <c r="F4610"/>
      <c r="G4610"/>
      <c r="H4610"/>
      <c r="I4610"/>
      <c r="J4610"/>
      <c r="K4610"/>
      <c r="L4610"/>
      <c r="M4610"/>
      <c r="N4610"/>
      <c r="O4610"/>
    </row>
    <row r="4611" spans="1:15" hidden="1" x14ac:dyDescent="0.25">
      <c r="A4611" t="s">
        <v>68</v>
      </c>
      <c r="B4611" t="s">
        <v>115</v>
      </c>
      <c r="C4611" t="b">
        <v>0</v>
      </c>
      <c r="D4611" s="1">
        <v>42247</v>
      </c>
      <c r="E4611">
        <v>5</v>
      </c>
      <c r="F4611"/>
      <c r="G4611"/>
      <c r="H4611"/>
      <c r="I4611"/>
      <c r="J4611"/>
      <c r="K4611"/>
      <c r="L4611"/>
      <c r="M4611"/>
      <c r="N4611"/>
      <c r="O4611"/>
    </row>
    <row r="4612" spans="1:15" hidden="1" x14ac:dyDescent="0.25">
      <c r="A4612" t="s">
        <v>69</v>
      </c>
      <c r="B4612" t="s">
        <v>115</v>
      </c>
      <c r="C4612" t="b">
        <v>0</v>
      </c>
      <c r="D4612" s="1">
        <v>42247</v>
      </c>
      <c r="E4612">
        <v>5</v>
      </c>
      <c r="F4612"/>
      <c r="G4612"/>
      <c r="H4612"/>
      <c r="I4612"/>
      <c r="J4612"/>
      <c r="K4612"/>
      <c r="L4612"/>
      <c r="M4612"/>
      <c r="N4612"/>
      <c r="O4612"/>
    </row>
    <row r="4613" spans="1:15" hidden="1" x14ac:dyDescent="0.25">
      <c r="A4613" t="s">
        <v>75</v>
      </c>
      <c r="B4613" t="s">
        <v>115</v>
      </c>
      <c r="C4613" t="b">
        <v>0</v>
      </c>
      <c r="D4613" s="1">
        <v>42247</v>
      </c>
      <c r="E4613">
        <v>5</v>
      </c>
      <c r="F4613"/>
      <c r="G4613"/>
      <c r="H4613"/>
      <c r="I4613"/>
      <c r="J4613"/>
      <c r="K4613"/>
      <c r="L4613"/>
      <c r="M4613"/>
      <c r="N4613"/>
      <c r="O4613"/>
    </row>
    <row r="4614" spans="1:15" hidden="1" x14ac:dyDescent="0.25">
      <c r="A4614" t="s">
        <v>76</v>
      </c>
      <c r="B4614" t="s">
        <v>115</v>
      </c>
      <c r="C4614" t="b">
        <v>0</v>
      </c>
      <c r="D4614" s="1">
        <v>42247</v>
      </c>
      <c r="E4614">
        <v>1E-3</v>
      </c>
      <c r="F4614"/>
      <c r="G4614"/>
      <c r="H4614"/>
      <c r="I4614"/>
      <c r="J4614"/>
      <c r="K4614"/>
      <c r="L4614"/>
      <c r="M4614"/>
      <c r="N4614"/>
      <c r="O4614"/>
    </row>
    <row r="4615" spans="1:15" hidden="1" x14ac:dyDescent="0.25">
      <c r="A4615" t="s">
        <v>81</v>
      </c>
      <c r="B4615" t="s">
        <v>115</v>
      </c>
      <c r="C4615" t="b">
        <v>0</v>
      </c>
      <c r="D4615" s="1">
        <v>42247</v>
      </c>
      <c r="E4615">
        <v>5</v>
      </c>
      <c r="F4615"/>
      <c r="G4615"/>
      <c r="H4615"/>
      <c r="I4615"/>
      <c r="J4615"/>
      <c r="K4615"/>
      <c r="L4615"/>
      <c r="M4615"/>
      <c r="N4615"/>
      <c r="O4615"/>
    </row>
    <row r="4616" spans="1:15" hidden="1" x14ac:dyDescent="0.25">
      <c r="A4616" t="s">
        <v>85</v>
      </c>
      <c r="B4616" t="s">
        <v>115</v>
      </c>
      <c r="C4616" t="b">
        <v>0</v>
      </c>
      <c r="D4616" s="1">
        <v>42247</v>
      </c>
      <c r="E4616">
        <v>5</v>
      </c>
      <c r="F4616"/>
      <c r="G4616"/>
      <c r="H4616"/>
      <c r="I4616"/>
      <c r="J4616"/>
      <c r="K4616"/>
      <c r="L4616"/>
      <c r="M4616"/>
      <c r="N4616"/>
      <c r="O4616"/>
    </row>
    <row r="4617" spans="1:15" hidden="1" x14ac:dyDescent="0.25">
      <c r="A4617" t="s">
        <v>82</v>
      </c>
      <c r="B4617" t="s">
        <v>115</v>
      </c>
      <c r="C4617" t="b">
        <v>0</v>
      </c>
      <c r="D4617" s="1">
        <v>42247</v>
      </c>
      <c r="E4617">
        <v>5</v>
      </c>
      <c r="F4617"/>
      <c r="G4617"/>
      <c r="H4617"/>
      <c r="I4617"/>
      <c r="J4617"/>
      <c r="K4617"/>
      <c r="L4617"/>
      <c r="M4617"/>
      <c r="N4617"/>
      <c r="O4617"/>
    </row>
    <row r="4618" spans="1:15" hidden="1" x14ac:dyDescent="0.25">
      <c r="A4618" t="s">
        <v>84</v>
      </c>
      <c r="B4618" t="s">
        <v>115</v>
      </c>
      <c r="C4618" t="b">
        <v>0</v>
      </c>
      <c r="D4618" s="1">
        <v>42247</v>
      </c>
      <c r="E4618">
        <v>5</v>
      </c>
      <c r="F4618"/>
      <c r="G4618"/>
      <c r="H4618"/>
      <c r="I4618"/>
      <c r="J4618"/>
      <c r="K4618"/>
      <c r="L4618"/>
      <c r="M4618"/>
      <c r="N4618"/>
      <c r="O4618"/>
    </row>
    <row r="4619" spans="1:15" hidden="1" x14ac:dyDescent="0.25">
      <c r="A4619" t="s">
        <v>86</v>
      </c>
      <c r="B4619" t="s">
        <v>115</v>
      </c>
      <c r="C4619" t="b">
        <v>0</v>
      </c>
      <c r="D4619" s="1">
        <v>42247</v>
      </c>
      <c r="E4619">
        <v>5</v>
      </c>
      <c r="F4619"/>
      <c r="G4619"/>
      <c r="H4619"/>
      <c r="I4619"/>
      <c r="J4619"/>
      <c r="K4619"/>
      <c r="L4619"/>
      <c r="M4619"/>
      <c r="N4619"/>
      <c r="O4619"/>
    </row>
    <row r="4620" spans="1:15" hidden="1" x14ac:dyDescent="0.25">
      <c r="A4620" t="s">
        <v>88</v>
      </c>
      <c r="B4620" t="s">
        <v>115</v>
      </c>
      <c r="C4620" t="b">
        <v>0</v>
      </c>
      <c r="D4620" s="1">
        <v>42247</v>
      </c>
      <c r="E4620">
        <v>5</v>
      </c>
      <c r="F4620"/>
      <c r="G4620"/>
      <c r="H4620"/>
      <c r="I4620"/>
      <c r="J4620"/>
      <c r="K4620"/>
      <c r="L4620"/>
      <c r="M4620"/>
      <c r="N4620"/>
      <c r="O4620"/>
    </row>
    <row r="4621" spans="1:15" hidden="1" x14ac:dyDescent="0.25">
      <c r="A4621" t="s">
        <v>94</v>
      </c>
      <c r="B4621" t="s">
        <v>115</v>
      </c>
      <c r="C4621" t="b">
        <v>0</v>
      </c>
      <c r="D4621" s="1">
        <v>42247</v>
      </c>
      <c r="E4621">
        <v>5</v>
      </c>
      <c r="F4621"/>
      <c r="G4621"/>
      <c r="H4621"/>
      <c r="I4621"/>
      <c r="J4621"/>
      <c r="K4621"/>
      <c r="L4621"/>
      <c r="M4621"/>
      <c r="N4621"/>
      <c r="O4621"/>
    </row>
    <row r="4622" spans="1:15" hidden="1" x14ac:dyDescent="0.25">
      <c r="A4622" t="s">
        <v>96</v>
      </c>
      <c r="B4622" t="s">
        <v>115</v>
      </c>
      <c r="C4622" t="b">
        <v>0</v>
      </c>
      <c r="D4622" s="1">
        <v>42247</v>
      </c>
      <c r="E4622">
        <v>5</v>
      </c>
      <c r="F4622"/>
      <c r="G4622"/>
      <c r="H4622"/>
      <c r="I4622"/>
      <c r="J4622"/>
      <c r="K4622"/>
      <c r="L4622"/>
      <c r="M4622"/>
      <c r="N4622"/>
      <c r="O4622"/>
    </row>
    <row r="4623" spans="1:15" hidden="1" x14ac:dyDescent="0.25">
      <c r="A4623" t="s">
        <v>98</v>
      </c>
      <c r="B4623" t="s">
        <v>115</v>
      </c>
      <c r="C4623" t="b">
        <v>0</v>
      </c>
      <c r="D4623" s="1">
        <v>42247</v>
      </c>
      <c r="E4623">
        <v>5</v>
      </c>
      <c r="F4623"/>
      <c r="G4623"/>
      <c r="H4623"/>
      <c r="I4623"/>
      <c r="J4623"/>
      <c r="K4623"/>
      <c r="L4623"/>
      <c r="M4623"/>
      <c r="N4623"/>
      <c r="O4623"/>
    </row>
    <row r="4624" spans="1:15" hidden="1" x14ac:dyDescent="0.25">
      <c r="A4624" t="s">
        <v>97</v>
      </c>
      <c r="B4624" t="s">
        <v>115</v>
      </c>
      <c r="C4624" t="b">
        <v>0</v>
      </c>
      <c r="D4624" s="1">
        <v>42247</v>
      </c>
      <c r="E4624">
        <v>5</v>
      </c>
      <c r="F4624"/>
      <c r="G4624"/>
      <c r="H4624"/>
      <c r="I4624"/>
      <c r="J4624"/>
      <c r="K4624"/>
      <c r="L4624"/>
      <c r="M4624"/>
      <c r="N4624"/>
      <c r="O4624"/>
    </row>
    <row r="4625" spans="1:15" hidden="1" x14ac:dyDescent="0.25">
      <c r="A4625" t="s">
        <v>99</v>
      </c>
      <c r="B4625" t="s">
        <v>114</v>
      </c>
      <c r="C4625" t="b">
        <v>0</v>
      </c>
      <c r="D4625" s="1">
        <v>42247</v>
      </c>
      <c r="E4625">
        <v>28.28</v>
      </c>
      <c r="F4625"/>
      <c r="G4625"/>
      <c r="H4625"/>
      <c r="I4625"/>
      <c r="J4625"/>
      <c r="K4625"/>
      <c r="L4625"/>
      <c r="M4625"/>
      <c r="N4625"/>
      <c r="O4625"/>
    </row>
    <row r="4626" spans="1:15" hidden="1" x14ac:dyDescent="0.25">
      <c r="A4626" t="s">
        <v>100</v>
      </c>
      <c r="B4626" t="s">
        <v>117</v>
      </c>
      <c r="C4626" t="b">
        <v>0</v>
      </c>
      <c r="D4626" s="1">
        <v>42277</v>
      </c>
      <c r="E4626" s="2">
        <v>-65.94</v>
      </c>
      <c r="F4626"/>
      <c r="G4626"/>
      <c r="H4626"/>
      <c r="I4626"/>
      <c r="J4626"/>
      <c r="K4626"/>
      <c r="L4626"/>
      <c r="M4626"/>
      <c r="N4626"/>
      <c r="O4626"/>
    </row>
    <row r="4627" spans="1:15" hidden="1" x14ac:dyDescent="0.25">
      <c r="A4627" t="s">
        <v>104</v>
      </c>
      <c r="B4627" t="s">
        <v>117</v>
      </c>
      <c r="C4627" t="b">
        <v>0</v>
      </c>
      <c r="D4627" s="1">
        <v>42277</v>
      </c>
      <c r="E4627" s="2">
        <v>-10</v>
      </c>
      <c r="F4627"/>
      <c r="G4627"/>
      <c r="H4627"/>
      <c r="I4627"/>
      <c r="J4627"/>
      <c r="K4627"/>
      <c r="L4627"/>
      <c r="M4627"/>
      <c r="N4627"/>
      <c r="O4627"/>
    </row>
    <row r="4628" spans="1:15" hidden="1" x14ac:dyDescent="0.25">
      <c r="A4628" t="s">
        <v>102</v>
      </c>
      <c r="B4628" t="s">
        <v>117</v>
      </c>
      <c r="C4628" t="b">
        <v>0</v>
      </c>
      <c r="D4628" s="1">
        <v>42277</v>
      </c>
      <c r="E4628" s="2">
        <v>-50.53</v>
      </c>
      <c r="F4628"/>
      <c r="G4628"/>
      <c r="H4628"/>
      <c r="I4628"/>
      <c r="J4628"/>
      <c r="K4628"/>
      <c r="L4628"/>
      <c r="M4628"/>
      <c r="N4628"/>
      <c r="O4628"/>
    </row>
    <row r="4629" spans="1:15" hidden="1" x14ac:dyDescent="0.25">
      <c r="A4629" t="s">
        <v>103</v>
      </c>
      <c r="B4629" t="s">
        <v>117</v>
      </c>
      <c r="C4629" t="b">
        <v>0</v>
      </c>
      <c r="D4629" s="1">
        <v>42277</v>
      </c>
      <c r="E4629" s="2">
        <v>-9.7449999999999992</v>
      </c>
      <c r="F4629"/>
      <c r="G4629"/>
      <c r="H4629"/>
      <c r="I4629"/>
      <c r="J4629"/>
      <c r="K4629"/>
      <c r="L4629"/>
      <c r="M4629"/>
      <c r="N4629"/>
      <c r="O4629"/>
    </row>
    <row r="4630" spans="1:15" hidden="1" x14ac:dyDescent="0.25">
      <c r="A4630" t="s">
        <v>47</v>
      </c>
      <c r="B4630" t="s">
        <v>115</v>
      </c>
      <c r="C4630" t="b">
        <v>0</v>
      </c>
      <c r="D4630" s="1">
        <v>42277</v>
      </c>
      <c r="E4630">
        <v>5</v>
      </c>
      <c r="F4630"/>
      <c r="G4630"/>
      <c r="H4630"/>
      <c r="I4630"/>
      <c r="J4630"/>
      <c r="K4630"/>
      <c r="L4630"/>
      <c r="M4630"/>
      <c r="N4630"/>
      <c r="O4630"/>
    </row>
    <row r="4631" spans="1:15" hidden="1" x14ac:dyDescent="0.25">
      <c r="A4631" t="s">
        <v>43</v>
      </c>
      <c r="B4631" t="s">
        <v>115</v>
      </c>
      <c r="C4631" t="b">
        <v>0</v>
      </c>
      <c r="D4631" s="1">
        <v>42277</v>
      </c>
      <c r="E4631">
        <v>5</v>
      </c>
      <c r="F4631"/>
      <c r="G4631"/>
      <c r="H4631"/>
      <c r="I4631"/>
      <c r="J4631"/>
      <c r="K4631"/>
      <c r="L4631"/>
      <c r="M4631"/>
      <c r="N4631"/>
      <c r="O4631"/>
    </row>
    <row r="4632" spans="1:15" hidden="1" x14ac:dyDescent="0.25">
      <c r="A4632" t="s">
        <v>50</v>
      </c>
      <c r="B4632" t="s">
        <v>115</v>
      </c>
      <c r="C4632" t="b">
        <v>0</v>
      </c>
      <c r="D4632" s="1">
        <v>42277</v>
      </c>
      <c r="E4632">
        <v>5</v>
      </c>
      <c r="F4632"/>
      <c r="G4632"/>
      <c r="H4632"/>
      <c r="I4632"/>
      <c r="J4632"/>
      <c r="K4632"/>
      <c r="L4632"/>
      <c r="M4632"/>
      <c r="N4632"/>
      <c r="O4632"/>
    </row>
    <row r="4633" spans="1:15" hidden="1" x14ac:dyDescent="0.25">
      <c r="A4633" t="s">
        <v>51</v>
      </c>
      <c r="B4633" t="s">
        <v>115</v>
      </c>
      <c r="C4633" t="b">
        <v>0</v>
      </c>
      <c r="D4633" s="1">
        <v>42277</v>
      </c>
      <c r="E4633">
        <v>0.01</v>
      </c>
      <c r="F4633"/>
      <c r="G4633"/>
      <c r="H4633"/>
      <c r="I4633"/>
      <c r="J4633"/>
      <c r="K4633"/>
      <c r="L4633"/>
      <c r="M4633"/>
      <c r="N4633"/>
      <c r="O4633"/>
    </row>
    <row r="4634" spans="1:15" hidden="1" x14ac:dyDescent="0.25">
      <c r="A4634" t="s">
        <v>53</v>
      </c>
      <c r="B4634" t="s">
        <v>115</v>
      </c>
      <c r="C4634" t="b">
        <v>0</v>
      </c>
      <c r="D4634" s="1">
        <v>42277</v>
      </c>
      <c r="E4634">
        <v>5</v>
      </c>
      <c r="F4634"/>
      <c r="G4634"/>
      <c r="H4634"/>
      <c r="I4634"/>
      <c r="J4634"/>
      <c r="K4634"/>
      <c r="L4634"/>
      <c r="M4634"/>
      <c r="N4634"/>
      <c r="O4634"/>
    </row>
    <row r="4635" spans="1:15" hidden="1" x14ac:dyDescent="0.25">
      <c r="A4635" t="s">
        <v>54</v>
      </c>
      <c r="B4635" t="s">
        <v>115</v>
      </c>
      <c r="C4635" t="b">
        <v>0</v>
      </c>
      <c r="D4635" s="1">
        <v>42277</v>
      </c>
      <c r="E4635">
        <v>5</v>
      </c>
      <c r="F4635"/>
      <c r="G4635"/>
      <c r="H4635"/>
      <c r="I4635"/>
      <c r="J4635"/>
      <c r="K4635"/>
      <c r="L4635"/>
      <c r="M4635"/>
      <c r="N4635"/>
      <c r="O4635"/>
    </row>
    <row r="4636" spans="1:15" hidden="1" x14ac:dyDescent="0.25">
      <c r="A4636" t="s">
        <v>55</v>
      </c>
      <c r="B4636" t="s">
        <v>115</v>
      </c>
      <c r="C4636" t="b">
        <v>0</v>
      </c>
      <c r="D4636" s="1">
        <v>42277</v>
      </c>
      <c r="E4636">
        <v>5</v>
      </c>
      <c r="F4636"/>
      <c r="G4636"/>
      <c r="H4636"/>
      <c r="I4636"/>
      <c r="J4636"/>
      <c r="K4636"/>
      <c r="L4636"/>
      <c r="M4636"/>
      <c r="N4636"/>
      <c r="O4636"/>
    </row>
    <row r="4637" spans="1:15" hidden="1" x14ac:dyDescent="0.25">
      <c r="A4637" t="s">
        <v>58</v>
      </c>
      <c r="B4637" t="s">
        <v>115</v>
      </c>
      <c r="C4637" t="b">
        <v>0</v>
      </c>
      <c r="D4637" s="1">
        <v>42277</v>
      </c>
      <c r="E4637">
        <v>5</v>
      </c>
      <c r="F4637"/>
      <c r="G4637"/>
      <c r="H4637"/>
      <c r="I4637"/>
      <c r="J4637"/>
      <c r="K4637"/>
      <c r="L4637"/>
      <c r="M4637"/>
      <c r="N4637"/>
      <c r="O4637"/>
    </row>
    <row r="4638" spans="1:15" hidden="1" x14ac:dyDescent="0.25">
      <c r="A4638" t="s">
        <v>65</v>
      </c>
      <c r="B4638" t="s">
        <v>115</v>
      </c>
      <c r="C4638" t="b">
        <v>0</v>
      </c>
      <c r="D4638" s="1">
        <v>42277</v>
      </c>
      <c r="E4638">
        <v>5</v>
      </c>
      <c r="F4638"/>
      <c r="G4638"/>
      <c r="H4638"/>
      <c r="I4638"/>
      <c r="J4638"/>
      <c r="K4638"/>
      <c r="L4638"/>
      <c r="M4638"/>
      <c r="N4638"/>
      <c r="O4638"/>
    </row>
    <row r="4639" spans="1:15" hidden="1" x14ac:dyDescent="0.25">
      <c r="A4639" t="s">
        <v>68</v>
      </c>
      <c r="B4639" t="s">
        <v>115</v>
      </c>
      <c r="C4639" t="b">
        <v>0</v>
      </c>
      <c r="D4639" s="1">
        <v>42277</v>
      </c>
      <c r="E4639">
        <v>5</v>
      </c>
      <c r="F4639"/>
      <c r="G4639"/>
      <c r="H4639"/>
      <c r="I4639"/>
      <c r="J4639"/>
      <c r="K4639"/>
      <c r="L4639"/>
      <c r="M4639"/>
      <c r="N4639"/>
      <c r="O4639"/>
    </row>
    <row r="4640" spans="1:15" hidden="1" x14ac:dyDescent="0.25">
      <c r="A4640" t="s">
        <v>69</v>
      </c>
      <c r="B4640" t="s">
        <v>115</v>
      </c>
      <c r="C4640" t="b">
        <v>0</v>
      </c>
      <c r="D4640" s="1">
        <v>42277</v>
      </c>
      <c r="E4640">
        <v>5</v>
      </c>
      <c r="F4640"/>
      <c r="G4640"/>
      <c r="H4640"/>
      <c r="I4640"/>
      <c r="J4640"/>
      <c r="K4640"/>
      <c r="L4640"/>
      <c r="M4640"/>
      <c r="N4640"/>
      <c r="O4640"/>
    </row>
    <row r="4641" spans="1:15" hidden="1" x14ac:dyDescent="0.25">
      <c r="A4641" t="s">
        <v>75</v>
      </c>
      <c r="B4641" t="s">
        <v>115</v>
      </c>
      <c r="C4641" t="b">
        <v>0</v>
      </c>
      <c r="D4641" s="1">
        <v>42277</v>
      </c>
      <c r="E4641">
        <v>5</v>
      </c>
      <c r="F4641"/>
      <c r="G4641"/>
      <c r="H4641"/>
      <c r="I4641"/>
      <c r="J4641"/>
      <c r="K4641"/>
      <c r="L4641"/>
      <c r="M4641"/>
      <c r="N4641"/>
      <c r="O4641"/>
    </row>
    <row r="4642" spans="1:15" hidden="1" x14ac:dyDescent="0.25">
      <c r="A4642" t="s">
        <v>76</v>
      </c>
      <c r="B4642" t="s">
        <v>115</v>
      </c>
      <c r="C4642" t="b">
        <v>0</v>
      </c>
      <c r="D4642" s="1">
        <v>42277</v>
      </c>
      <c r="E4642">
        <v>1E-3</v>
      </c>
      <c r="F4642"/>
      <c r="G4642"/>
      <c r="H4642"/>
      <c r="I4642"/>
      <c r="J4642"/>
      <c r="K4642"/>
      <c r="L4642"/>
      <c r="M4642"/>
      <c r="N4642"/>
      <c r="O4642"/>
    </row>
    <row r="4643" spans="1:15" hidden="1" x14ac:dyDescent="0.25">
      <c r="A4643" t="s">
        <v>81</v>
      </c>
      <c r="B4643" t="s">
        <v>115</v>
      </c>
      <c r="C4643" t="b">
        <v>0</v>
      </c>
      <c r="D4643" s="1">
        <v>42277</v>
      </c>
      <c r="E4643">
        <v>5</v>
      </c>
      <c r="F4643"/>
      <c r="G4643"/>
      <c r="H4643"/>
      <c r="I4643"/>
      <c r="J4643"/>
      <c r="K4643"/>
      <c r="L4643"/>
      <c r="M4643"/>
      <c r="N4643"/>
      <c r="O4643"/>
    </row>
    <row r="4644" spans="1:15" hidden="1" x14ac:dyDescent="0.25">
      <c r="A4644" t="s">
        <v>85</v>
      </c>
      <c r="B4644" t="s">
        <v>115</v>
      </c>
      <c r="C4644" t="b">
        <v>0</v>
      </c>
      <c r="D4644" s="1">
        <v>42277</v>
      </c>
      <c r="E4644">
        <v>5</v>
      </c>
      <c r="F4644"/>
      <c r="G4644"/>
      <c r="H4644"/>
      <c r="I4644"/>
      <c r="J4644"/>
      <c r="K4644"/>
      <c r="L4644"/>
      <c r="M4644"/>
      <c r="N4644"/>
      <c r="O4644"/>
    </row>
    <row r="4645" spans="1:15" hidden="1" x14ac:dyDescent="0.25">
      <c r="A4645" t="s">
        <v>82</v>
      </c>
      <c r="B4645" t="s">
        <v>115</v>
      </c>
      <c r="C4645" t="b">
        <v>0</v>
      </c>
      <c r="D4645" s="1">
        <v>42277</v>
      </c>
      <c r="E4645">
        <v>5</v>
      </c>
      <c r="F4645"/>
      <c r="G4645"/>
      <c r="H4645"/>
      <c r="I4645"/>
      <c r="J4645"/>
      <c r="K4645"/>
      <c r="L4645"/>
      <c r="M4645"/>
      <c r="N4645"/>
      <c r="O4645"/>
    </row>
    <row r="4646" spans="1:15" hidden="1" x14ac:dyDescent="0.25">
      <c r="A4646" t="s">
        <v>84</v>
      </c>
      <c r="B4646" t="s">
        <v>115</v>
      </c>
      <c r="C4646" t="b">
        <v>0</v>
      </c>
      <c r="D4646" s="1">
        <v>42277</v>
      </c>
      <c r="E4646">
        <v>5</v>
      </c>
      <c r="F4646"/>
      <c r="G4646"/>
      <c r="H4646"/>
      <c r="I4646"/>
      <c r="J4646"/>
      <c r="K4646"/>
      <c r="L4646"/>
      <c r="M4646"/>
      <c r="N4646"/>
      <c r="O4646"/>
    </row>
    <row r="4647" spans="1:15" hidden="1" x14ac:dyDescent="0.25">
      <c r="A4647" t="s">
        <v>86</v>
      </c>
      <c r="B4647" t="s">
        <v>115</v>
      </c>
      <c r="C4647" t="b">
        <v>0</v>
      </c>
      <c r="D4647" s="1">
        <v>42277</v>
      </c>
      <c r="E4647">
        <v>5</v>
      </c>
      <c r="F4647"/>
      <c r="G4647"/>
      <c r="H4647"/>
      <c r="I4647"/>
      <c r="J4647"/>
      <c r="K4647"/>
      <c r="L4647"/>
      <c r="M4647"/>
      <c r="N4647"/>
      <c r="O4647"/>
    </row>
    <row r="4648" spans="1:15" hidden="1" x14ac:dyDescent="0.25">
      <c r="A4648" t="s">
        <v>88</v>
      </c>
      <c r="B4648" t="s">
        <v>115</v>
      </c>
      <c r="C4648" t="b">
        <v>0</v>
      </c>
      <c r="D4648" s="1">
        <v>42277</v>
      </c>
      <c r="E4648">
        <v>5</v>
      </c>
      <c r="F4648"/>
      <c r="G4648"/>
      <c r="H4648"/>
      <c r="I4648"/>
      <c r="J4648"/>
      <c r="K4648"/>
      <c r="L4648"/>
      <c r="M4648"/>
      <c r="N4648"/>
      <c r="O4648"/>
    </row>
    <row r="4649" spans="1:15" hidden="1" x14ac:dyDescent="0.25">
      <c r="A4649" t="s">
        <v>94</v>
      </c>
      <c r="B4649" t="s">
        <v>115</v>
      </c>
      <c r="C4649" t="b">
        <v>0</v>
      </c>
      <c r="D4649" s="1">
        <v>42277</v>
      </c>
      <c r="E4649">
        <v>5</v>
      </c>
      <c r="F4649"/>
      <c r="G4649"/>
      <c r="H4649"/>
      <c r="I4649"/>
      <c r="J4649"/>
      <c r="K4649"/>
      <c r="L4649"/>
      <c r="M4649"/>
      <c r="N4649"/>
      <c r="O4649"/>
    </row>
    <row r="4650" spans="1:15" hidden="1" x14ac:dyDescent="0.25">
      <c r="A4650" t="s">
        <v>96</v>
      </c>
      <c r="B4650" t="s">
        <v>115</v>
      </c>
      <c r="C4650" t="b">
        <v>0</v>
      </c>
      <c r="D4650" s="1">
        <v>42277</v>
      </c>
      <c r="E4650">
        <v>5</v>
      </c>
      <c r="F4650"/>
      <c r="G4650"/>
      <c r="H4650"/>
      <c r="I4650"/>
      <c r="J4650"/>
      <c r="K4650"/>
      <c r="L4650"/>
      <c r="M4650"/>
      <c r="N4650"/>
      <c r="O4650"/>
    </row>
    <row r="4651" spans="1:15" hidden="1" x14ac:dyDescent="0.25">
      <c r="A4651" t="s">
        <v>98</v>
      </c>
      <c r="B4651" t="s">
        <v>115</v>
      </c>
      <c r="C4651" t="b">
        <v>0</v>
      </c>
      <c r="D4651" s="1">
        <v>42277</v>
      </c>
      <c r="E4651">
        <v>5</v>
      </c>
      <c r="F4651"/>
      <c r="G4651"/>
      <c r="H4651"/>
      <c r="I4651"/>
      <c r="J4651"/>
      <c r="K4651"/>
      <c r="L4651"/>
      <c r="M4651"/>
      <c r="N4651"/>
      <c r="O4651"/>
    </row>
    <row r="4652" spans="1:15" hidden="1" x14ac:dyDescent="0.25">
      <c r="A4652" t="s">
        <v>97</v>
      </c>
      <c r="B4652" t="s">
        <v>115</v>
      </c>
      <c r="C4652" t="b">
        <v>0</v>
      </c>
      <c r="D4652" s="1">
        <v>42277</v>
      </c>
      <c r="E4652">
        <v>5</v>
      </c>
      <c r="F4652"/>
      <c r="G4652"/>
      <c r="H4652"/>
      <c r="I4652"/>
      <c r="J4652"/>
      <c r="K4652"/>
      <c r="L4652"/>
      <c r="M4652"/>
      <c r="N4652"/>
      <c r="O4652"/>
    </row>
    <row r="4653" spans="1:15" hidden="1" x14ac:dyDescent="0.25">
      <c r="A4653" t="s">
        <v>99</v>
      </c>
      <c r="B4653" t="s">
        <v>114</v>
      </c>
      <c r="C4653" t="b">
        <v>0</v>
      </c>
      <c r="D4653" s="1">
        <v>42277</v>
      </c>
      <c r="E4653">
        <v>27.62</v>
      </c>
      <c r="F4653"/>
      <c r="G4653"/>
      <c r="H4653"/>
      <c r="I4653"/>
      <c r="J4653"/>
      <c r="K4653"/>
      <c r="L4653"/>
      <c r="M4653"/>
      <c r="N4653"/>
      <c r="O4653"/>
    </row>
    <row r="4654" spans="1:15" hidden="1" x14ac:dyDescent="0.25">
      <c r="A4654" t="s">
        <v>100</v>
      </c>
      <c r="B4654" t="s">
        <v>117</v>
      </c>
      <c r="C4654" t="b">
        <v>0</v>
      </c>
      <c r="D4654" s="1">
        <v>42308</v>
      </c>
      <c r="E4654" s="2">
        <v>-76.930000000000007</v>
      </c>
      <c r="F4654"/>
      <c r="G4654"/>
      <c r="H4654"/>
      <c r="I4654"/>
      <c r="J4654"/>
      <c r="K4654"/>
      <c r="L4654"/>
      <c r="M4654"/>
      <c r="N4654"/>
      <c r="O4654"/>
    </row>
    <row r="4655" spans="1:15" hidden="1" x14ac:dyDescent="0.25">
      <c r="A4655" t="s">
        <v>102</v>
      </c>
      <c r="B4655" t="s">
        <v>117</v>
      </c>
      <c r="C4655" t="b">
        <v>0</v>
      </c>
      <c r="D4655" s="1">
        <v>42308</v>
      </c>
      <c r="E4655" s="2">
        <v>-54.03</v>
      </c>
      <c r="F4655"/>
      <c r="G4655"/>
      <c r="H4655"/>
      <c r="I4655"/>
      <c r="J4655"/>
      <c r="K4655"/>
      <c r="L4655"/>
      <c r="M4655"/>
      <c r="N4655"/>
      <c r="O4655"/>
    </row>
    <row r="4656" spans="1:15" hidden="1" x14ac:dyDescent="0.25">
      <c r="A4656" t="s">
        <v>103</v>
      </c>
      <c r="B4656" t="s">
        <v>117</v>
      </c>
      <c r="C4656" t="b">
        <v>0</v>
      </c>
      <c r="D4656" s="1">
        <v>42308</v>
      </c>
      <c r="E4656" s="2">
        <v>-14.744999999999999</v>
      </c>
      <c r="F4656"/>
      <c r="G4656"/>
      <c r="H4656"/>
      <c r="I4656"/>
      <c r="J4656"/>
      <c r="K4656"/>
      <c r="L4656"/>
      <c r="M4656"/>
      <c r="N4656"/>
      <c r="O4656"/>
    </row>
    <row r="4657" spans="1:15" hidden="1" x14ac:dyDescent="0.25">
      <c r="A4657" t="s">
        <v>47</v>
      </c>
      <c r="B4657" t="s">
        <v>115</v>
      </c>
      <c r="C4657" t="b">
        <v>0</v>
      </c>
      <c r="D4657" s="1">
        <v>42308</v>
      </c>
      <c r="E4657">
        <v>5</v>
      </c>
      <c r="F4657"/>
      <c r="G4657"/>
      <c r="H4657"/>
      <c r="I4657"/>
      <c r="J4657"/>
      <c r="K4657"/>
      <c r="L4657"/>
      <c r="M4657"/>
      <c r="N4657"/>
      <c r="O4657"/>
    </row>
    <row r="4658" spans="1:15" hidden="1" x14ac:dyDescent="0.25">
      <c r="A4658" t="s">
        <v>43</v>
      </c>
      <c r="B4658" t="s">
        <v>115</v>
      </c>
      <c r="C4658" t="b">
        <v>0</v>
      </c>
      <c r="D4658" s="1">
        <v>42308</v>
      </c>
      <c r="E4658">
        <v>5</v>
      </c>
      <c r="F4658"/>
      <c r="G4658"/>
      <c r="H4658"/>
      <c r="I4658"/>
      <c r="J4658"/>
      <c r="K4658"/>
      <c r="L4658"/>
      <c r="M4658"/>
      <c r="N4658"/>
      <c r="O4658"/>
    </row>
    <row r="4659" spans="1:15" hidden="1" x14ac:dyDescent="0.25">
      <c r="A4659" t="s">
        <v>50</v>
      </c>
      <c r="B4659" t="s">
        <v>115</v>
      </c>
      <c r="C4659" t="b">
        <v>0</v>
      </c>
      <c r="D4659" s="1">
        <v>42308</v>
      </c>
      <c r="E4659">
        <v>5</v>
      </c>
      <c r="F4659"/>
      <c r="G4659"/>
      <c r="H4659"/>
      <c r="I4659"/>
      <c r="J4659"/>
      <c r="K4659"/>
      <c r="L4659"/>
      <c r="M4659"/>
      <c r="N4659"/>
      <c r="O4659"/>
    </row>
    <row r="4660" spans="1:15" hidden="1" x14ac:dyDescent="0.25">
      <c r="A4660" t="s">
        <v>51</v>
      </c>
      <c r="B4660" t="s">
        <v>115</v>
      </c>
      <c r="C4660" t="b">
        <v>0</v>
      </c>
      <c r="D4660" s="1">
        <v>42308</v>
      </c>
      <c r="E4660">
        <v>5</v>
      </c>
      <c r="F4660"/>
      <c r="G4660"/>
      <c r="H4660"/>
      <c r="I4660"/>
      <c r="J4660"/>
      <c r="K4660"/>
      <c r="L4660"/>
      <c r="M4660"/>
      <c r="N4660"/>
      <c r="O4660"/>
    </row>
    <row r="4661" spans="1:15" hidden="1" x14ac:dyDescent="0.25">
      <c r="A4661" t="s">
        <v>53</v>
      </c>
      <c r="B4661" t="s">
        <v>115</v>
      </c>
      <c r="C4661" t="b">
        <v>0</v>
      </c>
      <c r="D4661" s="1">
        <v>42308</v>
      </c>
      <c r="E4661">
        <v>5</v>
      </c>
      <c r="F4661"/>
      <c r="G4661"/>
      <c r="H4661"/>
      <c r="I4661"/>
      <c r="J4661"/>
      <c r="K4661"/>
      <c r="L4661"/>
      <c r="M4661"/>
      <c r="N4661"/>
      <c r="O4661"/>
    </row>
    <row r="4662" spans="1:15" hidden="1" x14ac:dyDescent="0.25">
      <c r="A4662" t="s">
        <v>54</v>
      </c>
      <c r="B4662" t="s">
        <v>115</v>
      </c>
      <c r="C4662" t="b">
        <v>0</v>
      </c>
      <c r="D4662" s="1">
        <v>42308</v>
      </c>
      <c r="E4662">
        <v>5</v>
      </c>
      <c r="F4662"/>
      <c r="G4662"/>
      <c r="H4662"/>
      <c r="I4662"/>
      <c r="J4662"/>
      <c r="K4662"/>
      <c r="L4662"/>
      <c r="M4662"/>
      <c r="N4662"/>
      <c r="O4662"/>
    </row>
    <row r="4663" spans="1:15" hidden="1" x14ac:dyDescent="0.25">
      <c r="A4663" t="s">
        <v>55</v>
      </c>
      <c r="B4663" t="s">
        <v>115</v>
      </c>
      <c r="C4663" t="b">
        <v>0</v>
      </c>
      <c r="D4663" s="1">
        <v>42308</v>
      </c>
      <c r="E4663">
        <v>5</v>
      </c>
      <c r="F4663"/>
      <c r="G4663"/>
      <c r="H4663"/>
      <c r="I4663"/>
      <c r="J4663"/>
      <c r="K4663"/>
      <c r="L4663"/>
      <c r="M4663"/>
      <c r="N4663"/>
      <c r="O4663"/>
    </row>
    <row r="4664" spans="1:15" hidden="1" x14ac:dyDescent="0.25">
      <c r="A4664" t="s">
        <v>58</v>
      </c>
      <c r="B4664" t="s">
        <v>115</v>
      </c>
      <c r="C4664" t="b">
        <v>0</v>
      </c>
      <c r="D4664" s="1">
        <v>42308</v>
      </c>
      <c r="E4664">
        <v>5</v>
      </c>
      <c r="F4664"/>
      <c r="G4664"/>
      <c r="H4664"/>
      <c r="I4664"/>
      <c r="J4664"/>
      <c r="K4664"/>
      <c r="L4664"/>
      <c r="M4664"/>
      <c r="N4664"/>
      <c r="O4664"/>
    </row>
    <row r="4665" spans="1:15" hidden="1" x14ac:dyDescent="0.25">
      <c r="A4665" t="s">
        <v>65</v>
      </c>
      <c r="B4665" t="s">
        <v>115</v>
      </c>
      <c r="C4665" t="b">
        <v>0</v>
      </c>
      <c r="D4665" s="1">
        <v>42308</v>
      </c>
      <c r="E4665">
        <v>5</v>
      </c>
      <c r="F4665"/>
      <c r="G4665"/>
      <c r="H4665"/>
      <c r="I4665"/>
      <c r="J4665"/>
      <c r="K4665"/>
      <c r="L4665"/>
      <c r="M4665"/>
      <c r="N4665"/>
      <c r="O4665"/>
    </row>
    <row r="4666" spans="1:15" hidden="1" x14ac:dyDescent="0.25">
      <c r="A4666" t="s">
        <v>68</v>
      </c>
      <c r="B4666" t="s">
        <v>115</v>
      </c>
      <c r="C4666" t="b">
        <v>0</v>
      </c>
      <c r="D4666" s="1">
        <v>42308</v>
      </c>
      <c r="E4666">
        <v>5</v>
      </c>
      <c r="F4666"/>
      <c r="G4666"/>
      <c r="H4666"/>
      <c r="I4666"/>
      <c r="J4666"/>
      <c r="K4666"/>
      <c r="L4666"/>
      <c r="M4666"/>
      <c r="N4666"/>
      <c r="O4666"/>
    </row>
    <row r="4667" spans="1:15" hidden="1" x14ac:dyDescent="0.25">
      <c r="A4667" t="s">
        <v>69</v>
      </c>
      <c r="B4667" t="s">
        <v>115</v>
      </c>
      <c r="C4667" t="b">
        <v>0</v>
      </c>
      <c r="D4667" s="1">
        <v>42308</v>
      </c>
      <c r="E4667">
        <v>5</v>
      </c>
      <c r="F4667"/>
      <c r="G4667"/>
      <c r="H4667"/>
      <c r="I4667"/>
      <c r="J4667"/>
      <c r="K4667"/>
      <c r="L4667"/>
      <c r="M4667"/>
      <c r="N4667"/>
      <c r="O4667"/>
    </row>
    <row r="4668" spans="1:15" hidden="1" x14ac:dyDescent="0.25">
      <c r="A4668" t="s">
        <v>75</v>
      </c>
      <c r="B4668" t="s">
        <v>115</v>
      </c>
      <c r="C4668" t="b">
        <v>0</v>
      </c>
      <c r="D4668" s="1">
        <v>42308</v>
      </c>
      <c r="E4668">
        <v>5</v>
      </c>
      <c r="F4668"/>
      <c r="G4668"/>
      <c r="H4668"/>
      <c r="I4668"/>
      <c r="J4668"/>
      <c r="K4668"/>
      <c r="L4668"/>
      <c r="M4668"/>
      <c r="N4668"/>
      <c r="O4668"/>
    </row>
    <row r="4669" spans="1:15" hidden="1" x14ac:dyDescent="0.25">
      <c r="A4669" t="s">
        <v>76</v>
      </c>
      <c r="B4669" t="s">
        <v>115</v>
      </c>
      <c r="C4669" t="b">
        <v>0</v>
      </c>
      <c r="D4669" s="1">
        <v>42308</v>
      </c>
      <c r="E4669">
        <v>1E-3</v>
      </c>
      <c r="F4669"/>
      <c r="G4669"/>
      <c r="H4669"/>
      <c r="I4669"/>
      <c r="J4669"/>
      <c r="K4669"/>
      <c r="L4669"/>
      <c r="M4669"/>
      <c r="N4669"/>
      <c r="O4669"/>
    </row>
    <row r="4670" spans="1:15" hidden="1" x14ac:dyDescent="0.25">
      <c r="A4670" t="s">
        <v>81</v>
      </c>
      <c r="B4670" t="s">
        <v>115</v>
      </c>
      <c r="C4670" t="b">
        <v>0</v>
      </c>
      <c r="D4670" s="1">
        <v>42308</v>
      </c>
      <c r="E4670">
        <v>5</v>
      </c>
      <c r="F4670"/>
      <c r="G4670"/>
      <c r="H4670"/>
      <c r="I4670"/>
      <c r="J4670"/>
      <c r="K4670"/>
      <c r="L4670"/>
      <c r="M4670"/>
      <c r="N4670"/>
      <c r="O4670"/>
    </row>
    <row r="4671" spans="1:15" hidden="1" x14ac:dyDescent="0.25">
      <c r="A4671" t="s">
        <v>85</v>
      </c>
      <c r="B4671" t="s">
        <v>115</v>
      </c>
      <c r="C4671" t="b">
        <v>0</v>
      </c>
      <c r="D4671" s="1">
        <v>42308</v>
      </c>
      <c r="E4671">
        <v>5</v>
      </c>
      <c r="F4671"/>
      <c r="G4671"/>
      <c r="H4671"/>
      <c r="I4671"/>
      <c r="J4671"/>
      <c r="K4671"/>
      <c r="L4671"/>
      <c r="M4671"/>
      <c r="N4671"/>
      <c r="O4671"/>
    </row>
    <row r="4672" spans="1:15" hidden="1" x14ac:dyDescent="0.25">
      <c r="A4672" t="s">
        <v>82</v>
      </c>
      <c r="B4672" t="s">
        <v>115</v>
      </c>
      <c r="C4672" t="b">
        <v>0</v>
      </c>
      <c r="D4672" s="1">
        <v>42308</v>
      </c>
      <c r="E4672">
        <v>5</v>
      </c>
      <c r="F4672"/>
      <c r="G4672"/>
      <c r="H4672"/>
      <c r="I4672"/>
      <c r="J4672"/>
      <c r="K4672"/>
      <c r="L4672"/>
      <c r="M4672"/>
      <c r="N4672"/>
      <c r="O4672"/>
    </row>
    <row r="4673" spans="1:15" hidden="1" x14ac:dyDescent="0.25">
      <c r="A4673" t="s">
        <v>84</v>
      </c>
      <c r="B4673" t="s">
        <v>115</v>
      </c>
      <c r="C4673" t="b">
        <v>0</v>
      </c>
      <c r="D4673" s="1">
        <v>42308</v>
      </c>
      <c r="E4673">
        <v>5</v>
      </c>
      <c r="F4673"/>
      <c r="G4673"/>
      <c r="H4673"/>
      <c r="I4673"/>
      <c r="J4673"/>
      <c r="K4673"/>
      <c r="L4673"/>
      <c r="M4673"/>
      <c r="N4673"/>
      <c r="O4673"/>
    </row>
    <row r="4674" spans="1:15" hidden="1" x14ac:dyDescent="0.25">
      <c r="A4674" t="s">
        <v>86</v>
      </c>
      <c r="B4674" t="s">
        <v>115</v>
      </c>
      <c r="C4674" t="b">
        <v>0</v>
      </c>
      <c r="D4674" s="1">
        <v>42308</v>
      </c>
      <c r="E4674">
        <v>5</v>
      </c>
      <c r="F4674"/>
      <c r="G4674"/>
      <c r="H4674"/>
      <c r="I4674"/>
      <c r="J4674"/>
      <c r="K4674"/>
      <c r="L4674"/>
      <c r="M4674"/>
      <c r="N4674"/>
      <c r="O4674"/>
    </row>
    <row r="4675" spans="1:15" hidden="1" x14ac:dyDescent="0.25">
      <c r="A4675" t="s">
        <v>88</v>
      </c>
      <c r="B4675" t="s">
        <v>115</v>
      </c>
      <c r="C4675" t="b">
        <v>0</v>
      </c>
      <c r="D4675" s="1">
        <v>42308</v>
      </c>
      <c r="E4675">
        <v>5</v>
      </c>
      <c r="F4675"/>
      <c r="G4675"/>
      <c r="H4675"/>
      <c r="I4675"/>
      <c r="J4675"/>
      <c r="K4675"/>
      <c r="L4675"/>
      <c r="M4675"/>
      <c r="N4675"/>
      <c r="O4675"/>
    </row>
    <row r="4676" spans="1:15" hidden="1" x14ac:dyDescent="0.25">
      <c r="A4676" t="s">
        <v>94</v>
      </c>
      <c r="B4676" t="s">
        <v>115</v>
      </c>
      <c r="C4676" t="b">
        <v>0</v>
      </c>
      <c r="D4676" s="1">
        <v>42308</v>
      </c>
      <c r="E4676">
        <v>5</v>
      </c>
      <c r="F4676"/>
      <c r="G4676"/>
      <c r="H4676"/>
      <c r="I4676"/>
      <c r="J4676"/>
      <c r="K4676"/>
      <c r="L4676"/>
      <c r="M4676"/>
      <c r="N4676"/>
      <c r="O4676"/>
    </row>
    <row r="4677" spans="1:15" hidden="1" x14ac:dyDescent="0.25">
      <c r="A4677" t="s">
        <v>96</v>
      </c>
      <c r="B4677" t="s">
        <v>115</v>
      </c>
      <c r="C4677" t="b">
        <v>0</v>
      </c>
      <c r="D4677" s="1">
        <v>42308</v>
      </c>
      <c r="E4677">
        <v>5</v>
      </c>
      <c r="F4677"/>
      <c r="G4677"/>
      <c r="H4677"/>
      <c r="I4677"/>
      <c r="J4677"/>
      <c r="K4677"/>
      <c r="L4677"/>
      <c r="M4677"/>
      <c r="N4677"/>
      <c r="O4677"/>
    </row>
    <row r="4678" spans="1:15" hidden="1" x14ac:dyDescent="0.25">
      <c r="A4678" t="s">
        <v>98</v>
      </c>
      <c r="B4678" t="s">
        <v>115</v>
      </c>
      <c r="C4678" t="b">
        <v>0</v>
      </c>
      <c r="D4678" s="1">
        <v>42308</v>
      </c>
      <c r="E4678">
        <v>5</v>
      </c>
      <c r="F4678"/>
      <c r="G4678"/>
      <c r="H4678"/>
      <c r="I4678"/>
      <c r="J4678"/>
      <c r="K4678"/>
      <c r="L4678"/>
      <c r="M4678"/>
      <c r="N4678"/>
      <c r="O4678"/>
    </row>
    <row r="4679" spans="1:15" hidden="1" x14ac:dyDescent="0.25">
      <c r="A4679" t="s">
        <v>97</v>
      </c>
      <c r="B4679" t="s">
        <v>115</v>
      </c>
      <c r="C4679" t="b">
        <v>0</v>
      </c>
      <c r="D4679" s="1">
        <v>42308</v>
      </c>
      <c r="E4679">
        <v>5</v>
      </c>
      <c r="F4679"/>
      <c r="G4679"/>
      <c r="H4679"/>
      <c r="I4679"/>
      <c r="J4679"/>
      <c r="K4679"/>
      <c r="L4679"/>
      <c r="M4679"/>
      <c r="N4679"/>
      <c r="O4679"/>
    </row>
    <row r="4680" spans="1:15" hidden="1" x14ac:dyDescent="0.25">
      <c r="A4680" t="s">
        <v>99</v>
      </c>
      <c r="B4680" t="s">
        <v>114</v>
      </c>
      <c r="C4680" t="b">
        <v>0</v>
      </c>
      <c r="D4680" s="1">
        <v>42308</v>
      </c>
      <c r="E4680">
        <v>32.35</v>
      </c>
      <c r="F4680"/>
      <c r="G4680"/>
      <c r="H4680"/>
      <c r="I4680"/>
      <c r="J4680"/>
      <c r="K4680"/>
      <c r="L4680"/>
      <c r="M4680"/>
      <c r="N4680"/>
      <c r="O4680"/>
    </row>
    <row r="4681" spans="1:15" hidden="1" x14ac:dyDescent="0.25">
      <c r="A4681" t="s">
        <v>100</v>
      </c>
      <c r="B4681" t="s">
        <v>117</v>
      </c>
      <c r="C4681" t="b">
        <v>0</v>
      </c>
      <c r="D4681" s="1">
        <v>42338</v>
      </c>
      <c r="E4681" s="2">
        <v>-65.94</v>
      </c>
      <c r="F4681"/>
      <c r="G4681"/>
      <c r="H4681"/>
      <c r="I4681"/>
      <c r="J4681"/>
      <c r="K4681"/>
      <c r="L4681"/>
      <c r="M4681"/>
      <c r="N4681"/>
      <c r="O4681"/>
    </row>
    <row r="4682" spans="1:15" hidden="1" x14ac:dyDescent="0.25">
      <c r="A4682" t="s">
        <v>102</v>
      </c>
      <c r="B4682" t="s">
        <v>117</v>
      </c>
      <c r="C4682" t="b">
        <v>0</v>
      </c>
      <c r="D4682" s="1">
        <v>42338</v>
      </c>
      <c r="E4682" s="2">
        <v>-42.94</v>
      </c>
      <c r="F4682"/>
      <c r="G4682"/>
      <c r="H4682"/>
      <c r="I4682"/>
      <c r="J4682"/>
      <c r="K4682"/>
      <c r="L4682"/>
      <c r="M4682"/>
      <c r="N4682"/>
      <c r="O4682"/>
    </row>
    <row r="4683" spans="1:15" hidden="1" x14ac:dyDescent="0.25">
      <c r="A4683" t="s">
        <v>103</v>
      </c>
      <c r="B4683" t="s">
        <v>117</v>
      </c>
      <c r="C4683" t="b">
        <v>0</v>
      </c>
      <c r="D4683" s="1">
        <v>42338</v>
      </c>
      <c r="E4683" s="2">
        <v>-5</v>
      </c>
      <c r="F4683"/>
      <c r="G4683"/>
      <c r="H4683"/>
      <c r="I4683"/>
      <c r="J4683"/>
      <c r="K4683"/>
      <c r="L4683"/>
      <c r="M4683"/>
      <c r="N4683"/>
      <c r="O4683"/>
    </row>
    <row r="4684" spans="1:15" hidden="1" x14ac:dyDescent="0.25">
      <c r="A4684" t="s">
        <v>101</v>
      </c>
      <c r="B4684" t="s">
        <v>117</v>
      </c>
      <c r="C4684" t="b">
        <v>0</v>
      </c>
      <c r="D4684" s="1">
        <v>42338</v>
      </c>
      <c r="E4684" s="2">
        <v>-8.49</v>
      </c>
      <c r="F4684"/>
      <c r="G4684"/>
      <c r="H4684"/>
      <c r="I4684"/>
      <c r="J4684"/>
      <c r="K4684"/>
      <c r="L4684"/>
      <c r="M4684"/>
      <c r="N4684"/>
      <c r="O4684"/>
    </row>
    <row r="4685" spans="1:15" hidden="1" x14ac:dyDescent="0.25">
      <c r="A4685" t="s">
        <v>47</v>
      </c>
      <c r="B4685" t="s">
        <v>115</v>
      </c>
      <c r="C4685" t="b">
        <v>0</v>
      </c>
      <c r="D4685" s="1">
        <v>42338</v>
      </c>
      <c r="E4685">
        <v>5</v>
      </c>
      <c r="F4685"/>
      <c r="G4685"/>
      <c r="H4685"/>
      <c r="I4685"/>
      <c r="J4685"/>
      <c r="K4685"/>
      <c r="L4685"/>
      <c r="M4685"/>
      <c r="N4685"/>
      <c r="O4685"/>
    </row>
    <row r="4686" spans="1:15" hidden="1" x14ac:dyDescent="0.25">
      <c r="A4686" t="s">
        <v>43</v>
      </c>
      <c r="B4686" t="s">
        <v>115</v>
      </c>
      <c r="C4686" t="b">
        <v>0</v>
      </c>
      <c r="D4686" s="1">
        <v>42338</v>
      </c>
      <c r="E4686">
        <v>5</v>
      </c>
      <c r="F4686"/>
      <c r="G4686"/>
      <c r="H4686"/>
      <c r="I4686"/>
      <c r="J4686"/>
      <c r="K4686"/>
      <c r="L4686"/>
      <c r="M4686"/>
      <c r="N4686"/>
      <c r="O4686"/>
    </row>
    <row r="4687" spans="1:15" hidden="1" x14ac:dyDescent="0.25">
      <c r="A4687" t="s">
        <v>48</v>
      </c>
      <c r="B4687" t="s">
        <v>115</v>
      </c>
      <c r="C4687" t="b">
        <v>0</v>
      </c>
      <c r="D4687" s="1">
        <v>42338</v>
      </c>
      <c r="E4687">
        <v>0.01</v>
      </c>
      <c r="F4687"/>
      <c r="G4687"/>
      <c r="H4687"/>
      <c r="I4687"/>
      <c r="J4687"/>
      <c r="K4687"/>
      <c r="L4687"/>
      <c r="M4687"/>
      <c r="N4687"/>
      <c r="O4687"/>
    </row>
    <row r="4688" spans="1:15" hidden="1" x14ac:dyDescent="0.25">
      <c r="A4688" t="s">
        <v>50</v>
      </c>
      <c r="B4688" t="s">
        <v>115</v>
      </c>
      <c r="C4688" t="b">
        <v>0</v>
      </c>
      <c r="D4688" s="1">
        <v>42338</v>
      </c>
      <c r="E4688">
        <v>5</v>
      </c>
      <c r="F4688"/>
      <c r="G4688"/>
      <c r="H4688"/>
      <c r="I4688"/>
      <c r="J4688"/>
      <c r="K4688"/>
      <c r="L4688"/>
      <c r="M4688"/>
      <c r="N4688"/>
      <c r="O4688"/>
    </row>
    <row r="4689" spans="1:15" hidden="1" x14ac:dyDescent="0.25">
      <c r="A4689" t="s">
        <v>51</v>
      </c>
      <c r="B4689" t="s">
        <v>115</v>
      </c>
      <c r="C4689" t="b">
        <v>0</v>
      </c>
      <c r="D4689" s="1">
        <v>42338</v>
      </c>
      <c r="E4689">
        <v>5</v>
      </c>
      <c r="F4689"/>
      <c r="G4689"/>
      <c r="H4689"/>
      <c r="I4689"/>
      <c r="J4689"/>
      <c r="K4689"/>
      <c r="L4689"/>
      <c r="M4689"/>
      <c r="N4689"/>
      <c r="O4689"/>
    </row>
    <row r="4690" spans="1:15" hidden="1" x14ac:dyDescent="0.25">
      <c r="A4690" t="s">
        <v>52</v>
      </c>
      <c r="B4690" t="s">
        <v>115</v>
      </c>
      <c r="C4690" t="b">
        <v>0</v>
      </c>
      <c r="D4690" s="1">
        <v>42338</v>
      </c>
      <c r="E4690">
        <v>5</v>
      </c>
      <c r="F4690"/>
      <c r="G4690"/>
      <c r="H4690"/>
      <c r="I4690"/>
      <c r="J4690"/>
      <c r="K4690"/>
      <c r="L4690"/>
      <c r="M4690"/>
      <c r="N4690"/>
      <c r="O4690"/>
    </row>
    <row r="4691" spans="1:15" hidden="1" x14ac:dyDescent="0.25">
      <c r="A4691" t="s">
        <v>53</v>
      </c>
      <c r="B4691" t="s">
        <v>115</v>
      </c>
      <c r="C4691" t="b">
        <v>0</v>
      </c>
      <c r="D4691" s="1">
        <v>42338</v>
      </c>
      <c r="E4691">
        <v>5</v>
      </c>
      <c r="F4691"/>
      <c r="G4691"/>
      <c r="H4691"/>
      <c r="I4691"/>
      <c r="J4691"/>
      <c r="K4691"/>
      <c r="L4691"/>
      <c r="M4691"/>
      <c r="N4691"/>
      <c r="O4691"/>
    </row>
    <row r="4692" spans="1:15" hidden="1" x14ac:dyDescent="0.25">
      <c r="A4692" t="s">
        <v>54</v>
      </c>
      <c r="B4692" t="s">
        <v>115</v>
      </c>
      <c r="C4692" t="b">
        <v>0</v>
      </c>
      <c r="D4692" s="1">
        <v>42338</v>
      </c>
      <c r="E4692">
        <v>5</v>
      </c>
      <c r="F4692"/>
      <c r="G4692"/>
      <c r="H4692"/>
      <c r="I4692"/>
      <c r="J4692"/>
      <c r="K4692"/>
      <c r="L4692"/>
      <c r="M4692"/>
      <c r="N4692"/>
      <c r="O4692"/>
    </row>
    <row r="4693" spans="1:15" hidden="1" x14ac:dyDescent="0.25">
      <c r="A4693" t="s">
        <v>55</v>
      </c>
      <c r="B4693" t="s">
        <v>115</v>
      </c>
      <c r="C4693" t="b">
        <v>0</v>
      </c>
      <c r="D4693" s="1">
        <v>42338</v>
      </c>
      <c r="E4693">
        <v>5</v>
      </c>
      <c r="F4693"/>
      <c r="G4693"/>
      <c r="H4693"/>
      <c r="I4693"/>
      <c r="J4693"/>
      <c r="K4693"/>
      <c r="L4693"/>
      <c r="M4693"/>
      <c r="N4693"/>
      <c r="O4693"/>
    </row>
    <row r="4694" spans="1:15" hidden="1" x14ac:dyDescent="0.25">
      <c r="A4694" t="s">
        <v>58</v>
      </c>
      <c r="B4694" t="s">
        <v>115</v>
      </c>
      <c r="C4694" t="b">
        <v>0</v>
      </c>
      <c r="D4694" s="1">
        <v>42338</v>
      </c>
      <c r="E4694">
        <v>5</v>
      </c>
      <c r="F4694"/>
      <c r="G4694"/>
      <c r="H4694"/>
      <c r="I4694"/>
      <c r="J4694"/>
      <c r="K4694"/>
      <c r="L4694"/>
      <c r="M4694"/>
      <c r="N4694"/>
      <c r="O4694"/>
    </row>
    <row r="4695" spans="1:15" hidden="1" x14ac:dyDescent="0.25">
      <c r="A4695" t="s">
        <v>65</v>
      </c>
      <c r="B4695" t="s">
        <v>115</v>
      </c>
      <c r="C4695" t="b">
        <v>0</v>
      </c>
      <c r="D4695" s="1">
        <v>42338</v>
      </c>
      <c r="E4695">
        <v>5</v>
      </c>
      <c r="F4695"/>
      <c r="G4695"/>
      <c r="H4695"/>
      <c r="I4695"/>
      <c r="J4695"/>
      <c r="K4695"/>
      <c r="L4695"/>
      <c r="M4695"/>
      <c r="N4695"/>
      <c r="O4695"/>
    </row>
    <row r="4696" spans="1:15" hidden="1" x14ac:dyDescent="0.25">
      <c r="A4696" t="s">
        <v>68</v>
      </c>
      <c r="B4696" t="s">
        <v>115</v>
      </c>
      <c r="C4696" t="b">
        <v>0</v>
      </c>
      <c r="D4696" s="1">
        <v>42338</v>
      </c>
      <c r="E4696">
        <v>5</v>
      </c>
      <c r="F4696"/>
      <c r="G4696"/>
      <c r="H4696"/>
      <c r="I4696"/>
      <c r="J4696"/>
      <c r="K4696"/>
      <c r="L4696"/>
      <c r="M4696"/>
      <c r="N4696"/>
      <c r="O4696"/>
    </row>
    <row r="4697" spans="1:15" hidden="1" x14ac:dyDescent="0.25">
      <c r="A4697" t="s">
        <v>69</v>
      </c>
      <c r="B4697" t="s">
        <v>115</v>
      </c>
      <c r="C4697" t="b">
        <v>0</v>
      </c>
      <c r="D4697" s="1">
        <v>42338</v>
      </c>
      <c r="E4697">
        <v>5</v>
      </c>
      <c r="F4697"/>
      <c r="G4697"/>
      <c r="H4697"/>
      <c r="I4697"/>
      <c r="J4697"/>
      <c r="K4697"/>
      <c r="L4697"/>
      <c r="M4697"/>
      <c r="N4697"/>
      <c r="O4697"/>
    </row>
    <row r="4698" spans="1:15" hidden="1" x14ac:dyDescent="0.25">
      <c r="A4698" t="s">
        <v>75</v>
      </c>
      <c r="B4698" t="s">
        <v>115</v>
      </c>
      <c r="C4698" t="b">
        <v>0</v>
      </c>
      <c r="D4698" s="1">
        <v>42338</v>
      </c>
      <c r="E4698">
        <v>5</v>
      </c>
      <c r="F4698"/>
      <c r="G4698"/>
      <c r="H4698"/>
      <c r="I4698"/>
      <c r="J4698"/>
      <c r="K4698"/>
      <c r="L4698"/>
      <c r="M4698"/>
      <c r="N4698"/>
      <c r="O4698"/>
    </row>
    <row r="4699" spans="1:15" hidden="1" x14ac:dyDescent="0.25">
      <c r="A4699" t="s">
        <v>76</v>
      </c>
      <c r="B4699" t="s">
        <v>115</v>
      </c>
      <c r="C4699" t="b">
        <v>0</v>
      </c>
      <c r="D4699" s="1">
        <v>42338</v>
      </c>
      <c r="E4699">
        <v>1E-3</v>
      </c>
      <c r="F4699"/>
      <c r="G4699"/>
      <c r="H4699"/>
      <c r="I4699"/>
      <c r="J4699"/>
      <c r="K4699"/>
      <c r="L4699"/>
      <c r="M4699"/>
      <c r="N4699"/>
      <c r="O4699"/>
    </row>
    <row r="4700" spans="1:15" hidden="1" x14ac:dyDescent="0.25">
      <c r="A4700" t="s">
        <v>81</v>
      </c>
      <c r="B4700" t="s">
        <v>115</v>
      </c>
      <c r="C4700" t="b">
        <v>0</v>
      </c>
      <c r="D4700" s="1">
        <v>42338</v>
      </c>
      <c r="E4700">
        <v>5</v>
      </c>
      <c r="F4700"/>
      <c r="G4700"/>
      <c r="H4700"/>
      <c r="I4700"/>
      <c r="J4700"/>
      <c r="K4700"/>
      <c r="L4700"/>
      <c r="M4700"/>
      <c r="N4700"/>
      <c r="O4700"/>
    </row>
    <row r="4701" spans="1:15" hidden="1" x14ac:dyDescent="0.25">
      <c r="A4701" t="s">
        <v>85</v>
      </c>
      <c r="B4701" t="s">
        <v>115</v>
      </c>
      <c r="C4701" t="b">
        <v>0</v>
      </c>
      <c r="D4701" s="1">
        <v>42338</v>
      </c>
      <c r="E4701">
        <v>5</v>
      </c>
      <c r="F4701"/>
      <c r="G4701"/>
      <c r="H4701"/>
      <c r="I4701"/>
      <c r="J4701"/>
      <c r="K4701"/>
      <c r="L4701"/>
      <c r="M4701"/>
      <c r="N4701"/>
      <c r="O4701"/>
    </row>
    <row r="4702" spans="1:15" hidden="1" x14ac:dyDescent="0.25">
      <c r="A4702" t="s">
        <v>82</v>
      </c>
      <c r="B4702" t="s">
        <v>115</v>
      </c>
      <c r="C4702" t="b">
        <v>0</v>
      </c>
      <c r="D4702" s="1">
        <v>42338</v>
      </c>
      <c r="E4702">
        <v>5</v>
      </c>
      <c r="F4702"/>
      <c r="G4702"/>
      <c r="H4702"/>
      <c r="I4702"/>
      <c r="J4702"/>
      <c r="K4702"/>
      <c r="L4702"/>
      <c r="M4702"/>
      <c r="N4702"/>
      <c r="O4702"/>
    </row>
    <row r="4703" spans="1:15" hidden="1" x14ac:dyDescent="0.25">
      <c r="A4703" t="s">
        <v>84</v>
      </c>
      <c r="B4703" t="s">
        <v>115</v>
      </c>
      <c r="C4703" t="b">
        <v>0</v>
      </c>
      <c r="D4703" s="1">
        <v>42338</v>
      </c>
      <c r="E4703">
        <v>5</v>
      </c>
      <c r="F4703"/>
      <c r="G4703"/>
      <c r="H4703"/>
      <c r="I4703"/>
      <c r="J4703"/>
      <c r="K4703"/>
      <c r="L4703"/>
      <c r="M4703"/>
      <c r="N4703"/>
      <c r="O4703"/>
    </row>
    <row r="4704" spans="1:15" hidden="1" x14ac:dyDescent="0.25">
      <c r="A4704" t="s">
        <v>86</v>
      </c>
      <c r="B4704" t="s">
        <v>115</v>
      </c>
      <c r="C4704" t="b">
        <v>0</v>
      </c>
      <c r="D4704" s="1">
        <v>42338</v>
      </c>
      <c r="E4704">
        <v>5</v>
      </c>
      <c r="F4704"/>
      <c r="G4704"/>
      <c r="H4704"/>
      <c r="I4704"/>
      <c r="J4704"/>
      <c r="K4704"/>
      <c r="L4704"/>
      <c r="M4704"/>
      <c r="N4704"/>
      <c r="O4704"/>
    </row>
    <row r="4705" spans="1:15" hidden="1" x14ac:dyDescent="0.25">
      <c r="A4705" t="s">
        <v>88</v>
      </c>
      <c r="B4705" t="s">
        <v>115</v>
      </c>
      <c r="C4705" t="b">
        <v>0</v>
      </c>
      <c r="D4705" s="1">
        <v>42338</v>
      </c>
      <c r="E4705">
        <v>5</v>
      </c>
      <c r="F4705"/>
      <c r="G4705"/>
      <c r="H4705"/>
      <c r="I4705"/>
      <c r="J4705"/>
      <c r="K4705"/>
      <c r="L4705"/>
      <c r="M4705"/>
      <c r="N4705"/>
      <c r="O4705"/>
    </row>
    <row r="4706" spans="1:15" hidden="1" x14ac:dyDescent="0.25">
      <c r="A4706" t="s">
        <v>94</v>
      </c>
      <c r="B4706" t="s">
        <v>115</v>
      </c>
      <c r="C4706" t="b">
        <v>0</v>
      </c>
      <c r="D4706" s="1">
        <v>42338</v>
      </c>
      <c r="E4706">
        <v>5</v>
      </c>
      <c r="F4706"/>
      <c r="G4706"/>
      <c r="H4706"/>
      <c r="I4706"/>
      <c r="J4706"/>
      <c r="K4706"/>
      <c r="L4706"/>
      <c r="M4706"/>
      <c r="N4706"/>
      <c r="O4706"/>
    </row>
    <row r="4707" spans="1:15" hidden="1" x14ac:dyDescent="0.25">
      <c r="A4707" t="s">
        <v>96</v>
      </c>
      <c r="B4707" t="s">
        <v>115</v>
      </c>
      <c r="C4707" t="b">
        <v>0</v>
      </c>
      <c r="D4707" s="1">
        <v>42338</v>
      </c>
      <c r="E4707">
        <v>5</v>
      </c>
      <c r="F4707"/>
      <c r="G4707"/>
      <c r="H4707"/>
      <c r="I4707"/>
      <c r="J4707"/>
      <c r="K4707"/>
      <c r="L4707"/>
      <c r="M4707"/>
      <c r="N4707"/>
      <c r="O4707"/>
    </row>
    <row r="4708" spans="1:15" hidden="1" x14ac:dyDescent="0.25">
      <c r="A4708" t="s">
        <v>98</v>
      </c>
      <c r="B4708" t="s">
        <v>115</v>
      </c>
      <c r="C4708" t="b">
        <v>0</v>
      </c>
      <c r="D4708" s="1">
        <v>42338</v>
      </c>
      <c r="E4708">
        <v>5</v>
      </c>
      <c r="F4708"/>
      <c r="G4708"/>
      <c r="H4708"/>
      <c r="I4708"/>
      <c r="J4708"/>
      <c r="K4708"/>
      <c r="L4708"/>
      <c r="M4708"/>
      <c r="N4708"/>
      <c r="O4708"/>
    </row>
    <row r="4709" spans="1:15" hidden="1" x14ac:dyDescent="0.25">
      <c r="A4709" t="s">
        <v>97</v>
      </c>
      <c r="B4709" t="s">
        <v>115</v>
      </c>
      <c r="C4709" t="b">
        <v>0</v>
      </c>
      <c r="D4709" s="1">
        <v>42338</v>
      </c>
      <c r="E4709">
        <v>5</v>
      </c>
      <c r="F4709"/>
      <c r="G4709"/>
      <c r="H4709"/>
      <c r="I4709"/>
      <c r="J4709"/>
      <c r="K4709"/>
      <c r="L4709"/>
      <c r="M4709"/>
      <c r="N4709"/>
      <c r="O4709"/>
    </row>
    <row r="4710" spans="1:15" hidden="1" x14ac:dyDescent="0.25">
      <c r="A4710" t="s">
        <v>99</v>
      </c>
      <c r="B4710" t="s">
        <v>114</v>
      </c>
      <c r="C4710" t="b">
        <v>0</v>
      </c>
      <c r="D4710" s="1">
        <v>42338</v>
      </c>
      <c r="E4710">
        <v>32.049999999999997</v>
      </c>
      <c r="F4710"/>
      <c r="G4710"/>
      <c r="H4710"/>
      <c r="I4710"/>
      <c r="J4710"/>
      <c r="K4710"/>
      <c r="L4710"/>
      <c r="M4710"/>
      <c r="N4710"/>
      <c r="O4710"/>
    </row>
    <row r="4711" spans="1:15" hidden="1" x14ac:dyDescent="0.25">
      <c r="A4711" t="s">
        <v>100</v>
      </c>
      <c r="B4711" t="s">
        <v>117</v>
      </c>
      <c r="C4711" t="b">
        <v>0</v>
      </c>
      <c r="D4711" s="1">
        <v>42369</v>
      </c>
      <c r="E4711" s="2">
        <v>-61.070000000000014</v>
      </c>
      <c r="F4711"/>
      <c r="G4711"/>
      <c r="H4711"/>
      <c r="I4711"/>
      <c r="J4711"/>
      <c r="K4711"/>
      <c r="L4711"/>
      <c r="M4711"/>
      <c r="N4711"/>
      <c r="O4711"/>
    </row>
    <row r="4712" spans="1:15" hidden="1" x14ac:dyDescent="0.25">
      <c r="A4712" t="s">
        <v>102</v>
      </c>
      <c r="B4712" t="s">
        <v>117</v>
      </c>
      <c r="C4712" t="b">
        <v>0</v>
      </c>
      <c r="D4712" s="1">
        <v>42369</v>
      </c>
      <c r="E4712" s="2">
        <v>-31.96</v>
      </c>
      <c r="F4712"/>
      <c r="G4712"/>
      <c r="H4712"/>
      <c r="I4712"/>
      <c r="J4712"/>
      <c r="K4712"/>
      <c r="L4712"/>
      <c r="M4712"/>
      <c r="N4712"/>
      <c r="O4712"/>
    </row>
    <row r="4713" spans="1:15" hidden="1" x14ac:dyDescent="0.25">
      <c r="A4713" t="s">
        <v>103</v>
      </c>
      <c r="B4713" t="s">
        <v>117</v>
      </c>
      <c r="C4713" t="b">
        <v>0</v>
      </c>
      <c r="D4713" s="1">
        <v>42369</v>
      </c>
      <c r="E4713" s="2">
        <v>-24.97</v>
      </c>
      <c r="F4713"/>
      <c r="G4713"/>
      <c r="H4713"/>
      <c r="I4713"/>
      <c r="J4713"/>
      <c r="K4713"/>
      <c r="L4713"/>
      <c r="M4713"/>
      <c r="N4713"/>
      <c r="O4713"/>
    </row>
    <row r="4714" spans="1:15" hidden="1" x14ac:dyDescent="0.25">
      <c r="A4714" t="s">
        <v>47</v>
      </c>
      <c r="B4714" t="s">
        <v>115</v>
      </c>
      <c r="C4714" t="b">
        <v>0</v>
      </c>
      <c r="D4714" s="1">
        <v>42369</v>
      </c>
      <c r="E4714">
        <v>5</v>
      </c>
      <c r="F4714"/>
      <c r="G4714"/>
      <c r="H4714"/>
      <c r="I4714"/>
      <c r="J4714"/>
      <c r="K4714"/>
      <c r="L4714"/>
      <c r="M4714"/>
      <c r="N4714"/>
      <c r="O4714"/>
    </row>
    <row r="4715" spans="1:15" hidden="1" x14ac:dyDescent="0.25">
      <c r="A4715" t="s">
        <v>43</v>
      </c>
      <c r="B4715" t="s">
        <v>115</v>
      </c>
      <c r="C4715" t="b">
        <v>0</v>
      </c>
      <c r="D4715" s="1">
        <v>42369</v>
      </c>
      <c r="E4715">
        <v>5</v>
      </c>
      <c r="F4715"/>
      <c r="G4715"/>
      <c r="H4715"/>
      <c r="I4715"/>
      <c r="J4715"/>
      <c r="K4715"/>
      <c r="L4715"/>
      <c r="M4715"/>
      <c r="N4715"/>
      <c r="O4715"/>
    </row>
    <row r="4716" spans="1:15" hidden="1" x14ac:dyDescent="0.25">
      <c r="A4716" t="s">
        <v>48</v>
      </c>
      <c r="B4716" t="s">
        <v>115</v>
      </c>
      <c r="C4716" t="b">
        <v>0</v>
      </c>
      <c r="D4716" s="1">
        <v>42369</v>
      </c>
      <c r="E4716">
        <v>5</v>
      </c>
      <c r="F4716"/>
      <c r="G4716"/>
      <c r="H4716"/>
      <c r="I4716"/>
      <c r="J4716"/>
      <c r="K4716"/>
      <c r="L4716"/>
      <c r="M4716"/>
      <c r="N4716"/>
      <c r="O4716"/>
    </row>
    <row r="4717" spans="1:15" hidden="1" x14ac:dyDescent="0.25">
      <c r="A4717" t="s">
        <v>50</v>
      </c>
      <c r="B4717" t="s">
        <v>115</v>
      </c>
      <c r="C4717" t="b">
        <v>0</v>
      </c>
      <c r="D4717" s="1">
        <v>42369</v>
      </c>
      <c r="E4717">
        <v>5</v>
      </c>
      <c r="F4717"/>
      <c r="G4717"/>
      <c r="H4717"/>
      <c r="I4717"/>
      <c r="J4717"/>
      <c r="K4717"/>
      <c r="L4717"/>
      <c r="M4717"/>
      <c r="N4717"/>
      <c r="O4717"/>
    </row>
    <row r="4718" spans="1:15" hidden="1" x14ac:dyDescent="0.25">
      <c r="A4718" t="s">
        <v>51</v>
      </c>
      <c r="B4718" t="s">
        <v>115</v>
      </c>
      <c r="C4718" t="b">
        <v>0</v>
      </c>
      <c r="D4718" s="1">
        <v>42369</v>
      </c>
      <c r="E4718">
        <v>5</v>
      </c>
      <c r="F4718"/>
      <c r="G4718"/>
      <c r="H4718"/>
      <c r="I4718"/>
      <c r="J4718"/>
      <c r="K4718"/>
      <c r="L4718"/>
      <c r="M4718"/>
      <c r="N4718"/>
      <c r="O4718"/>
    </row>
    <row r="4719" spans="1:15" hidden="1" x14ac:dyDescent="0.25">
      <c r="A4719" t="s">
        <v>52</v>
      </c>
      <c r="B4719" t="s">
        <v>115</v>
      </c>
      <c r="C4719" t="b">
        <v>0</v>
      </c>
      <c r="D4719" s="1">
        <v>42369</v>
      </c>
      <c r="E4719">
        <v>5</v>
      </c>
      <c r="F4719"/>
      <c r="G4719"/>
      <c r="H4719"/>
      <c r="I4719"/>
      <c r="J4719"/>
      <c r="K4719"/>
      <c r="L4719"/>
      <c r="M4719"/>
      <c r="N4719"/>
      <c r="O4719"/>
    </row>
    <row r="4720" spans="1:15" hidden="1" x14ac:dyDescent="0.25">
      <c r="A4720" t="s">
        <v>53</v>
      </c>
      <c r="B4720" t="s">
        <v>115</v>
      </c>
      <c r="C4720" t="b">
        <v>0</v>
      </c>
      <c r="D4720" s="1">
        <v>42369</v>
      </c>
      <c r="E4720">
        <v>5</v>
      </c>
      <c r="F4720"/>
      <c r="G4720"/>
      <c r="H4720"/>
      <c r="I4720"/>
      <c r="J4720"/>
      <c r="K4720"/>
      <c r="L4720"/>
      <c r="M4720"/>
      <c r="N4720"/>
      <c r="O4720"/>
    </row>
    <row r="4721" spans="1:15" hidden="1" x14ac:dyDescent="0.25">
      <c r="A4721" t="s">
        <v>54</v>
      </c>
      <c r="B4721" t="s">
        <v>115</v>
      </c>
      <c r="C4721" t="b">
        <v>0</v>
      </c>
      <c r="D4721" s="1">
        <v>42369</v>
      </c>
      <c r="E4721">
        <v>5</v>
      </c>
      <c r="F4721"/>
      <c r="G4721"/>
      <c r="H4721"/>
      <c r="I4721"/>
      <c r="J4721"/>
      <c r="K4721"/>
      <c r="L4721"/>
      <c r="M4721"/>
      <c r="N4721"/>
      <c r="O4721"/>
    </row>
    <row r="4722" spans="1:15" hidden="1" x14ac:dyDescent="0.25">
      <c r="A4722" t="s">
        <v>55</v>
      </c>
      <c r="B4722" t="s">
        <v>115</v>
      </c>
      <c r="C4722" t="b">
        <v>0</v>
      </c>
      <c r="D4722" s="1">
        <v>42369</v>
      </c>
      <c r="E4722">
        <v>5</v>
      </c>
      <c r="F4722"/>
      <c r="G4722"/>
      <c r="H4722"/>
      <c r="I4722"/>
      <c r="J4722"/>
      <c r="K4722"/>
      <c r="L4722"/>
      <c r="M4722"/>
      <c r="N4722"/>
      <c r="O4722"/>
    </row>
    <row r="4723" spans="1:15" hidden="1" x14ac:dyDescent="0.25">
      <c r="A4723" t="s">
        <v>58</v>
      </c>
      <c r="B4723" t="s">
        <v>115</v>
      </c>
      <c r="C4723" t="b">
        <v>0</v>
      </c>
      <c r="D4723" s="1">
        <v>42369</v>
      </c>
      <c r="E4723">
        <v>5</v>
      </c>
      <c r="F4723"/>
      <c r="G4723"/>
      <c r="H4723"/>
      <c r="I4723"/>
      <c r="J4723"/>
      <c r="K4723"/>
      <c r="L4723"/>
      <c r="M4723"/>
      <c r="N4723"/>
      <c r="O4723"/>
    </row>
    <row r="4724" spans="1:15" hidden="1" x14ac:dyDescent="0.25">
      <c r="A4724" t="s">
        <v>65</v>
      </c>
      <c r="B4724" t="s">
        <v>115</v>
      </c>
      <c r="C4724" t="b">
        <v>0</v>
      </c>
      <c r="D4724" s="1">
        <v>42369</v>
      </c>
      <c r="E4724">
        <v>5</v>
      </c>
      <c r="F4724"/>
      <c r="G4724"/>
      <c r="H4724"/>
      <c r="I4724"/>
      <c r="J4724"/>
      <c r="K4724"/>
      <c r="L4724"/>
      <c r="M4724"/>
      <c r="N4724"/>
      <c r="O4724"/>
    </row>
    <row r="4725" spans="1:15" hidden="1" x14ac:dyDescent="0.25">
      <c r="A4725" t="s">
        <v>68</v>
      </c>
      <c r="B4725" t="s">
        <v>115</v>
      </c>
      <c r="C4725" t="b">
        <v>0</v>
      </c>
      <c r="D4725" s="1">
        <v>42369</v>
      </c>
      <c r="E4725">
        <v>5</v>
      </c>
      <c r="F4725"/>
      <c r="G4725"/>
      <c r="H4725"/>
      <c r="I4725"/>
      <c r="J4725"/>
      <c r="K4725"/>
      <c r="L4725"/>
      <c r="M4725"/>
      <c r="N4725"/>
      <c r="O4725"/>
    </row>
    <row r="4726" spans="1:15" hidden="1" x14ac:dyDescent="0.25">
      <c r="A4726" t="s">
        <v>69</v>
      </c>
      <c r="B4726" t="s">
        <v>115</v>
      </c>
      <c r="C4726" t="b">
        <v>0</v>
      </c>
      <c r="D4726" s="1">
        <v>42369</v>
      </c>
      <c r="E4726">
        <v>5</v>
      </c>
      <c r="F4726"/>
      <c r="G4726"/>
      <c r="H4726"/>
      <c r="I4726"/>
      <c r="J4726"/>
      <c r="K4726"/>
      <c r="L4726"/>
      <c r="M4726"/>
      <c r="N4726"/>
      <c r="O4726"/>
    </row>
    <row r="4727" spans="1:15" hidden="1" x14ac:dyDescent="0.25">
      <c r="A4727" t="s">
        <v>75</v>
      </c>
      <c r="B4727" t="s">
        <v>115</v>
      </c>
      <c r="C4727" t="b">
        <v>0</v>
      </c>
      <c r="D4727" s="1">
        <v>42369</v>
      </c>
      <c r="E4727">
        <v>5</v>
      </c>
      <c r="F4727"/>
      <c r="G4727"/>
      <c r="H4727"/>
      <c r="I4727"/>
      <c r="J4727"/>
      <c r="K4727"/>
      <c r="L4727"/>
      <c r="M4727"/>
      <c r="N4727"/>
      <c r="O4727"/>
    </row>
    <row r="4728" spans="1:15" hidden="1" x14ac:dyDescent="0.25">
      <c r="A4728" t="s">
        <v>76</v>
      </c>
      <c r="B4728" t="s">
        <v>115</v>
      </c>
      <c r="C4728" t="b">
        <v>0</v>
      </c>
      <c r="D4728" s="1">
        <v>42369</v>
      </c>
      <c r="E4728">
        <v>1E-3</v>
      </c>
      <c r="F4728"/>
      <c r="G4728"/>
      <c r="H4728"/>
      <c r="I4728"/>
      <c r="J4728"/>
      <c r="K4728"/>
      <c r="L4728"/>
      <c r="M4728"/>
      <c r="N4728"/>
      <c r="O4728"/>
    </row>
    <row r="4729" spans="1:15" hidden="1" x14ac:dyDescent="0.25">
      <c r="A4729" t="s">
        <v>81</v>
      </c>
      <c r="B4729" t="s">
        <v>115</v>
      </c>
      <c r="C4729" t="b">
        <v>0</v>
      </c>
      <c r="D4729" s="1">
        <v>42369</v>
      </c>
      <c r="E4729">
        <v>5</v>
      </c>
      <c r="F4729"/>
      <c r="G4729"/>
      <c r="H4729"/>
      <c r="I4729"/>
      <c r="J4729"/>
      <c r="K4729"/>
      <c r="L4729"/>
      <c r="M4729"/>
      <c r="N4729"/>
      <c r="O4729"/>
    </row>
    <row r="4730" spans="1:15" hidden="1" x14ac:dyDescent="0.25">
      <c r="A4730" t="s">
        <v>85</v>
      </c>
      <c r="B4730" t="s">
        <v>115</v>
      </c>
      <c r="C4730" t="b">
        <v>0</v>
      </c>
      <c r="D4730" s="1">
        <v>42369</v>
      </c>
      <c r="E4730">
        <v>5</v>
      </c>
      <c r="F4730"/>
      <c r="G4730"/>
      <c r="H4730"/>
      <c r="I4730"/>
      <c r="J4730"/>
      <c r="K4730"/>
      <c r="L4730"/>
      <c r="M4730"/>
      <c r="N4730"/>
      <c r="O4730"/>
    </row>
    <row r="4731" spans="1:15" hidden="1" x14ac:dyDescent="0.25">
      <c r="A4731" t="s">
        <v>82</v>
      </c>
      <c r="B4731" t="s">
        <v>115</v>
      </c>
      <c r="C4731" t="b">
        <v>0</v>
      </c>
      <c r="D4731" s="1">
        <v>42369</v>
      </c>
      <c r="E4731">
        <v>5</v>
      </c>
      <c r="F4731"/>
      <c r="G4731"/>
      <c r="H4731"/>
      <c r="I4731"/>
      <c r="J4731"/>
      <c r="K4731"/>
      <c r="L4731"/>
      <c r="M4731"/>
      <c r="N4731"/>
      <c r="O4731"/>
    </row>
    <row r="4732" spans="1:15" hidden="1" x14ac:dyDescent="0.25">
      <c r="A4732" t="s">
        <v>84</v>
      </c>
      <c r="B4732" t="s">
        <v>115</v>
      </c>
      <c r="C4732" t="b">
        <v>0</v>
      </c>
      <c r="D4732" s="1">
        <v>42369</v>
      </c>
      <c r="E4732">
        <v>5</v>
      </c>
      <c r="F4732"/>
      <c r="G4732"/>
      <c r="H4732"/>
      <c r="I4732"/>
      <c r="J4732"/>
      <c r="K4732"/>
      <c r="L4732"/>
      <c r="M4732"/>
      <c r="N4732"/>
      <c r="O4732"/>
    </row>
    <row r="4733" spans="1:15" hidden="1" x14ac:dyDescent="0.25">
      <c r="A4733" t="s">
        <v>86</v>
      </c>
      <c r="B4733" t="s">
        <v>115</v>
      </c>
      <c r="C4733" t="b">
        <v>0</v>
      </c>
      <c r="D4733" s="1">
        <v>42369</v>
      </c>
      <c r="E4733">
        <v>0</v>
      </c>
      <c r="F4733"/>
      <c r="G4733"/>
      <c r="H4733"/>
      <c r="I4733"/>
      <c r="J4733"/>
      <c r="K4733"/>
      <c r="L4733"/>
      <c r="M4733"/>
      <c r="N4733"/>
      <c r="O4733"/>
    </row>
    <row r="4734" spans="1:15" hidden="1" x14ac:dyDescent="0.25">
      <c r="A4734" t="s">
        <v>88</v>
      </c>
      <c r="B4734" t="s">
        <v>115</v>
      </c>
      <c r="C4734" t="b">
        <v>0</v>
      </c>
      <c r="D4734" s="1">
        <v>42369</v>
      </c>
      <c r="E4734">
        <v>5</v>
      </c>
      <c r="F4734"/>
      <c r="G4734"/>
      <c r="H4734"/>
      <c r="I4734"/>
      <c r="J4734"/>
      <c r="K4734"/>
      <c r="L4734"/>
      <c r="M4734"/>
      <c r="N4734"/>
      <c r="O4734"/>
    </row>
    <row r="4735" spans="1:15" hidden="1" x14ac:dyDescent="0.25">
      <c r="A4735" t="s">
        <v>94</v>
      </c>
      <c r="B4735" t="s">
        <v>115</v>
      </c>
      <c r="C4735" t="b">
        <v>0</v>
      </c>
      <c r="D4735" s="1">
        <v>42369</v>
      </c>
      <c r="E4735">
        <v>5</v>
      </c>
      <c r="F4735"/>
      <c r="G4735"/>
      <c r="H4735"/>
      <c r="I4735"/>
      <c r="J4735"/>
      <c r="K4735"/>
      <c r="L4735"/>
      <c r="M4735"/>
      <c r="N4735"/>
      <c r="O4735"/>
    </row>
    <row r="4736" spans="1:15" hidden="1" x14ac:dyDescent="0.25">
      <c r="A4736" t="s">
        <v>96</v>
      </c>
      <c r="B4736" t="s">
        <v>115</v>
      </c>
      <c r="C4736" t="b">
        <v>0</v>
      </c>
      <c r="D4736" s="1">
        <v>42369</v>
      </c>
      <c r="E4736">
        <v>5</v>
      </c>
      <c r="F4736"/>
      <c r="G4736"/>
      <c r="H4736"/>
      <c r="I4736"/>
      <c r="J4736"/>
      <c r="K4736"/>
      <c r="L4736"/>
      <c r="M4736"/>
      <c r="N4736"/>
      <c r="O4736"/>
    </row>
    <row r="4737" spans="1:15" hidden="1" x14ac:dyDescent="0.25">
      <c r="A4737" t="s">
        <v>98</v>
      </c>
      <c r="B4737" t="s">
        <v>115</v>
      </c>
      <c r="C4737" t="b">
        <v>0</v>
      </c>
      <c r="D4737" s="1">
        <v>42369</v>
      </c>
      <c r="E4737">
        <v>5</v>
      </c>
      <c r="F4737"/>
      <c r="G4737"/>
      <c r="H4737"/>
      <c r="I4737"/>
      <c r="J4737"/>
      <c r="K4737"/>
      <c r="L4737"/>
      <c r="M4737"/>
      <c r="N4737"/>
      <c r="O4737"/>
    </row>
    <row r="4738" spans="1:15" hidden="1" x14ac:dyDescent="0.25">
      <c r="A4738" t="s">
        <v>97</v>
      </c>
      <c r="B4738" t="s">
        <v>115</v>
      </c>
      <c r="C4738" t="b">
        <v>0</v>
      </c>
      <c r="D4738" s="1">
        <v>42369</v>
      </c>
      <c r="E4738">
        <v>5</v>
      </c>
      <c r="F4738"/>
      <c r="G4738"/>
      <c r="H4738"/>
      <c r="I4738"/>
      <c r="J4738"/>
      <c r="K4738"/>
      <c r="L4738"/>
      <c r="M4738"/>
      <c r="N4738"/>
      <c r="O4738"/>
    </row>
    <row r="4739" spans="1:15" hidden="1" x14ac:dyDescent="0.25">
      <c r="A4739" t="s">
        <v>99</v>
      </c>
      <c r="B4739" t="s">
        <v>114</v>
      </c>
      <c r="C4739" t="b">
        <v>0</v>
      </c>
      <c r="D4739" s="1">
        <v>42369</v>
      </c>
      <c r="E4739">
        <v>17.229999999999997</v>
      </c>
      <c r="F4739"/>
      <c r="G4739"/>
      <c r="H4739"/>
      <c r="I4739"/>
      <c r="J4739"/>
      <c r="K4739"/>
      <c r="L4739"/>
      <c r="M4739"/>
      <c r="N4739"/>
      <c r="O4739"/>
    </row>
    <row r="4740" spans="1:15" hidden="1" x14ac:dyDescent="0.25">
      <c r="A4740" t="s">
        <v>100</v>
      </c>
      <c r="B4740" t="s">
        <v>117</v>
      </c>
      <c r="C4740" t="b">
        <v>0</v>
      </c>
      <c r="D4740" s="1">
        <v>42400</v>
      </c>
      <c r="E4740" s="2">
        <v>-62.94</v>
      </c>
      <c r="F4740"/>
      <c r="G4740"/>
      <c r="H4740"/>
      <c r="I4740"/>
      <c r="J4740"/>
      <c r="K4740"/>
      <c r="L4740"/>
      <c r="M4740"/>
      <c r="N4740"/>
      <c r="O4740"/>
    </row>
    <row r="4741" spans="1:15" hidden="1" x14ac:dyDescent="0.25">
      <c r="A4741" t="s">
        <v>104</v>
      </c>
      <c r="B4741" t="s">
        <v>117</v>
      </c>
      <c r="C4741" t="b">
        <v>0</v>
      </c>
      <c r="D4741" s="1">
        <v>42400</v>
      </c>
      <c r="E4741" s="2">
        <v>-9.98</v>
      </c>
      <c r="F4741"/>
      <c r="G4741"/>
      <c r="H4741"/>
      <c r="I4741"/>
      <c r="J4741"/>
      <c r="K4741"/>
      <c r="L4741"/>
      <c r="M4741"/>
      <c r="N4741"/>
      <c r="O4741"/>
    </row>
    <row r="4742" spans="1:15" hidden="1" x14ac:dyDescent="0.25">
      <c r="A4742" t="s">
        <v>102</v>
      </c>
      <c r="B4742" t="s">
        <v>117</v>
      </c>
      <c r="C4742" t="b">
        <v>0</v>
      </c>
      <c r="D4742" s="1">
        <v>42400</v>
      </c>
      <c r="E4742" s="2">
        <v>-36.549999999999997</v>
      </c>
      <c r="F4742"/>
      <c r="G4742"/>
      <c r="H4742"/>
      <c r="I4742"/>
      <c r="J4742"/>
      <c r="K4742"/>
      <c r="L4742"/>
      <c r="M4742"/>
      <c r="N4742"/>
      <c r="O4742"/>
    </row>
    <row r="4743" spans="1:15" hidden="1" x14ac:dyDescent="0.25">
      <c r="A4743" t="s">
        <v>103</v>
      </c>
      <c r="B4743" t="s">
        <v>117</v>
      </c>
      <c r="C4743" t="b">
        <v>0</v>
      </c>
      <c r="D4743" s="1">
        <v>42400</v>
      </c>
      <c r="E4743" s="2">
        <v>-2.5</v>
      </c>
      <c r="F4743"/>
      <c r="G4743"/>
      <c r="H4743"/>
      <c r="I4743"/>
      <c r="J4743"/>
      <c r="K4743"/>
      <c r="L4743"/>
      <c r="M4743"/>
      <c r="N4743"/>
      <c r="O4743"/>
    </row>
    <row r="4744" spans="1:15" hidden="1" x14ac:dyDescent="0.25">
      <c r="A4744" t="s">
        <v>47</v>
      </c>
      <c r="B4744" t="s">
        <v>115</v>
      </c>
      <c r="C4744" t="b">
        <v>0</v>
      </c>
      <c r="D4744" s="1">
        <v>42400</v>
      </c>
      <c r="E4744">
        <v>5</v>
      </c>
      <c r="F4744"/>
      <c r="G4744"/>
      <c r="H4744"/>
      <c r="I4744"/>
      <c r="J4744"/>
      <c r="K4744"/>
      <c r="L4744"/>
      <c r="M4744"/>
      <c r="N4744"/>
      <c r="O4744"/>
    </row>
    <row r="4745" spans="1:15" hidden="1" x14ac:dyDescent="0.25">
      <c r="A4745" t="s">
        <v>43</v>
      </c>
      <c r="B4745" t="s">
        <v>115</v>
      </c>
      <c r="C4745" t="b">
        <v>0</v>
      </c>
      <c r="D4745" s="1">
        <v>42400</v>
      </c>
      <c r="E4745">
        <v>5</v>
      </c>
      <c r="F4745"/>
      <c r="G4745"/>
      <c r="H4745"/>
      <c r="I4745"/>
      <c r="J4745"/>
      <c r="K4745"/>
      <c r="L4745"/>
      <c r="M4745"/>
      <c r="N4745"/>
      <c r="O4745"/>
    </row>
    <row r="4746" spans="1:15" hidden="1" x14ac:dyDescent="0.25">
      <c r="A4746" t="s">
        <v>50</v>
      </c>
      <c r="B4746" t="s">
        <v>115</v>
      </c>
      <c r="C4746" t="b">
        <v>0</v>
      </c>
      <c r="D4746" s="1">
        <v>42400</v>
      </c>
      <c r="E4746">
        <v>5</v>
      </c>
      <c r="F4746"/>
      <c r="G4746"/>
      <c r="H4746"/>
      <c r="I4746"/>
      <c r="J4746"/>
      <c r="K4746"/>
      <c r="L4746"/>
      <c r="M4746"/>
      <c r="N4746"/>
      <c r="O4746"/>
    </row>
    <row r="4747" spans="1:15" hidden="1" x14ac:dyDescent="0.25">
      <c r="A4747" t="s">
        <v>51</v>
      </c>
      <c r="B4747" t="s">
        <v>115</v>
      </c>
      <c r="C4747" t="b">
        <v>0</v>
      </c>
      <c r="D4747" s="1">
        <v>42400</v>
      </c>
      <c r="E4747">
        <v>5</v>
      </c>
      <c r="F4747"/>
      <c r="G4747"/>
      <c r="H4747"/>
      <c r="I4747"/>
      <c r="J4747"/>
      <c r="K4747"/>
      <c r="L4747"/>
      <c r="M4747"/>
      <c r="N4747"/>
      <c r="O4747"/>
    </row>
    <row r="4748" spans="1:15" hidden="1" x14ac:dyDescent="0.25">
      <c r="A4748" t="s">
        <v>52</v>
      </c>
      <c r="B4748" t="s">
        <v>115</v>
      </c>
      <c r="C4748" t="b">
        <v>0</v>
      </c>
      <c r="D4748" s="1">
        <v>42400</v>
      </c>
      <c r="E4748">
        <v>5</v>
      </c>
      <c r="F4748"/>
      <c r="G4748"/>
      <c r="H4748"/>
      <c r="I4748"/>
      <c r="J4748"/>
      <c r="K4748"/>
      <c r="L4748"/>
      <c r="M4748"/>
      <c r="N4748"/>
      <c r="O4748"/>
    </row>
    <row r="4749" spans="1:15" hidden="1" x14ac:dyDescent="0.25">
      <c r="A4749" t="s">
        <v>54</v>
      </c>
      <c r="B4749" t="s">
        <v>115</v>
      </c>
      <c r="C4749" t="b">
        <v>0</v>
      </c>
      <c r="D4749" s="1">
        <v>42400</v>
      </c>
      <c r="E4749">
        <v>5</v>
      </c>
      <c r="F4749"/>
      <c r="G4749"/>
      <c r="H4749"/>
      <c r="I4749"/>
      <c r="J4749"/>
      <c r="K4749"/>
      <c r="L4749"/>
      <c r="M4749"/>
      <c r="N4749"/>
      <c r="O4749"/>
    </row>
    <row r="4750" spans="1:15" hidden="1" x14ac:dyDescent="0.25">
      <c r="A4750" t="s">
        <v>55</v>
      </c>
      <c r="B4750" t="s">
        <v>115</v>
      </c>
      <c r="C4750" t="b">
        <v>0</v>
      </c>
      <c r="D4750" s="1">
        <v>42400</v>
      </c>
      <c r="E4750">
        <v>5</v>
      </c>
      <c r="F4750"/>
      <c r="G4750"/>
      <c r="H4750"/>
      <c r="I4750"/>
      <c r="J4750"/>
      <c r="K4750"/>
      <c r="L4750"/>
      <c r="M4750"/>
      <c r="N4750"/>
      <c r="O4750"/>
    </row>
    <row r="4751" spans="1:15" hidden="1" x14ac:dyDescent="0.25">
      <c r="A4751" t="s">
        <v>58</v>
      </c>
      <c r="B4751" t="s">
        <v>115</v>
      </c>
      <c r="C4751" t="b">
        <v>0</v>
      </c>
      <c r="D4751" s="1">
        <v>42400</v>
      </c>
      <c r="E4751">
        <v>5</v>
      </c>
      <c r="F4751"/>
      <c r="G4751"/>
      <c r="H4751"/>
      <c r="I4751"/>
      <c r="J4751"/>
      <c r="K4751"/>
      <c r="L4751"/>
      <c r="M4751"/>
      <c r="N4751"/>
      <c r="O4751"/>
    </row>
    <row r="4752" spans="1:15" hidden="1" x14ac:dyDescent="0.25">
      <c r="A4752" t="s">
        <v>65</v>
      </c>
      <c r="B4752" t="s">
        <v>115</v>
      </c>
      <c r="C4752" t="b">
        <v>0</v>
      </c>
      <c r="D4752" s="1">
        <v>42400</v>
      </c>
      <c r="E4752">
        <v>5</v>
      </c>
      <c r="F4752"/>
      <c r="G4752"/>
      <c r="H4752"/>
      <c r="I4752"/>
      <c r="J4752"/>
      <c r="K4752"/>
      <c r="L4752"/>
      <c r="M4752"/>
      <c r="N4752"/>
      <c r="O4752"/>
    </row>
    <row r="4753" spans="1:15" hidden="1" x14ac:dyDescent="0.25">
      <c r="A4753" t="s">
        <v>68</v>
      </c>
      <c r="B4753" t="s">
        <v>115</v>
      </c>
      <c r="C4753" t="b">
        <v>0</v>
      </c>
      <c r="D4753" s="1">
        <v>42400</v>
      </c>
      <c r="E4753">
        <v>5</v>
      </c>
      <c r="F4753"/>
      <c r="G4753"/>
      <c r="H4753"/>
      <c r="I4753"/>
      <c r="J4753"/>
      <c r="K4753"/>
      <c r="L4753"/>
      <c r="M4753"/>
      <c r="N4753"/>
      <c r="O4753"/>
    </row>
    <row r="4754" spans="1:15" hidden="1" x14ac:dyDescent="0.25">
      <c r="A4754" t="s">
        <v>69</v>
      </c>
      <c r="B4754" t="s">
        <v>115</v>
      </c>
      <c r="C4754" t="b">
        <v>0</v>
      </c>
      <c r="D4754" s="1">
        <v>42400</v>
      </c>
      <c r="E4754">
        <v>0</v>
      </c>
      <c r="F4754"/>
      <c r="G4754"/>
      <c r="H4754"/>
      <c r="I4754"/>
      <c r="J4754"/>
      <c r="K4754"/>
      <c r="L4754"/>
      <c r="M4754"/>
      <c r="N4754"/>
      <c r="O4754"/>
    </row>
    <row r="4755" spans="1:15" hidden="1" x14ac:dyDescent="0.25">
      <c r="A4755" t="s">
        <v>75</v>
      </c>
      <c r="B4755" t="s">
        <v>115</v>
      </c>
      <c r="C4755" t="b">
        <v>0</v>
      </c>
      <c r="D4755" s="1">
        <v>42400</v>
      </c>
      <c r="E4755">
        <v>5</v>
      </c>
      <c r="F4755"/>
      <c r="G4755"/>
      <c r="H4755"/>
      <c r="I4755"/>
      <c r="J4755"/>
      <c r="K4755"/>
      <c r="L4755"/>
      <c r="M4755"/>
      <c r="N4755"/>
      <c r="O4755"/>
    </row>
    <row r="4756" spans="1:15" hidden="1" x14ac:dyDescent="0.25">
      <c r="A4756" t="s">
        <v>76</v>
      </c>
      <c r="B4756" t="s">
        <v>115</v>
      </c>
      <c r="C4756" t="b">
        <v>0</v>
      </c>
      <c r="D4756" s="1">
        <v>42400</v>
      </c>
      <c r="E4756">
        <v>1E-3</v>
      </c>
      <c r="F4756"/>
      <c r="G4756"/>
      <c r="H4756"/>
      <c r="I4756"/>
      <c r="J4756"/>
      <c r="K4756"/>
      <c r="L4756"/>
      <c r="M4756"/>
      <c r="N4756"/>
      <c r="O4756"/>
    </row>
    <row r="4757" spans="1:15" hidden="1" x14ac:dyDescent="0.25">
      <c r="A4757" t="s">
        <v>81</v>
      </c>
      <c r="B4757" t="s">
        <v>115</v>
      </c>
      <c r="C4757" t="b">
        <v>0</v>
      </c>
      <c r="D4757" s="1">
        <v>42400</v>
      </c>
      <c r="E4757">
        <v>5</v>
      </c>
      <c r="F4757"/>
      <c r="G4757"/>
      <c r="H4757"/>
      <c r="I4757"/>
      <c r="J4757"/>
      <c r="K4757"/>
      <c r="L4757"/>
      <c r="M4757"/>
      <c r="N4757"/>
      <c r="O4757"/>
    </row>
    <row r="4758" spans="1:15" hidden="1" x14ac:dyDescent="0.25">
      <c r="A4758" t="s">
        <v>85</v>
      </c>
      <c r="B4758" t="s">
        <v>115</v>
      </c>
      <c r="C4758" t="b">
        <v>0</v>
      </c>
      <c r="D4758" s="1">
        <v>42400</v>
      </c>
      <c r="E4758">
        <v>5</v>
      </c>
      <c r="F4758"/>
      <c r="G4758"/>
      <c r="H4758"/>
      <c r="I4758"/>
      <c r="J4758"/>
      <c r="K4758"/>
      <c r="L4758"/>
      <c r="M4758"/>
      <c r="N4758"/>
      <c r="O4758"/>
    </row>
    <row r="4759" spans="1:15" hidden="1" x14ac:dyDescent="0.25">
      <c r="A4759" t="s">
        <v>82</v>
      </c>
      <c r="B4759" t="s">
        <v>115</v>
      </c>
      <c r="C4759" t="b">
        <v>0</v>
      </c>
      <c r="D4759" s="1">
        <v>42400</v>
      </c>
      <c r="E4759">
        <v>5</v>
      </c>
      <c r="F4759"/>
      <c r="G4759"/>
      <c r="H4759"/>
      <c r="I4759"/>
      <c r="J4759"/>
      <c r="K4759"/>
      <c r="L4759"/>
      <c r="M4759"/>
      <c r="N4759"/>
      <c r="O4759"/>
    </row>
    <row r="4760" spans="1:15" hidden="1" x14ac:dyDescent="0.25">
      <c r="A4760" t="s">
        <v>84</v>
      </c>
      <c r="B4760" t="s">
        <v>115</v>
      </c>
      <c r="C4760" t="b">
        <v>0</v>
      </c>
      <c r="D4760" s="1">
        <v>42400</v>
      </c>
      <c r="E4760">
        <v>5</v>
      </c>
      <c r="F4760"/>
      <c r="G4760"/>
      <c r="H4760"/>
      <c r="I4760"/>
      <c r="J4760"/>
      <c r="K4760"/>
      <c r="L4760"/>
      <c r="M4760"/>
      <c r="N4760"/>
      <c r="O4760"/>
    </row>
    <row r="4761" spans="1:15" hidden="1" x14ac:dyDescent="0.25">
      <c r="A4761" t="s">
        <v>88</v>
      </c>
      <c r="B4761" t="s">
        <v>115</v>
      </c>
      <c r="C4761" t="b">
        <v>0</v>
      </c>
      <c r="D4761" s="1">
        <v>42400</v>
      </c>
      <c r="E4761">
        <v>5</v>
      </c>
      <c r="F4761"/>
      <c r="G4761"/>
      <c r="H4761"/>
      <c r="I4761"/>
      <c r="J4761"/>
      <c r="K4761"/>
      <c r="L4761"/>
      <c r="M4761"/>
      <c r="N4761"/>
      <c r="O4761"/>
    </row>
    <row r="4762" spans="1:15" hidden="1" x14ac:dyDescent="0.25">
      <c r="A4762" t="s">
        <v>94</v>
      </c>
      <c r="B4762" t="s">
        <v>115</v>
      </c>
      <c r="C4762" t="b">
        <v>0</v>
      </c>
      <c r="D4762" s="1">
        <v>42400</v>
      </c>
      <c r="E4762">
        <v>5</v>
      </c>
      <c r="F4762"/>
      <c r="G4762"/>
      <c r="H4762"/>
      <c r="I4762"/>
      <c r="J4762"/>
      <c r="K4762"/>
      <c r="L4762"/>
      <c r="M4762"/>
      <c r="N4762"/>
      <c r="O4762"/>
    </row>
    <row r="4763" spans="1:15" hidden="1" x14ac:dyDescent="0.25">
      <c r="A4763" t="s">
        <v>96</v>
      </c>
      <c r="B4763" t="s">
        <v>115</v>
      </c>
      <c r="C4763" t="b">
        <v>0</v>
      </c>
      <c r="D4763" s="1">
        <v>42400</v>
      </c>
      <c r="E4763">
        <v>5</v>
      </c>
      <c r="F4763"/>
      <c r="G4763"/>
      <c r="H4763"/>
      <c r="I4763"/>
      <c r="J4763"/>
      <c r="K4763"/>
      <c r="L4763"/>
      <c r="M4763"/>
      <c r="N4763"/>
      <c r="O4763"/>
    </row>
    <row r="4764" spans="1:15" hidden="1" x14ac:dyDescent="0.25">
      <c r="A4764" t="s">
        <v>98</v>
      </c>
      <c r="B4764" t="s">
        <v>115</v>
      </c>
      <c r="C4764" t="b">
        <v>0</v>
      </c>
      <c r="D4764" s="1">
        <v>42400</v>
      </c>
      <c r="E4764">
        <v>5</v>
      </c>
      <c r="F4764"/>
      <c r="G4764"/>
      <c r="H4764"/>
      <c r="I4764"/>
      <c r="J4764"/>
      <c r="K4764"/>
      <c r="L4764"/>
      <c r="M4764"/>
      <c r="N4764"/>
      <c r="O4764"/>
    </row>
    <row r="4765" spans="1:15" hidden="1" x14ac:dyDescent="0.25">
      <c r="A4765" t="s">
        <v>97</v>
      </c>
      <c r="B4765" t="s">
        <v>115</v>
      </c>
      <c r="C4765" t="b">
        <v>0</v>
      </c>
      <c r="D4765" s="1">
        <v>42400</v>
      </c>
      <c r="E4765">
        <v>5</v>
      </c>
      <c r="F4765"/>
      <c r="G4765"/>
      <c r="H4765"/>
      <c r="I4765"/>
      <c r="J4765"/>
      <c r="K4765"/>
      <c r="L4765"/>
      <c r="M4765"/>
      <c r="N4765"/>
      <c r="O4765"/>
    </row>
    <row r="4766" spans="1:15" hidden="1" x14ac:dyDescent="0.25">
      <c r="A4766" t="s">
        <v>99</v>
      </c>
      <c r="B4766" t="s">
        <v>114</v>
      </c>
      <c r="C4766" t="b">
        <v>0</v>
      </c>
      <c r="D4766" s="1">
        <v>42400</v>
      </c>
      <c r="E4766">
        <v>27.740000000000002</v>
      </c>
      <c r="F4766"/>
      <c r="G4766"/>
      <c r="H4766"/>
      <c r="I4766"/>
      <c r="J4766"/>
      <c r="K4766"/>
      <c r="L4766"/>
      <c r="M4766"/>
      <c r="N4766"/>
      <c r="O4766"/>
    </row>
    <row r="4767" spans="1:15" hidden="1" x14ac:dyDescent="0.25">
      <c r="A4767" t="s">
        <v>100</v>
      </c>
      <c r="B4767" t="s">
        <v>117</v>
      </c>
      <c r="C4767" t="b">
        <v>0</v>
      </c>
      <c r="D4767" s="1">
        <v>42429</v>
      </c>
      <c r="E4767" s="2">
        <v>-62.94</v>
      </c>
      <c r="F4767"/>
      <c r="G4767"/>
      <c r="H4767"/>
      <c r="I4767"/>
      <c r="J4767"/>
      <c r="K4767"/>
      <c r="L4767"/>
      <c r="M4767"/>
      <c r="N4767"/>
      <c r="O4767"/>
    </row>
    <row r="4768" spans="1:15" hidden="1" x14ac:dyDescent="0.25">
      <c r="A4768" t="s">
        <v>102</v>
      </c>
      <c r="B4768" t="s">
        <v>117</v>
      </c>
      <c r="C4768" t="b">
        <v>0</v>
      </c>
      <c r="D4768" s="1">
        <v>42429</v>
      </c>
      <c r="E4768" s="2">
        <v>-22.27</v>
      </c>
      <c r="F4768"/>
      <c r="G4768"/>
      <c r="H4768"/>
      <c r="I4768"/>
      <c r="J4768"/>
      <c r="K4768"/>
      <c r="L4768"/>
      <c r="M4768"/>
      <c r="N4768"/>
      <c r="O4768"/>
    </row>
    <row r="4769" spans="1:15" hidden="1" x14ac:dyDescent="0.25">
      <c r="A4769" t="s">
        <v>103</v>
      </c>
      <c r="B4769" t="s">
        <v>117</v>
      </c>
      <c r="C4769" t="b">
        <v>0</v>
      </c>
      <c r="D4769" s="1">
        <v>42429</v>
      </c>
      <c r="E4769" s="2">
        <v>-2.5</v>
      </c>
      <c r="F4769"/>
      <c r="G4769"/>
      <c r="H4769"/>
      <c r="I4769"/>
      <c r="J4769"/>
      <c r="K4769"/>
      <c r="L4769"/>
      <c r="M4769"/>
      <c r="N4769"/>
      <c r="O4769"/>
    </row>
    <row r="4770" spans="1:15" hidden="1" x14ac:dyDescent="0.25">
      <c r="A4770" t="s">
        <v>47</v>
      </c>
      <c r="B4770" t="s">
        <v>115</v>
      </c>
      <c r="C4770" t="b">
        <v>0</v>
      </c>
      <c r="D4770" s="1">
        <v>42429</v>
      </c>
      <c r="E4770">
        <v>5</v>
      </c>
      <c r="F4770"/>
      <c r="G4770"/>
      <c r="H4770"/>
      <c r="I4770"/>
      <c r="J4770"/>
      <c r="K4770"/>
      <c r="L4770"/>
      <c r="M4770"/>
      <c r="N4770"/>
      <c r="O4770"/>
    </row>
    <row r="4771" spans="1:15" hidden="1" x14ac:dyDescent="0.25">
      <c r="A4771" t="s">
        <v>43</v>
      </c>
      <c r="B4771" t="s">
        <v>115</v>
      </c>
      <c r="C4771" t="b">
        <v>0</v>
      </c>
      <c r="D4771" s="1">
        <v>42429</v>
      </c>
      <c r="E4771">
        <v>5</v>
      </c>
      <c r="F4771"/>
      <c r="G4771"/>
      <c r="H4771"/>
      <c r="I4771"/>
      <c r="J4771"/>
      <c r="K4771"/>
      <c r="L4771"/>
      <c r="M4771"/>
      <c r="N4771"/>
      <c r="O4771"/>
    </row>
    <row r="4772" spans="1:15" hidden="1" x14ac:dyDescent="0.25">
      <c r="A4772" t="s">
        <v>48</v>
      </c>
      <c r="B4772" t="s">
        <v>115</v>
      </c>
      <c r="C4772" t="b">
        <v>0</v>
      </c>
      <c r="D4772" s="1">
        <v>42429</v>
      </c>
      <c r="E4772">
        <v>5</v>
      </c>
      <c r="F4772"/>
      <c r="G4772"/>
      <c r="H4772"/>
      <c r="I4772"/>
      <c r="J4772"/>
      <c r="K4772"/>
      <c r="L4772"/>
      <c r="M4772"/>
      <c r="N4772"/>
      <c r="O4772"/>
    </row>
    <row r="4773" spans="1:15" hidden="1" x14ac:dyDescent="0.25">
      <c r="A4773" t="s">
        <v>50</v>
      </c>
      <c r="B4773" t="s">
        <v>115</v>
      </c>
      <c r="C4773" t="b">
        <v>0</v>
      </c>
      <c r="D4773" s="1">
        <v>42429</v>
      </c>
      <c r="E4773">
        <v>5</v>
      </c>
      <c r="F4773"/>
      <c r="G4773"/>
      <c r="H4773"/>
      <c r="I4773"/>
      <c r="J4773"/>
      <c r="K4773"/>
      <c r="L4773"/>
      <c r="M4773"/>
      <c r="N4773"/>
      <c r="O4773"/>
    </row>
    <row r="4774" spans="1:15" hidden="1" x14ac:dyDescent="0.25">
      <c r="A4774" t="s">
        <v>51</v>
      </c>
      <c r="B4774" t="s">
        <v>115</v>
      </c>
      <c r="C4774" t="b">
        <v>0</v>
      </c>
      <c r="D4774" s="1">
        <v>42429</v>
      </c>
      <c r="E4774">
        <v>5</v>
      </c>
      <c r="F4774"/>
      <c r="G4774"/>
      <c r="H4774"/>
      <c r="I4774"/>
      <c r="J4774"/>
      <c r="K4774"/>
      <c r="L4774"/>
      <c r="M4774"/>
      <c r="N4774"/>
      <c r="O4774"/>
    </row>
    <row r="4775" spans="1:15" hidden="1" x14ac:dyDescent="0.25">
      <c r="A4775" t="s">
        <v>52</v>
      </c>
      <c r="B4775" t="s">
        <v>115</v>
      </c>
      <c r="C4775" t="b">
        <v>0</v>
      </c>
      <c r="D4775" s="1">
        <v>42429</v>
      </c>
      <c r="E4775">
        <v>5</v>
      </c>
      <c r="F4775"/>
      <c r="G4775"/>
      <c r="H4775"/>
      <c r="I4775"/>
      <c r="J4775"/>
      <c r="K4775"/>
      <c r="L4775"/>
      <c r="M4775"/>
      <c r="N4775"/>
      <c r="O4775"/>
    </row>
    <row r="4776" spans="1:15" hidden="1" x14ac:dyDescent="0.25">
      <c r="A4776" t="s">
        <v>54</v>
      </c>
      <c r="B4776" t="s">
        <v>115</v>
      </c>
      <c r="C4776" t="b">
        <v>0</v>
      </c>
      <c r="D4776" s="1">
        <v>42429</v>
      </c>
      <c r="E4776">
        <v>5</v>
      </c>
      <c r="F4776"/>
      <c r="G4776"/>
      <c r="H4776"/>
      <c r="I4776"/>
      <c r="J4776"/>
      <c r="K4776"/>
      <c r="L4776"/>
      <c r="M4776"/>
      <c r="N4776"/>
      <c r="O4776"/>
    </row>
    <row r="4777" spans="1:15" hidden="1" x14ac:dyDescent="0.25">
      <c r="A4777" t="s">
        <v>55</v>
      </c>
      <c r="B4777" t="s">
        <v>115</v>
      </c>
      <c r="C4777" t="b">
        <v>0</v>
      </c>
      <c r="D4777" s="1">
        <v>42429</v>
      </c>
      <c r="E4777">
        <v>5</v>
      </c>
      <c r="F4777"/>
      <c r="G4777"/>
      <c r="H4777"/>
      <c r="I4777"/>
      <c r="J4777"/>
      <c r="K4777"/>
      <c r="L4777"/>
      <c r="M4777"/>
      <c r="N4777"/>
      <c r="O4777"/>
    </row>
    <row r="4778" spans="1:15" hidden="1" x14ac:dyDescent="0.25">
      <c r="A4778" t="s">
        <v>58</v>
      </c>
      <c r="B4778" t="s">
        <v>115</v>
      </c>
      <c r="C4778" t="b">
        <v>0</v>
      </c>
      <c r="D4778" s="1">
        <v>42429</v>
      </c>
      <c r="E4778">
        <v>5</v>
      </c>
      <c r="F4778"/>
      <c r="G4778"/>
      <c r="H4778"/>
      <c r="I4778"/>
      <c r="J4778"/>
      <c r="K4778"/>
      <c r="L4778"/>
      <c r="M4778"/>
      <c r="N4778"/>
      <c r="O4778"/>
    </row>
    <row r="4779" spans="1:15" hidden="1" x14ac:dyDescent="0.25">
      <c r="A4779" t="s">
        <v>65</v>
      </c>
      <c r="B4779" t="s">
        <v>115</v>
      </c>
      <c r="C4779" t="b">
        <v>0</v>
      </c>
      <c r="D4779" s="1">
        <v>42429</v>
      </c>
      <c r="E4779">
        <v>5</v>
      </c>
      <c r="F4779"/>
      <c r="G4779"/>
      <c r="H4779"/>
      <c r="I4779"/>
      <c r="J4779"/>
      <c r="K4779"/>
      <c r="L4779"/>
      <c r="M4779"/>
      <c r="N4779"/>
      <c r="O4779"/>
    </row>
    <row r="4780" spans="1:15" hidden="1" x14ac:dyDescent="0.25">
      <c r="A4780" t="s">
        <v>68</v>
      </c>
      <c r="B4780" t="s">
        <v>115</v>
      </c>
      <c r="C4780" t="b">
        <v>0</v>
      </c>
      <c r="D4780" s="1">
        <v>42429</v>
      </c>
      <c r="E4780">
        <v>5</v>
      </c>
      <c r="F4780"/>
      <c r="G4780"/>
      <c r="H4780"/>
      <c r="I4780"/>
      <c r="J4780"/>
      <c r="K4780"/>
      <c r="L4780"/>
      <c r="M4780"/>
      <c r="N4780"/>
      <c r="O4780"/>
    </row>
    <row r="4781" spans="1:15" hidden="1" x14ac:dyDescent="0.25">
      <c r="A4781" t="s">
        <v>69</v>
      </c>
      <c r="B4781" t="s">
        <v>115</v>
      </c>
      <c r="C4781" t="b">
        <v>0</v>
      </c>
      <c r="D4781" s="1">
        <v>42429</v>
      </c>
      <c r="E4781">
        <v>5</v>
      </c>
      <c r="F4781"/>
      <c r="G4781"/>
      <c r="H4781"/>
      <c r="I4781"/>
      <c r="J4781"/>
      <c r="K4781"/>
      <c r="L4781"/>
      <c r="M4781"/>
      <c r="N4781"/>
      <c r="O4781"/>
    </row>
    <row r="4782" spans="1:15" hidden="1" x14ac:dyDescent="0.25">
      <c r="A4782" t="s">
        <v>75</v>
      </c>
      <c r="B4782" t="s">
        <v>115</v>
      </c>
      <c r="C4782" t="b">
        <v>0</v>
      </c>
      <c r="D4782" s="1">
        <v>42429</v>
      </c>
      <c r="E4782">
        <v>5</v>
      </c>
      <c r="F4782"/>
      <c r="G4782"/>
      <c r="H4782"/>
      <c r="I4782"/>
      <c r="J4782"/>
      <c r="K4782"/>
      <c r="L4782"/>
      <c r="M4782"/>
      <c r="N4782"/>
      <c r="O4782"/>
    </row>
    <row r="4783" spans="1:15" hidden="1" x14ac:dyDescent="0.25">
      <c r="A4783" t="s">
        <v>76</v>
      </c>
      <c r="B4783" t="s">
        <v>115</v>
      </c>
      <c r="C4783" t="b">
        <v>0</v>
      </c>
      <c r="D4783" s="1">
        <v>42429</v>
      </c>
      <c r="E4783">
        <v>1E-3</v>
      </c>
      <c r="F4783"/>
      <c r="G4783"/>
      <c r="H4783"/>
      <c r="I4783"/>
      <c r="J4783"/>
      <c r="K4783"/>
      <c r="L4783"/>
      <c r="M4783"/>
      <c r="N4783"/>
      <c r="O4783"/>
    </row>
    <row r="4784" spans="1:15" hidden="1" x14ac:dyDescent="0.25">
      <c r="A4784" t="s">
        <v>81</v>
      </c>
      <c r="B4784" t="s">
        <v>115</v>
      </c>
      <c r="C4784" t="b">
        <v>0</v>
      </c>
      <c r="D4784" s="1">
        <v>42429</v>
      </c>
      <c r="E4784">
        <v>5</v>
      </c>
      <c r="F4784"/>
      <c r="G4784"/>
      <c r="H4784"/>
      <c r="I4784"/>
      <c r="J4784"/>
      <c r="K4784"/>
      <c r="L4784"/>
      <c r="M4784"/>
      <c r="N4784"/>
      <c r="O4784"/>
    </row>
    <row r="4785" spans="1:15" hidden="1" x14ac:dyDescent="0.25">
      <c r="A4785" t="s">
        <v>85</v>
      </c>
      <c r="B4785" t="s">
        <v>115</v>
      </c>
      <c r="C4785" t="b">
        <v>0</v>
      </c>
      <c r="D4785" s="1">
        <v>42429</v>
      </c>
      <c r="E4785">
        <v>5</v>
      </c>
      <c r="F4785"/>
      <c r="G4785"/>
      <c r="H4785"/>
      <c r="I4785"/>
      <c r="J4785"/>
      <c r="K4785"/>
      <c r="L4785"/>
      <c r="M4785"/>
      <c r="N4785"/>
      <c r="O4785"/>
    </row>
    <row r="4786" spans="1:15" hidden="1" x14ac:dyDescent="0.25">
      <c r="A4786" t="s">
        <v>82</v>
      </c>
      <c r="B4786" t="s">
        <v>115</v>
      </c>
      <c r="C4786" t="b">
        <v>0</v>
      </c>
      <c r="D4786" s="1">
        <v>42429</v>
      </c>
      <c r="E4786">
        <v>5</v>
      </c>
      <c r="F4786"/>
      <c r="G4786"/>
      <c r="H4786"/>
      <c r="I4786"/>
      <c r="J4786"/>
      <c r="K4786"/>
      <c r="L4786"/>
      <c r="M4786"/>
      <c r="N4786"/>
      <c r="O4786"/>
    </row>
    <row r="4787" spans="1:15" hidden="1" x14ac:dyDescent="0.25">
      <c r="A4787" t="s">
        <v>84</v>
      </c>
      <c r="B4787" t="s">
        <v>115</v>
      </c>
      <c r="C4787" t="b">
        <v>0</v>
      </c>
      <c r="D4787" s="1">
        <v>42429</v>
      </c>
      <c r="E4787">
        <v>5</v>
      </c>
      <c r="F4787"/>
      <c r="G4787"/>
      <c r="H4787"/>
      <c r="I4787"/>
      <c r="J4787"/>
      <c r="K4787"/>
      <c r="L4787"/>
      <c r="M4787"/>
      <c r="N4787"/>
      <c r="O4787"/>
    </row>
    <row r="4788" spans="1:15" hidden="1" x14ac:dyDescent="0.25">
      <c r="A4788" t="s">
        <v>88</v>
      </c>
      <c r="B4788" t="s">
        <v>115</v>
      </c>
      <c r="C4788" t="b">
        <v>0</v>
      </c>
      <c r="D4788" s="1">
        <v>42429</v>
      </c>
      <c r="E4788">
        <v>5</v>
      </c>
      <c r="F4788"/>
      <c r="G4788"/>
      <c r="H4788"/>
      <c r="I4788"/>
      <c r="J4788"/>
      <c r="K4788"/>
      <c r="L4788"/>
      <c r="M4788"/>
      <c r="N4788"/>
      <c r="O4788"/>
    </row>
    <row r="4789" spans="1:15" hidden="1" x14ac:dyDescent="0.25">
      <c r="A4789" t="s">
        <v>94</v>
      </c>
      <c r="B4789" t="s">
        <v>115</v>
      </c>
      <c r="C4789" t="b">
        <v>0</v>
      </c>
      <c r="D4789" s="1">
        <v>42429</v>
      </c>
      <c r="E4789">
        <v>5</v>
      </c>
      <c r="F4789"/>
      <c r="G4789"/>
      <c r="H4789"/>
      <c r="I4789"/>
      <c r="J4789"/>
      <c r="K4789"/>
      <c r="L4789"/>
      <c r="M4789"/>
      <c r="N4789"/>
      <c r="O4789"/>
    </row>
    <row r="4790" spans="1:15" hidden="1" x14ac:dyDescent="0.25">
      <c r="A4790" t="s">
        <v>96</v>
      </c>
      <c r="B4790" t="s">
        <v>115</v>
      </c>
      <c r="C4790" t="b">
        <v>0</v>
      </c>
      <c r="D4790" s="1">
        <v>42429</v>
      </c>
      <c r="E4790">
        <v>5</v>
      </c>
      <c r="F4790"/>
      <c r="G4790"/>
      <c r="H4790"/>
      <c r="I4790"/>
      <c r="J4790"/>
      <c r="K4790"/>
      <c r="L4790"/>
      <c r="M4790"/>
      <c r="N4790"/>
      <c r="O4790"/>
    </row>
    <row r="4791" spans="1:15" hidden="1" x14ac:dyDescent="0.25">
      <c r="A4791" t="s">
        <v>98</v>
      </c>
      <c r="B4791" t="s">
        <v>115</v>
      </c>
      <c r="C4791" t="b">
        <v>0</v>
      </c>
      <c r="D4791" s="1">
        <v>42429</v>
      </c>
      <c r="E4791">
        <v>5</v>
      </c>
      <c r="F4791"/>
      <c r="G4791"/>
      <c r="H4791"/>
      <c r="I4791"/>
      <c r="J4791"/>
      <c r="K4791"/>
      <c r="L4791"/>
      <c r="M4791"/>
      <c r="N4791"/>
      <c r="O4791"/>
    </row>
    <row r="4792" spans="1:15" hidden="1" x14ac:dyDescent="0.25">
      <c r="A4792" t="s">
        <v>97</v>
      </c>
      <c r="B4792" t="s">
        <v>115</v>
      </c>
      <c r="C4792" t="b">
        <v>0</v>
      </c>
      <c r="D4792" s="1">
        <v>42429</v>
      </c>
      <c r="E4792">
        <v>5</v>
      </c>
      <c r="F4792"/>
      <c r="G4792"/>
      <c r="H4792"/>
      <c r="I4792"/>
      <c r="J4792"/>
      <c r="K4792"/>
      <c r="L4792"/>
      <c r="M4792"/>
      <c r="N4792"/>
      <c r="O4792"/>
    </row>
    <row r="4793" spans="1:15" hidden="1" x14ac:dyDescent="0.25">
      <c r="A4793" t="s">
        <v>99</v>
      </c>
      <c r="B4793" t="s">
        <v>114</v>
      </c>
      <c r="C4793" t="b">
        <v>0</v>
      </c>
      <c r="D4793" s="1">
        <v>42429</v>
      </c>
      <c r="E4793">
        <v>29.919999999999998</v>
      </c>
      <c r="F4793"/>
      <c r="G4793"/>
      <c r="H4793"/>
      <c r="I4793"/>
      <c r="J4793"/>
      <c r="K4793"/>
      <c r="L4793"/>
      <c r="M4793"/>
      <c r="N4793"/>
      <c r="O4793"/>
    </row>
    <row r="4794" spans="1:15" hidden="1" x14ac:dyDescent="0.25">
      <c r="A4794" t="s">
        <v>100</v>
      </c>
      <c r="B4794" t="s">
        <v>117</v>
      </c>
      <c r="C4794" t="b">
        <v>0</v>
      </c>
      <c r="D4794" s="1">
        <v>42460</v>
      </c>
      <c r="E4794" s="2">
        <v>-62.94</v>
      </c>
      <c r="F4794"/>
      <c r="G4794"/>
      <c r="H4794"/>
      <c r="I4794"/>
      <c r="J4794"/>
      <c r="K4794"/>
      <c r="L4794"/>
      <c r="M4794"/>
      <c r="N4794"/>
      <c r="O4794"/>
    </row>
    <row r="4795" spans="1:15" hidden="1" x14ac:dyDescent="0.25">
      <c r="A4795" t="s">
        <v>102</v>
      </c>
      <c r="B4795" t="s">
        <v>117</v>
      </c>
      <c r="C4795" t="b">
        <v>0</v>
      </c>
      <c r="D4795" s="1">
        <v>42460</v>
      </c>
      <c r="E4795" s="2">
        <v>-36.549999999999997</v>
      </c>
      <c r="F4795"/>
      <c r="G4795"/>
      <c r="H4795"/>
      <c r="I4795"/>
      <c r="J4795"/>
      <c r="K4795"/>
      <c r="L4795"/>
      <c r="M4795"/>
      <c r="N4795"/>
      <c r="O4795"/>
    </row>
    <row r="4796" spans="1:15" hidden="1" x14ac:dyDescent="0.25">
      <c r="A4796" t="s">
        <v>103</v>
      </c>
      <c r="B4796" t="s">
        <v>117</v>
      </c>
      <c r="C4796" t="b">
        <v>0</v>
      </c>
      <c r="D4796" s="1">
        <v>42460</v>
      </c>
      <c r="E4796" s="2">
        <v>-2.5</v>
      </c>
      <c r="F4796"/>
      <c r="G4796"/>
      <c r="H4796"/>
      <c r="I4796"/>
      <c r="J4796"/>
      <c r="K4796"/>
      <c r="L4796"/>
      <c r="M4796"/>
      <c r="N4796"/>
      <c r="O4796"/>
    </row>
    <row r="4797" spans="1:15" hidden="1" x14ac:dyDescent="0.25">
      <c r="A4797" t="s">
        <v>101</v>
      </c>
      <c r="B4797" t="s">
        <v>117</v>
      </c>
      <c r="C4797" t="b">
        <v>0</v>
      </c>
      <c r="D4797" s="1">
        <v>42460</v>
      </c>
      <c r="E4797" s="2">
        <v>-5</v>
      </c>
      <c r="F4797"/>
      <c r="G4797"/>
      <c r="H4797"/>
      <c r="I4797"/>
      <c r="J4797"/>
      <c r="K4797"/>
      <c r="L4797"/>
      <c r="M4797"/>
      <c r="N4797"/>
      <c r="O4797"/>
    </row>
    <row r="4798" spans="1:15" hidden="1" x14ac:dyDescent="0.25">
      <c r="A4798" t="s">
        <v>47</v>
      </c>
      <c r="B4798" t="s">
        <v>115</v>
      </c>
      <c r="C4798" t="b">
        <v>0</v>
      </c>
      <c r="D4798" s="1">
        <v>42460</v>
      </c>
      <c r="E4798">
        <v>5</v>
      </c>
      <c r="F4798"/>
      <c r="G4798"/>
      <c r="H4798"/>
      <c r="I4798"/>
      <c r="J4798"/>
      <c r="K4798"/>
      <c r="L4798"/>
      <c r="M4798"/>
      <c r="N4798"/>
      <c r="O4798"/>
    </row>
    <row r="4799" spans="1:15" hidden="1" x14ac:dyDescent="0.25">
      <c r="A4799" t="s">
        <v>43</v>
      </c>
      <c r="B4799" t="s">
        <v>115</v>
      </c>
      <c r="C4799" t="b">
        <v>0</v>
      </c>
      <c r="D4799" s="1">
        <v>42460</v>
      </c>
      <c r="E4799">
        <v>5</v>
      </c>
      <c r="F4799"/>
      <c r="G4799"/>
      <c r="H4799"/>
      <c r="I4799"/>
      <c r="J4799"/>
      <c r="K4799"/>
      <c r="L4799"/>
      <c r="M4799"/>
      <c r="N4799"/>
      <c r="O4799"/>
    </row>
    <row r="4800" spans="1:15" hidden="1" x14ac:dyDescent="0.25">
      <c r="A4800" t="s">
        <v>48</v>
      </c>
      <c r="B4800" t="s">
        <v>115</v>
      </c>
      <c r="C4800" t="b">
        <v>0</v>
      </c>
      <c r="D4800" s="1">
        <v>42460</v>
      </c>
      <c r="E4800">
        <v>5</v>
      </c>
      <c r="F4800"/>
      <c r="G4800"/>
      <c r="H4800"/>
      <c r="I4800"/>
      <c r="J4800"/>
      <c r="K4800"/>
      <c r="L4800"/>
      <c r="M4800"/>
      <c r="N4800"/>
      <c r="O4800"/>
    </row>
    <row r="4801" spans="1:15" hidden="1" x14ac:dyDescent="0.25">
      <c r="A4801" t="s">
        <v>50</v>
      </c>
      <c r="B4801" t="s">
        <v>115</v>
      </c>
      <c r="C4801" t="b">
        <v>0</v>
      </c>
      <c r="D4801" s="1">
        <v>42460</v>
      </c>
      <c r="E4801">
        <v>5</v>
      </c>
      <c r="F4801"/>
      <c r="G4801"/>
      <c r="H4801"/>
      <c r="I4801"/>
      <c r="J4801"/>
      <c r="K4801"/>
      <c r="L4801"/>
      <c r="M4801"/>
      <c r="N4801"/>
      <c r="O4801"/>
    </row>
    <row r="4802" spans="1:15" hidden="1" x14ac:dyDescent="0.25">
      <c r="A4802" t="s">
        <v>51</v>
      </c>
      <c r="B4802" t="s">
        <v>115</v>
      </c>
      <c r="C4802" t="b">
        <v>0</v>
      </c>
      <c r="D4802" s="1">
        <v>42460</v>
      </c>
      <c r="E4802">
        <v>5</v>
      </c>
      <c r="F4802"/>
      <c r="G4802"/>
      <c r="H4802"/>
      <c r="I4802"/>
      <c r="J4802"/>
      <c r="K4802"/>
      <c r="L4802"/>
      <c r="M4802"/>
      <c r="N4802"/>
      <c r="O4802"/>
    </row>
    <row r="4803" spans="1:15" hidden="1" x14ac:dyDescent="0.25">
      <c r="A4803" t="s">
        <v>52</v>
      </c>
      <c r="B4803" t="s">
        <v>115</v>
      </c>
      <c r="C4803" t="b">
        <v>0</v>
      </c>
      <c r="D4803" s="1">
        <v>42460</v>
      </c>
      <c r="E4803">
        <v>5</v>
      </c>
      <c r="F4803"/>
      <c r="G4803"/>
      <c r="H4803"/>
      <c r="I4803"/>
      <c r="J4803"/>
      <c r="K4803"/>
      <c r="L4803"/>
      <c r="M4803"/>
      <c r="N4803"/>
      <c r="O4803"/>
    </row>
    <row r="4804" spans="1:15" hidden="1" x14ac:dyDescent="0.25">
      <c r="A4804" t="s">
        <v>54</v>
      </c>
      <c r="B4804" t="s">
        <v>115</v>
      </c>
      <c r="C4804" t="b">
        <v>0</v>
      </c>
      <c r="D4804" s="1">
        <v>42460</v>
      </c>
      <c r="E4804">
        <v>5</v>
      </c>
      <c r="F4804"/>
      <c r="G4804"/>
      <c r="H4804"/>
      <c r="I4804"/>
      <c r="J4804"/>
      <c r="K4804"/>
      <c r="L4804"/>
      <c r="M4804"/>
      <c r="N4804"/>
      <c r="O4804"/>
    </row>
    <row r="4805" spans="1:15" hidden="1" x14ac:dyDescent="0.25">
      <c r="A4805" t="s">
        <v>55</v>
      </c>
      <c r="B4805" t="s">
        <v>115</v>
      </c>
      <c r="C4805" t="b">
        <v>0</v>
      </c>
      <c r="D4805" s="1">
        <v>42460</v>
      </c>
      <c r="E4805">
        <v>5</v>
      </c>
      <c r="F4805"/>
      <c r="G4805"/>
      <c r="H4805"/>
      <c r="I4805"/>
      <c r="J4805"/>
      <c r="K4805"/>
      <c r="L4805"/>
      <c r="M4805"/>
      <c r="N4805"/>
      <c r="O4805"/>
    </row>
    <row r="4806" spans="1:15" hidden="1" x14ac:dyDescent="0.25">
      <c r="A4806" t="s">
        <v>58</v>
      </c>
      <c r="B4806" t="s">
        <v>115</v>
      </c>
      <c r="C4806" t="b">
        <v>0</v>
      </c>
      <c r="D4806" s="1">
        <v>42460</v>
      </c>
      <c r="E4806">
        <v>5</v>
      </c>
      <c r="F4806"/>
      <c r="G4806"/>
      <c r="H4806"/>
      <c r="I4806"/>
      <c r="J4806"/>
      <c r="K4806"/>
      <c r="L4806"/>
      <c r="M4806"/>
      <c r="N4806"/>
      <c r="O4806"/>
    </row>
    <row r="4807" spans="1:15" hidden="1" x14ac:dyDescent="0.25">
      <c r="A4807" t="s">
        <v>65</v>
      </c>
      <c r="B4807" t="s">
        <v>115</v>
      </c>
      <c r="C4807" t="b">
        <v>0</v>
      </c>
      <c r="D4807" s="1">
        <v>42460</v>
      </c>
      <c r="E4807">
        <v>5</v>
      </c>
      <c r="F4807"/>
      <c r="G4807"/>
      <c r="H4807"/>
      <c r="I4807"/>
      <c r="J4807"/>
      <c r="K4807"/>
      <c r="L4807"/>
      <c r="M4807"/>
      <c r="N4807"/>
      <c r="O4807"/>
    </row>
    <row r="4808" spans="1:15" hidden="1" x14ac:dyDescent="0.25">
      <c r="A4808" t="s">
        <v>68</v>
      </c>
      <c r="B4808" t="s">
        <v>115</v>
      </c>
      <c r="C4808" t="b">
        <v>0</v>
      </c>
      <c r="D4808" s="1">
        <v>42460</v>
      </c>
      <c r="E4808">
        <v>5</v>
      </c>
      <c r="F4808"/>
      <c r="G4808"/>
      <c r="H4808"/>
      <c r="I4808"/>
      <c r="J4808"/>
      <c r="K4808"/>
      <c r="L4808"/>
      <c r="M4808"/>
      <c r="N4808"/>
      <c r="O4808"/>
    </row>
    <row r="4809" spans="1:15" hidden="1" x14ac:dyDescent="0.25">
      <c r="A4809" t="s">
        <v>69</v>
      </c>
      <c r="B4809" t="s">
        <v>115</v>
      </c>
      <c r="C4809" t="b">
        <v>0</v>
      </c>
      <c r="D4809" s="1">
        <v>42460</v>
      </c>
      <c r="E4809">
        <v>5</v>
      </c>
      <c r="F4809"/>
      <c r="G4809"/>
      <c r="H4809"/>
      <c r="I4809"/>
      <c r="J4809"/>
      <c r="K4809"/>
      <c r="L4809"/>
      <c r="M4809"/>
      <c r="N4809"/>
      <c r="O4809"/>
    </row>
    <row r="4810" spans="1:15" hidden="1" x14ac:dyDescent="0.25">
      <c r="A4810" t="s">
        <v>75</v>
      </c>
      <c r="B4810" t="s">
        <v>115</v>
      </c>
      <c r="C4810" t="b">
        <v>0</v>
      </c>
      <c r="D4810" s="1">
        <v>42460</v>
      </c>
      <c r="E4810">
        <v>5</v>
      </c>
      <c r="F4810"/>
      <c r="G4810"/>
      <c r="H4810"/>
      <c r="I4810"/>
      <c r="J4810"/>
      <c r="K4810"/>
      <c r="L4810"/>
      <c r="M4810"/>
      <c r="N4810"/>
      <c r="O4810"/>
    </row>
    <row r="4811" spans="1:15" hidden="1" x14ac:dyDescent="0.25">
      <c r="A4811" t="s">
        <v>76</v>
      </c>
      <c r="B4811" t="s">
        <v>115</v>
      </c>
      <c r="C4811" t="b">
        <v>0</v>
      </c>
      <c r="D4811" s="1">
        <v>42460</v>
      </c>
      <c r="E4811">
        <v>1E-3</v>
      </c>
      <c r="F4811"/>
      <c r="G4811"/>
      <c r="H4811"/>
      <c r="I4811"/>
      <c r="J4811"/>
      <c r="K4811"/>
      <c r="L4811"/>
      <c r="M4811"/>
      <c r="N4811"/>
      <c r="O4811"/>
    </row>
    <row r="4812" spans="1:15" hidden="1" x14ac:dyDescent="0.25">
      <c r="A4812" t="s">
        <v>81</v>
      </c>
      <c r="B4812" t="s">
        <v>115</v>
      </c>
      <c r="C4812" t="b">
        <v>0</v>
      </c>
      <c r="D4812" s="1">
        <v>42460</v>
      </c>
      <c r="E4812">
        <v>5</v>
      </c>
      <c r="F4812"/>
      <c r="G4812"/>
      <c r="H4812"/>
      <c r="I4812"/>
      <c r="J4812"/>
      <c r="K4812"/>
      <c r="L4812"/>
      <c r="M4812"/>
      <c r="N4812"/>
      <c r="O4812"/>
    </row>
    <row r="4813" spans="1:15" hidden="1" x14ac:dyDescent="0.25">
      <c r="A4813" t="s">
        <v>85</v>
      </c>
      <c r="B4813" t="s">
        <v>115</v>
      </c>
      <c r="C4813" t="b">
        <v>0</v>
      </c>
      <c r="D4813" s="1">
        <v>42460</v>
      </c>
      <c r="E4813">
        <v>5</v>
      </c>
      <c r="F4813"/>
      <c r="G4813"/>
      <c r="H4813"/>
      <c r="I4813"/>
      <c r="J4813"/>
      <c r="K4813"/>
      <c r="L4813"/>
      <c r="M4813"/>
      <c r="N4813"/>
      <c r="O4813"/>
    </row>
    <row r="4814" spans="1:15" hidden="1" x14ac:dyDescent="0.25">
      <c r="A4814" t="s">
        <v>82</v>
      </c>
      <c r="B4814" t="s">
        <v>115</v>
      </c>
      <c r="C4814" t="b">
        <v>0</v>
      </c>
      <c r="D4814" s="1">
        <v>42460</v>
      </c>
      <c r="E4814">
        <v>5</v>
      </c>
      <c r="F4814"/>
      <c r="G4814"/>
      <c r="H4814"/>
      <c r="I4814"/>
      <c r="J4814"/>
      <c r="K4814"/>
      <c r="L4814"/>
      <c r="M4814"/>
      <c r="N4814"/>
      <c r="O4814"/>
    </row>
    <row r="4815" spans="1:15" hidden="1" x14ac:dyDescent="0.25">
      <c r="A4815" t="s">
        <v>84</v>
      </c>
      <c r="B4815" t="s">
        <v>115</v>
      </c>
      <c r="C4815" t="b">
        <v>0</v>
      </c>
      <c r="D4815" s="1">
        <v>42460</v>
      </c>
      <c r="E4815">
        <v>5</v>
      </c>
      <c r="F4815"/>
      <c r="G4815"/>
      <c r="H4815"/>
      <c r="I4815"/>
      <c r="J4815"/>
      <c r="K4815"/>
      <c r="L4815"/>
      <c r="M4815"/>
      <c r="N4815"/>
      <c r="O4815"/>
    </row>
    <row r="4816" spans="1:15" hidden="1" x14ac:dyDescent="0.25">
      <c r="A4816" t="s">
        <v>88</v>
      </c>
      <c r="B4816" t="s">
        <v>115</v>
      </c>
      <c r="C4816" t="b">
        <v>0</v>
      </c>
      <c r="D4816" s="1">
        <v>42460</v>
      </c>
      <c r="E4816">
        <v>5</v>
      </c>
      <c r="F4816"/>
      <c r="G4816"/>
      <c r="H4816"/>
      <c r="I4816"/>
      <c r="J4816"/>
      <c r="K4816"/>
      <c r="L4816"/>
      <c r="M4816"/>
      <c r="N4816"/>
      <c r="O4816"/>
    </row>
    <row r="4817" spans="1:15" hidden="1" x14ac:dyDescent="0.25">
      <c r="A4817" t="s">
        <v>94</v>
      </c>
      <c r="B4817" t="s">
        <v>115</v>
      </c>
      <c r="C4817" t="b">
        <v>0</v>
      </c>
      <c r="D4817" s="1">
        <v>42460</v>
      </c>
      <c r="E4817">
        <v>5</v>
      </c>
      <c r="F4817"/>
      <c r="G4817"/>
      <c r="H4817"/>
      <c r="I4817"/>
      <c r="J4817"/>
      <c r="K4817"/>
      <c r="L4817"/>
      <c r="M4817"/>
      <c r="N4817"/>
      <c r="O4817"/>
    </row>
    <row r="4818" spans="1:15" hidden="1" x14ac:dyDescent="0.25">
      <c r="A4818" t="s">
        <v>96</v>
      </c>
      <c r="B4818" t="s">
        <v>115</v>
      </c>
      <c r="C4818" t="b">
        <v>0</v>
      </c>
      <c r="D4818" s="1">
        <v>42460</v>
      </c>
      <c r="E4818">
        <v>5</v>
      </c>
      <c r="F4818"/>
      <c r="G4818"/>
      <c r="H4818"/>
      <c r="I4818"/>
      <c r="J4818"/>
      <c r="K4818"/>
      <c r="L4818"/>
      <c r="M4818"/>
      <c r="N4818"/>
      <c r="O4818"/>
    </row>
    <row r="4819" spans="1:15" hidden="1" x14ac:dyDescent="0.25">
      <c r="A4819" t="s">
        <v>98</v>
      </c>
      <c r="B4819" t="s">
        <v>115</v>
      </c>
      <c r="C4819" t="b">
        <v>0</v>
      </c>
      <c r="D4819" s="1">
        <v>42460</v>
      </c>
      <c r="E4819">
        <v>5</v>
      </c>
      <c r="F4819"/>
      <c r="G4819"/>
      <c r="H4819"/>
      <c r="I4819"/>
      <c r="J4819"/>
      <c r="K4819"/>
      <c r="L4819"/>
      <c r="M4819"/>
      <c r="N4819"/>
      <c r="O4819"/>
    </row>
    <row r="4820" spans="1:15" hidden="1" x14ac:dyDescent="0.25">
      <c r="A4820" t="s">
        <v>97</v>
      </c>
      <c r="B4820" t="s">
        <v>115</v>
      </c>
      <c r="C4820" t="b">
        <v>0</v>
      </c>
      <c r="D4820" s="1">
        <v>42460</v>
      </c>
      <c r="E4820">
        <v>5</v>
      </c>
      <c r="F4820"/>
      <c r="G4820"/>
      <c r="H4820"/>
      <c r="I4820"/>
      <c r="J4820"/>
      <c r="K4820"/>
      <c r="L4820"/>
      <c r="M4820"/>
      <c r="N4820"/>
      <c r="O4820"/>
    </row>
    <row r="4821" spans="1:15" hidden="1" x14ac:dyDescent="0.25">
      <c r="A4821" t="s">
        <v>99</v>
      </c>
      <c r="B4821" t="s">
        <v>114</v>
      </c>
      <c r="C4821" t="b">
        <v>0</v>
      </c>
      <c r="D4821" s="1">
        <v>42460</v>
      </c>
      <c r="E4821">
        <v>30.669999999999998</v>
      </c>
      <c r="F4821"/>
      <c r="G4821"/>
      <c r="H4821"/>
      <c r="I4821"/>
      <c r="J4821"/>
      <c r="K4821"/>
      <c r="L4821"/>
      <c r="M4821"/>
      <c r="N4821"/>
      <c r="O4821"/>
    </row>
    <row r="4822" spans="1:15" hidden="1" x14ac:dyDescent="0.25">
      <c r="A4822" t="s">
        <v>100</v>
      </c>
      <c r="B4822" t="s">
        <v>117</v>
      </c>
      <c r="C4822" t="b">
        <v>0</v>
      </c>
      <c r="D4822" s="1">
        <v>42490</v>
      </c>
      <c r="E4822" s="2">
        <v>-62.94</v>
      </c>
      <c r="F4822"/>
      <c r="G4822"/>
      <c r="H4822"/>
      <c r="I4822"/>
      <c r="J4822"/>
      <c r="K4822"/>
      <c r="L4822"/>
      <c r="M4822"/>
      <c r="N4822"/>
      <c r="O4822"/>
    </row>
    <row r="4823" spans="1:15" hidden="1" x14ac:dyDescent="0.25">
      <c r="A4823" t="s">
        <v>104</v>
      </c>
      <c r="B4823" t="s">
        <v>117</v>
      </c>
      <c r="C4823" t="b">
        <v>0</v>
      </c>
      <c r="D4823" s="1">
        <v>42490</v>
      </c>
      <c r="E4823" s="2">
        <v>-14.51</v>
      </c>
      <c r="F4823"/>
      <c r="G4823"/>
      <c r="H4823"/>
      <c r="I4823"/>
      <c r="J4823"/>
      <c r="K4823"/>
      <c r="L4823"/>
      <c r="M4823"/>
      <c r="N4823"/>
      <c r="O4823"/>
    </row>
    <row r="4824" spans="1:15" hidden="1" x14ac:dyDescent="0.25">
      <c r="A4824" t="s">
        <v>102</v>
      </c>
      <c r="B4824" t="s">
        <v>117</v>
      </c>
      <c r="C4824" t="b">
        <v>0</v>
      </c>
      <c r="D4824" s="1">
        <v>42490</v>
      </c>
      <c r="E4824" s="2">
        <v>-36.549999999999997</v>
      </c>
      <c r="F4824"/>
      <c r="G4824"/>
      <c r="H4824"/>
      <c r="I4824"/>
      <c r="J4824"/>
      <c r="K4824"/>
      <c r="L4824"/>
      <c r="M4824"/>
      <c r="N4824"/>
      <c r="O4824"/>
    </row>
    <row r="4825" spans="1:15" hidden="1" x14ac:dyDescent="0.25">
      <c r="A4825" t="s">
        <v>103</v>
      </c>
      <c r="B4825" t="s">
        <v>117</v>
      </c>
      <c r="C4825" t="b">
        <v>0</v>
      </c>
      <c r="D4825" s="1">
        <v>42490</v>
      </c>
      <c r="E4825" s="2">
        <v>-27.49</v>
      </c>
      <c r="F4825"/>
      <c r="G4825"/>
      <c r="H4825"/>
      <c r="I4825"/>
      <c r="J4825"/>
      <c r="K4825"/>
      <c r="L4825"/>
      <c r="M4825"/>
      <c r="N4825"/>
      <c r="O4825"/>
    </row>
    <row r="4826" spans="1:15" hidden="1" x14ac:dyDescent="0.25">
      <c r="A4826" t="s">
        <v>47</v>
      </c>
      <c r="B4826" t="s">
        <v>115</v>
      </c>
      <c r="C4826" t="b">
        <v>0</v>
      </c>
      <c r="D4826" s="1">
        <v>42490</v>
      </c>
      <c r="E4826">
        <v>5</v>
      </c>
      <c r="F4826"/>
      <c r="G4826"/>
      <c r="H4826"/>
      <c r="I4826"/>
      <c r="J4826"/>
      <c r="K4826"/>
      <c r="L4826"/>
      <c r="M4826"/>
      <c r="N4826"/>
      <c r="O4826"/>
    </row>
    <row r="4827" spans="1:15" hidden="1" x14ac:dyDescent="0.25">
      <c r="A4827" t="s">
        <v>43</v>
      </c>
      <c r="B4827" t="s">
        <v>115</v>
      </c>
      <c r="C4827" t="b">
        <v>0</v>
      </c>
      <c r="D4827" s="1">
        <v>42490</v>
      </c>
      <c r="E4827">
        <v>5</v>
      </c>
      <c r="F4827"/>
      <c r="G4827"/>
      <c r="H4827"/>
      <c r="I4827"/>
      <c r="J4827"/>
      <c r="K4827"/>
      <c r="L4827"/>
      <c r="M4827"/>
      <c r="N4827"/>
      <c r="O4827"/>
    </row>
    <row r="4828" spans="1:15" hidden="1" x14ac:dyDescent="0.25">
      <c r="A4828" t="s">
        <v>48</v>
      </c>
      <c r="B4828" t="s">
        <v>115</v>
      </c>
      <c r="C4828" t="b">
        <v>0</v>
      </c>
      <c r="D4828" s="1">
        <v>42490</v>
      </c>
      <c r="E4828">
        <v>5</v>
      </c>
      <c r="F4828"/>
      <c r="G4828"/>
      <c r="H4828"/>
      <c r="I4828"/>
      <c r="J4828"/>
      <c r="K4828"/>
      <c r="L4828"/>
      <c r="M4828"/>
      <c r="N4828"/>
      <c r="O4828"/>
    </row>
    <row r="4829" spans="1:15" hidden="1" x14ac:dyDescent="0.25">
      <c r="A4829" t="s">
        <v>50</v>
      </c>
      <c r="B4829" t="s">
        <v>115</v>
      </c>
      <c r="C4829" t="b">
        <v>0</v>
      </c>
      <c r="D4829" s="1">
        <v>42490</v>
      </c>
      <c r="E4829">
        <v>5</v>
      </c>
      <c r="F4829"/>
      <c r="G4829"/>
      <c r="H4829"/>
      <c r="I4829"/>
      <c r="J4829"/>
      <c r="K4829"/>
      <c r="L4829"/>
      <c r="M4829"/>
      <c r="N4829"/>
      <c r="O4829"/>
    </row>
    <row r="4830" spans="1:15" hidden="1" x14ac:dyDescent="0.25">
      <c r="A4830" t="s">
        <v>51</v>
      </c>
      <c r="B4830" t="s">
        <v>115</v>
      </c>
      <c r="C4830" t="b">
        <v>0</v>
      </c>
      <c r="D4830" s="1">
        <v>42490</v>
      </c>
      <c r="E4830">
        <v>5</v>
      </c>
      <c r="F4830"/>
      <c r="G4830"/>
      <c r="H4830"/>
      <c r="I4830"/>
      <c r="J4830"/>
      <c r="K4830"/>
      <c r="L4830"/>
      <c r="M4830"/>
      <c r="N4830"/>
      <c r="O4830"/>
    </row>
    <row r="4831" spans="1:15" hidden="1" x14ac:dyDescent="0.25">
      <c r="A4831" t="s">
        <v>52</v>
      </c>
      <c r="B4831" t="s">
        <v>115</v>
      </c>
      <c r="C4831" t="b">
        <v>0</v>
      </c>
      <c r="D4831" s="1">
        <v>42490</v>
      </c>
      <c r="E4831">
        <v>5</v>
      </c>
      <c r="F4831"/>
      <c r="G4831"/>
      <c r="H4831"/>
      <c r="I4831"/>
      <c r="J4831"/>
      <c r="K4831"/>
      <c r="L4831"/>
      <c r="M4831"/>
      <c r="N4831"/>
      <c r="O4831"/>
    </row>
    <row r="4832" spans="1:15" hidden="1" x14ac:dyDescent="0.25">
      <c r="A4832" t="s">
        <v>54</v>
      </c>
      <c r="B4832" t="s">
        <v>115</v>
      </c>
      <c r="C4832" t="b">
        <v>0</v>
      </c>
      <c r="D4832" s="1">
        <v>42490</v>
      </c>
      <c r="E4832">
        <v>5</v>
      </c>
      <c r="F4832"/>
      <c r="G4832"/>
      <c r="H4832"/>
      <c r="I4832"/>
      <c r="J4832"/>
      <c r="K4832"/>
      <c r="L4832"/>
      <c r="M4832"/>
      <c r="N4832"/>
      <c r="O4832"/>
    </row>
    <row r="4833" spans="1:15" hidden="1" x14ac:dyDescent="0.25">
      <c r="A4833" t="s">
        <v>55</v>
      </c>
      <c r="B4833" t="s">
        <v>115</v>
      </c>
      <c r="C4833" t="b">
        <v>0</v>
      </c>
      <c r="D4833" s="1">
        <v>42490</v>
      </c>
      <c r="E4833">
        <v>5</v>
      </c>
      <c r="F4833"/>
      <c r="G4833"/>
      <c r="H4833"/>
      <c r="I4833"/>
      <c r="J4833"/>
      <c r="K4833"/>
      <c r="L4833"/>
      <c r="M4833"/>
      <c r="N4833"/>
      <c r="O4833"/>
    </row>
    <row r="4834" spans="1:15" hidden="1" x14ac:dyDescent="0.25">
      <c r="A4834" t="s">
        <v>58</v>
      </c>
      <c r="B4834" t="s">
        <v>115</v>
      </c>
      <c r="C4834" t="b">
        <v>0</v>
      </c>
      <c r="D4834" s="1">
        <v>42490</v>
      </c>
      <c r="E4834">
        <v>5</v>
      </c>
      <c r="F4834"/>
      <c r="G4834"/>
      <c r="H4834"/>
      <c r="I4834"/>
      <c r="J4834"/>
      <c r="K4834"/>
      <c r="L4834"/>
      <c r="M4834"/>
      <c r="N4834"/>
      <c r="O4834"/>
    </row>
    <row r="4835" spans="1:15" hidden="1" x14ac:dyDescent="0.25">
      <c r="A4835" t="s">
        <v>65</v>
      </c>
      <c r="B4835" t="s">
        <v>115</v>
      </c>
      <c r="C4835" t="b">
        <v>0</v>
      </c>
      <c r="D4835" s="1">
        <v>42490</v>
      </c>
      <c r="E4835">
        <v>5</v>
      </c>
      <c r="F4835"/>
      <c r="G4835"/>
      <c r="H4835"/>
      <c r="I4835"/>
      <c r="J4835"/>
      <c r="K4835"/>
      <c r="L4835"/>
      <c r="M4835"/>
      <c r="N4835"/>
      <c r="O4835"/>
    </row>
    <row r="4836" spans="1:15" hidden="1" x14ac:dyDescent="0.25">
      <c r="A4836" t="s">
        <v>68</v>
      </c>
      <c r="B4836" t="s">
        <v>115</v>
      </c>
      <c r="C4836" t="b">
        <v>0</v>
      </c>
      <c r="D4836" s="1">
        <v>42490</v>
      </c>
      <c r="E4836">
        <v>5</v>
      </c>
      <c r="F4836"/>
      <c r="G4836"/>
      <c r="H4836"/>
      <c r="I4836"/>
      <c r="J4836"/>
      <c r="K4836"/>
      <c r="L4836"/>
      <c r="M4836"/>
      <c r="N4836"/>
      <c r="O4836"/>
    </row>
    <row r="4837" spans="1:15" hidden="1" x14ac:dyDescent="0.25">
      <c r="A4837" t="s">
        <v>69</v>
      </c>
      <c r="B4837" t="s">
        <v>115</v>
      </c>
      <c r="C4837" t="b">
        <v>0</v>
      </c>
      <c r="D4837" s="1">
        <v>42490</v>
      </c>
      <c r="E4837">
        <v>5</v>
      </c>
      <c r="F4837"/>
      <c r="G4837"/>
      <c r="H4837"/>
      <c r="I4837"/>
      <c r="J4837"/>
      <c r="K4837"/>
      <c r="L4837"/>
      <c r="M4837"/>
      <c r="N4837"/>
      <c r="O4837"/>
    </row>
    <row r="4838" spans="1:15" hidden="1" x14ac:dyDescent="0.25">
      <c r="A4838" t="s">
        <v>75</v>
      </c>
      <c r="B4838" t="s">
        <v>115</v>
      </c>
      <c r="C4838" t="b">
        <v>0</v>
      </c>
      <c r="D4838" s="1">
        <v>42490</v>
      </c>
      <c r="E4838">
        <v>5</v>
      </c>
      <c r="F4838"/>
      <c r="G4838"/>
      <c r="H4838"/>
      <c r="I4838"/>
      <c r="J4838"/>
      <c r="K4838"/>
      <c r="L4838"/>
      <c r="M4838"/>
      <c r="N4838"/>
      <c r="O4838"/>
    </row>
    <row r="4839" spans="1:15" hidden="1" x14ac:dyDescent="0.25">
      <c r="A4839" t="s">
        <v>76</v>
      </c>
      <c r="B4839" t="s">
        <v>115</v>
      </c>
      <c r="C4839" t="b">
        <v>0</v>
      </c>
      <c r="D4839" s="1">
        <v>42490</v>
      </c>
      <c r="E4839">
        <v>1E-3</v>
      </c>
      <c r="F4839"/>
      <c r="G4839"/>
      <c r="H4839"/>
      <c r="I4839"/>
      <c r="J4839"/>
      <c r="K4839"/>
      <c r="L4839"/>
      <c r="M4839"/>
      <c r="N4839"/>
      <c r="O4839"/>
    </row>
    <row r="4840" spans="1:15" hidden="1" x14ac:dyDescent="0.25">
      <c r="A4840" t="s">
        <v>81</v>
      </c>
      <c r="B4840" t="s">
        <v>115</v>
      </c>
      <c r="C4840" t="b">
        <v>0</v>
      </c>
      <c r="D4840" s="1">
        <v>42490</v>
      </c>
      <c r="E4840">
        <v>5</v>
      </c>
      <c r="F4840"/>
      <c r="G4840"/>
      <c r="H4840"/>
      <c r="I4840"/>
      <c r="J4840"/>
      <c r="K4840"/>
      <c r="L4840"/>
      <c r="M4840"/>
      <c r="N4840"/>
      <c r="O4840"/>
    </row>
    <row r="4841" spans="1:15" hidden="1" x14ac:dyDescent="0.25">
      <c r="A4841" t="s">
        <v>85</v>
      </c>
      <c r="B4841" t="s">
        <v>115</v>
      </c>
      <c r="C4841" t="b">
        <v>0</v>
      </c>
      <c r="D4841" s="1">
        <v>42490</v>
      </c>
      <c r="E4841">
        <v>5</v>
      </c>
      <c r="F4841"/>
      <c r="G4841"/>
      <c r="H4841"/>
      <c r="I4841"/>
      <c r="J4841"/>
      <c r="K4841"/>
      <c r="L4841"/>
      <c r="M4841"/>
      <c r="N4841"/>
      <c r="O4841"/>
    </row>
    <row r="4842" spans="1:15" hidden="1" x14ac:dyDescent="0.25">
      <c r="A4842" t="s">
        <v>82</v>
      </c>
      <c r="B4842" t="s">
        <v>115</v>
      </c>
      <c r="C4842" t="b">
        <v>0</v>
      </c>
      <c r="D4842" s="1">
        <v>42490</v>
      </c>
      <c r="E4842">
        <v>5</v>
      </c>
      <c r="F4842"/>
      <c r="G4842"/>
      <c r="H4842"/>
      <c r="I4842"/>
      <c r="J4842"/>
      <c r="K4842"/>
      <c r="L4842"/>
      <c r="M4842"/>
      <c r="N4842"/>
      <c r="O4842"/>
    </row>
    <row r="4843" spans="1:15" hidden="1" x14ac:dyDescent="0.25">
      <c r="A4843" t="s">
        <v>84</v>
      </c>
      <c r="B4843" t="s">
        <v>115</v>
      </c>
      <c r="C4843" t="b">
        <v>0</v>
      </c>
      <c r="D4843" s="1">
        <v>42490</v>
      </c>
      <c r="E4843">
        <v>5</v>
      </c>
      <c r="F4843"/>
      <c r="G4843"/>
      <c r="H4843"/>
      <c r="I4843"/>
      <c r="J4843"/>
      <c r="K4843"/>
      <c r="L4843"/>
      <c r="M4843"/>
      <c r="N4843"/>
      <c r="O4843"/>
    </row>
    <row r="4844" spans="1:15" hidden="1" x14ac:dyDescent="0.25">
      <c r="A4844" t="s">
        <v>88</v>
      </c>
      <c r="B4844" t="s">
        <v>115</v>
      </c>
      <c r="C4844" t="b">
        <v>0</v>
      </c>
      <c r="D4844" s="1">
        <v>42490</v>
      </c>
      <c r="E4844">
        <v>5</v>
      </c>
      <c r="F4844"/>
      <c r="G4844"/>
      <c r="H4844"/>
      <c r="I4844"/>
      <c r="J4844"/>
      <c r="K4844"/>
      <c r="L4844"/>
      <c r="M4844"/>
      <c r="N4844"/>
      <c r="O4844"/>
    </row>
    <row r="4845" spans="1:15" hidden="1" x14ac:dyDescent="0.25">
      <c r="A4845" t="s">
        <v>94</v>
      </c>
      <c r="B4845" t="s">
        <v>115</v>
      </c>
      <c r="C4845" t="b">
        <v>0</v>
      </c>
      <c r="D4845" s="1">
        <v>42490</v>
      </c>
      <c r="E4845">
        <v>5</v>
      </c>
      <c r="F4845"/>
      <c r="G4845"/>
      <c r="H4845"/>
      <c r="I4845"/>
      <c r="J4845"/>
      <c r="K4845"/>
      <c r="L4845"/>
      <c r="M4845"/>
      <c r="N4845"/>
      <c r="O4845"/>
    </row>
    <row r="4846" spans="1:15" hidden="1" x14ac:dyDescent="0.25">
      <c r="A4846" t="s">
        <v>96</v>
      </c>
      <c r="B4846" t="s">
        <v>115</v>
      </c>
      <c r="C4846" t="b">
        <v>0</v>
      </c>
      <c r="D4846" s="1">
        <v>42490</v>
      </c>
      <c r="E4846">
        <v>5</v>
      </c>
      <c r="F4846"/>
      <c r="G4846"/>
      <c r="H4846"/>
      <c r="I4846"/>
      <c r="J4846"/>
      <c r="K4846"/>
      <c r="L4846"/>
      <c r="M4846"/>
      <c r="N4846"/>
      <c r="O4846"/>
    </row>
    <row r="4847" spans="1:15" hidden="1" x14ac:dyDescent="0.25">
      <c r="A4847" t="s">
        <v>98</v>
      </c>
      <c r="B4847" t="s">
        <v>115</v>
      </c>
      <c r="C4847" t="b">
        <v>0</v>
      </c>
      <c r="D4847" s="1">
        <v>42490</v>
      </c>
      <c r="E4847">
        <v>5</v>
      </c>
      <c r="F4847"/>
      <c r="G4847"/>
      <c r="H4847"/>
      <c r="I4847"/>
      <c r="J4847"/>
      <c r="K4847"/>
      <c r="L4847"/>
      <c r="M4847"/>
      <c r="N4847"/>
      <c r="O4847"/>
    </row>
    <row r="4848" spans="1:15" hidden="1" x14ac:dyDescent="0.25">
      <c r="A4848" t="s">
        <v>97</v>
      </c>
      <c r="B4848" t="s">
        <v>115</v>
      </c>
      <c r="C4848" t="b">
        <v>0</v>
      </c>
      <c r="D4848" s="1">
        <v>42490</v>
      </c>
      <c r="E4848">
        <v>5</v>
      </c>
      <c r="F4848"/>
      <c r="G4848"/>
      <c r="H4848"/>
      <c r="I4848"/>
      <c r="J4848"/>
      <c r="K4848"/>
      <c r="L4848"/>
      <c r="M4848"/>
      <c r="N4848"/>
      <c r="O4848"/>
    </row>
    <row r="4849" spans="1:15" hidden="1" x14ac:dyDescent="0.25">
      <c r="A4849" t="s">
        <v>99</v>
      </c>
      <c r="B4849" t="s">
        <v>114</v>
      </c>
      <c r="C4849" t="b">
        <v>0</v>
      </c>
      <c r="D4849" s="1">
        <v>42490</v>
      </c>
      <c r="E4849">
        <v>33.620000000000005</v>
      </c>
      <c r="F4849"/>
      <c r="G4849"/>
      <c r="H4849"/>
      <c r="I4849"/>
      <c r="J4849"/>
      <c r="K4849"/>
      <c r="L4849"/>
      <c r="M4849"/>
      <c r="N4849"/>
      <c r="O4849"/>
    </row>
    <row r="4850" spans="1:15" hidden="1" x14ac:dyDescent="0.25">
      <c r="A4850" t="s">
        <v>100</v>
      </c>
      <c r="B4850" t="s">
        <v>117</v>
      </c>
      <c r="C4850" t="b">
        <v>0</v>
      </c>
      <c r="D4850" s="1">
        <v>42521</v>
      </c>
      <c r="E4850" s="2">
        <v>-89.91</v>
      </c>
      <c r="F4850"/>
      <c r="G4850"/>
      <c r="H4850"/>
      <c r="I4850"/>
      <c r="J4850"/>
      <c r="K4850"/>
      <c r="L4850"/>
      <c r="M4850"/>
      <c r="N4850"/>
      <c r="O4850"/>
    </row>
    <row r="4851" spans="1:15" hidden="1" x14ac:dyDescent="0.25">
      <c r="A4851" t="s">
        <v>102</v>
      </c>
      <c r="B4851" t="s">
        <v>117</v>
      </c>
      <c r="C4851" t="b">
        <v>0</v>
      </c>
      <c r="D4851" s="1">
        <v>42521</v>
      </c>
      <c r="E4851" s="2">
        <v>-35.950000000000003</v>
      </c>
      <c r="F4851"/>
      <c r="G4851"/>
      <c r="H4851"/>
      <c r="I4851"/>
      <c r="J4851"/>
      <c r="K4851"/>
      <c r="L4851"/>
      <c r="M4851"/>
      <c r="N4851"/>
      <c r="O4851"/>
    </row>
    <row r="4852" spans="1:15" hidden="1" x14ac:dyDescent="0.25">
      <c r="A4852" t="s">
        <v>103</v>
      </c>
      <c r="B4852" t="s">
        <v>117</v>
      </c>
      <c r="C4852" t="b">
        <v>0</v>
      </c>
      <c r="D4852" s="1">
        <v>42521</v>
      </c>
      <c r="E4852" s="2">
        <v>-3</v>
      </c>
      <c r="F4852"/>
      <c r="G4852"/>
      <c r="H4852"/>
      <c r="I4852"/>
      <c r="J4852"/>
      <c r="K4852"/>
      <c r="L4852"/>
      <c r="M4852"/>
      <c r="N4852"/>
      <c r="O4852"/>
    </row>
    <row r="4853" spans="1:15" hidden="1" x14ac:dyDescent="0.25">
      <c r="A4853" t="s">
        <v>101</v>
      </c>
      <c r="B4853" t="s">
        <v>117</v>
      </c>
      <c r="C4853" t="b">
        <v>0</v>
      </c>
      <c r="D4853" s="1">
        <v>42521</v>
      </c>
      <c r="E4853" s="2">
        <v>-5</v>
      </c>
      <c r="F4853"/>
      <c r="G4853"/>
      <c r="H4853"/>
      <c r="I4853"/>
      <c r="J4853"/>
      <c r="K4853"/>
      <c r="L4853"/>
      <c r="M4853"/>
      <c r="N4853"/>
      <c r="O4853"/>
    </row>
    <row r="4854" spans="1:15" hidden="1" x14ac:dyDescent="0.25">
      <c r="A4854" t="s">
        <v>47</v>
      </c>
      <c r="B4854" t="s">
        <v>115</v>
      </c>
      <c r="C4854" t="b">
        <v>0</v>
      </c>
      <c r="D4854" s="1">
        <v>42521</v>
      </c>
      <c r="E4854">
        <v>5</v>
      </c>
      <c r="F4854"/>
      <c r="G4854"/>
      <c r="H4854"/>
      <c r="I4854"/>
      <c r="J4854"/>
      <c r="K4854"/>
      <c r="L4854"/>
      <c r="M4854"/>
      <c r="N4854"/>
      <c r="O4854"/>
    </row>
    <row r="4855" spans="1:15" hidden="1" x14ac:dyDescent="0.25">
      <c r="A4855" t="s">
        <v>43</v>
      </c>
      <c r="B4855" t="s">
        <v>115</v>
      </c>
      <c r="C4855" t="b">
        <v>0</v>
      </c>
      <c r="D4855" s="1">
        <v>42521</v>
      </c>
      <c r="E4855">
        <v>5</v>
      </c>
      <c r="F4855"/>
      <c r="G4855"/>
      <c r="H4855"/>
      <c r="I4855"/>
      <c r="J4855"/>
      <c r="K4855"/>
      <c r="L4855"/>
      <c r="M4855"/>
      <c r="N4855"/>
      <c r="O4855"/>
    </row>
    <row r="4856" spans="1:15" hidden="1" x14ac:dyDescent="0.25">
      <c r="A4856" t="s">
        <v>48</v>
      </c>
      <c r="B4856" t="s">
        <v>115</v>
      </c>
      <c r="C4856" t="b">
        <v>0</v>
      </c>
      <c r="D4856" s="1">
        <v>42521</v>
      </c>
      <c r="E4856">
        <v>5</v>
      </c>
      <c r="F4856"/>
      <c r="G4856"/>
      <c r="H4856"/>
      <c r="I4856"/>
      <c r="J4856"/>
      <c r="K4856"/>
      <c r="L4856"/>
      <c r="M4856"/>
      <c r="N4856"/>
      <c r="O4856"/>
    </row>
    <row r="4857" spans="1:15" hidden="1" x14ac:dyDescent="0.25">
      <c r="A4857" t="s">
        <v>50</v>
      </c>
      <c r="B4857" t="s">
        <v>115</v>
      </c>
      <c r="C4857" t="b">
        <v>0</v>
      </c>
      <c r="D4857" s="1">
        <v>42521</v>
      </c>
      <c r="E4857">
        <v>5</v>
      </c>
      <c r="F4857"/>
      <c r="G4857"/>
      <c r="H4857"/>
      <c r="I4857"/>
      <c r="J4857"/>
      <c r="K4857"/>
      <c r="L4857"/>
      <c r="M4857"/>
      <c r="N4857"/>
      <c r="O4857"/>
    </row>
    <row r="4858" spans="1:15" hidden="1" x14ac:dyDescent="0.25">
      <c r="A4858" t="s">
        <v>51</v>
      </c>
      <c r="B4858" t="s">
        <v>115</v>
      </c>
      <c r="C4858" t="b">
        <v>0</v>
      </c>
      <c r="D4858" s="1">
        <v>42521</v>
      </c>
      <c r="E4858">
        <v>5</v>
      </c>
      <c r="F4858"/>
      <c r="G4858"/>
      <c r="H4858"/>
      <c r="I4858"/>
      <c r="J4858"/>
      <c r="K4858"/>
      <c r="L4858"/>
      <c r="M4858"/>
      <c r="N4858"/>
      <c r="O4858"/>
    </row>
    <row r="4859" spans="1:15" hidden="1" x14ac:dyDescent="0.25">
      <c r="A4859" t="s">
        <v>52</v>
      </c>
      <c r="B4859" t="s">
        <v>115</v>
      </c>
      <c r="C4859" t="b">
        <v>0</v>
      </c>
      <c r="D4859" s="1">
        <v>42521</v>
      </c>
      <c r="E4859">
        <v>5</v>
      </c>
      <c r="F4859"/>
      <c r="G4859"/>
      <c r="H4859"/>
      <c r="I4859"/>
      <c r="J4859"/>
      <c r="K4859"/>
      <c r="L4859"/>
      <c r="M4859"/>
      <c r="N4859"/>
      <c r="O4859"/>
    </row>
    <row r="4860" spans="1:15" hidden="1" x14ac:dyDescent="0.25">
      <c r="A4860" t="s">
        <v>54</v>
      </c>
      <c r="B4860" t="s">
        <v>115</v>
      </c>
      <c r="C4860" t="b">
        <v>0</v>
      </c>
      <c r="D4860" s="1">
        <v>42521</v>
      </c>
      <c r="E4860">
        <v>5</v>
      </c>
      <c r="F4860"/>
      <c r="G4860"/>
      <c r="H4860"/>
      <c r="I4860"/>
      <c r="J4860"/>
      <c r="K4860"/>
      <c r="L4860"/>
      <c r="M4860"/>
      <c r="N4860"/>
      <c r="O4860"/>
    </row>
    <row r="4861" spans="1:15" hidden="1" x14ac:dyDescent="0.25">
      <c r="A4861" t="s">
        <v>55</v>
      </c>
      <c r="B4861" t="s">
        <v>115</v>
      </c>
      <c r="C4861" t="b">
        <v>0</v>
      </c>
      <c r="D4861" s="1">
        <v>42521</v>
      </c>
      <c r="E4861">
        <v>5</v>
      </c>
      <c r="F4861"/>
      <c r="G4861"/>
      <c r="H4861"/>
      <c r="I4861"/>
      <c r="J4861"/>
      <c r="K4861"/>
      <c r="L4861"/>
      <c r="M4861"/>
      <c r="N4861"/>
      <c r="O4861"/>
    </row>
    <row r="4862" spans="1:15" hidden="1" x14ac:dyDescent="0.25">
      <c r="A4862" t="s">
        <v>58</v>
      </c>
      <c r="B4862" t="s">
        <v>115</v>
      </c>
      <c r="C4862" t="b">
        <v>0</v>
      </c>
      <c r="D4862" s="1">
        <v>42521</v>
      </c>
      <c r="E4862">
        <v>5</v>
      </c>
      <c r="F4862"/>
      <c r="G4862"/>
      <c r="H4862"/>
      <c r="I4862"/>
      <c r="J4862"/>
      <c r="K4862"/>
      <c r="L4862"/>
      <c r="M4862"/>
      <c r="N4862"/>
      <c r="O4862"/>
    </row>
    <row r="4863" spans="1:15" hidden="1" x14ac:dyDescent="0.25">
      <c r="A4863" t="s">
        <v>65</v>
      </c>
      <c r="B4863" t="s">
        <v>115</v>
      </c>
      <c r="C4863" t="b">
        <v>0</v>
      </c>
      <c r="D4863" s="1">
        <v>42521</v>
      </c>
      <c r="E4863">
        <v>5</v>
      </c>
      <c r="F4863"/>
      <c r="G4863"/>
      <c r="H4863"/>
      <c r="I4863"/>
      <c r="J4863"/>
      <c r="K4863"/>
      <c r="L4863"/>
      <c r="M4863"/>
      <c r="N4863"/>
      <c r="O4863"/>
    </row>
    <row r="4864" spans="1:15" hidden="1" x14ac:dyDescent="0.25">
      <c r="A4864" t="s">
        <v>68</v>
      </c>
      <c r="B4864" t="s">
        <v>115</v>
      </c>
      <c r="C4864" t="b">
        <v>0</v>
      </c>
      <c r="D4864" s="1">
        <v>42521</v>
      </c>
      <c r="E4864">
        <v>5</v>
      </c>
      <c r="F4864"/>
      <c r="G4864"/>
      <c r="H4864"/>
      <c r="I4864"/>
      <c r="J4864"/>
      <c r="K4864"/>
      <c r="L4864"/>
      <c r="M4864"/>
      <c r="N4864"/>
      <c r="O4864"/>
    </row>
    <row r="4865" spans="1:15" hidden="1" x14ac:dyDescent="0.25">
      <c r="A4865" t="s">
        <v>69</v>
      </c>
      <c r="B4865" t="s">
        <v>115</v>
      </c>
      <c r="C4865" t="b">
        <v>0</v>
      </c>
      <c r="D4865" s="1">
        <v>42521</v>
      </c>
      <c r="E4865">
        <v>5</v>
      </c>
      <c r="F4865"/>
      <c r="G4865"/>
      <c r="H4865"/>
      <c r="I4865"/>
      <c r="J4865"/>
      <c r="K4865"/>
      <c r="L4865"/>
      <c r="M4865"/>
      <c r="N4865"/>
      <c r="O4865"/>
    </row>
    <row r="4866" spans="1:15" hidden="1" x14ac:dyDescent="0.25">
      <c r="A4866" t="s">
        <v>75</v>
      </c>
      <c r="B4866" t="s">
        <v>115</v>
      </c>
      <c r="C4866" t="b">
        <v>0</v>
      </c>
      <c r="D4866" s="1">
        <v>42521</v>
      </c>
      <c r="E4866">
        <v>5</v>
      </c>
      <c r="F4866"/>
      <c r="G4866"/>
      <c r="H4866"/>
      <c r="I4866"/>
      <c r="J4866"/>
      <c r="K4866"/>
      <c r="L4866"/>
      <c r="M4866"/>
      <c r="N4866"/>
      <c r="O4866"/>
    </row>
    <row r="4867" spans="1:15" hidden="1" x14ac:dyDescent="0.25">
      <c r="A4867" t="s">
        <v>76</v>
      </c>
      <c r="B4867" t="s">
        <v>115</v>
      </c>
      <c r="C4867" t="b">
        <v>0</v>
      </c>
      <c r="D4867" s="1">
        <v>42521</v>
      </c>
      <c r="E4867">
        <v>1E-3</v>
      </c>
      <c r="F4867"/>
      <c r="G4867"/>
      <c r="H4867"/>
      <c r="I4867"/>
      <c r="J4867"/>
      <c r="K4867"/>
      <c r="L4867"/>
      <c r="M4867"/>
      <c r="N4867"/>
      <c r="O4867"/>
    </row>
    <row r="4868" spans="1:15" hidden="1" x14ac:dyDescent="0.25">
      <c r="A4868" t="s">
        <v>81</v>
      </c>
      <c r="B4868" t="s">
        <v>115</v>
      </c>
      <c r="C4868" t="b">
        <v>0</v>
      </c>
      <c r="D4868" s="1">
        <v>42521</v>
      </c>
      <c r="E4868">
        <v>5</v>
      </c>
      <c r="F4868"/>
      <c r="G4868"/>
      <c r="H4868"/>
      <c r="I4868"/>
      <c r="J4868"/>
      <c r="K4868"/>
      <c r="L4868"/>
      <c r="M4868"/>
      <c r="N4868"/>
      <c r="O4868"/>
    </row>
    <row r="4869" spans="1:15" hidden="1" x14ac:dyDescent="0.25">
      <c r="A4869" t="s">
        <v>85</v>
      </c>
      <c r="B4869" t="s">
        <v>115</v>
      </c>
      <c r="C4869" t="b">
        <v>0</v>
      </c>
      <c r="D4869" s="1">
        <v>42521</v>
      </c>
      <c r="E4869">
        <v>5</v>
      </c>
      <c r="F4869"/>
      <c r="G4869"/>
      <c r="H4869"/>
      <c r="I4869"/>
      <c r="J4869"/>
      <c r="K4869"/>
      <c r="L4869"/>
      <c r="M4869"/>
      <c r="N4869"/>
      <c r="O4869"/>
    </row>
    <row r="4870" spans="1:15" hidden="1" x14ac:dyDescent="0.25">
      <c r="A4870" t="s">
        <v>82</v>
      </c>
      <c r="B4870" t="s">
        <v>115</v>
      </c>
      <c r="C4870" t="b">
        <v>0</v>
      </c>
      <c r="D4870" s="1">
        <v>42521</v>
      </c>
      <c r="E4870">
        <v>5</v>
      </c>
      <c r="F4870"/>
      <c r="G4870"/>
      <c r="H4870"/>
      <c r="I4870"/>
      <c r="J4870"/>
      <c r="K4870"/>
      <c r="L4870"/>
      <c r="M4870"/>
      <c r="N4870"/>
      <c r="O4870"/>
    </row>
    <row r="4871" spans="1:15" hidden="1" x14ac:dyDescent="0.25">
      <c r="A4871" t="s">
        <v>84</v>
      </c>
      <c r="B4871" t="s">
        <v>115</v>
      </c>
      <c r="C4871" t="b">
        <v>0</v>
      </c>
      <c r="D4871" s="1">
        <v>42521</v>
      </c>
      <c r="E4871">
        <v>5</v>
      </c>
      <c r="F4871"/>
      <c r="G4871"/>
      <c r="H4871"/>
      <c r="I4871"/>
      <c r="J4871"/>
      <c r="K4871"/>
      <c r="L4871"/>
      <c r="M4871"/>
      <c r="N4871"/>
      <c r="O4871"/>
    </row>
    <row r="4872" spans="1:15" hidden="1" x14ac:dyDescent="0.25">
      <c r="A4872" t="s">
        <v>88</v>
      </c>
      <c r="B4872" t="s">
        <v>115</v>
      </c>
      <c r="C4872" t="b">
        <v>0</v>
      </c>
      <c r="D4872" s="1">
        <v>42521</v>
      </c>
      <c r="E4872">
        <v>5</v>
      </c>
      <c r="F4872"/>
      <c r="G4872"/>
      <c r="H4872"/>
      <c r="I4872"/>
      <c r="J4872"/>
      <c r="K4872"/>
      <c r="L4872"/>
      <c r="M4872"/>
      <c r="N4872"/>
      <c r="O4872"/>
    </row>
    <row r="4873" spans="1:15" hidden="1" x14ac:dyDescent="0.25">
      <c r="A4873" t="s">
        <v>94</v>
      </c>
      <c r="B4873" t="s">
        <v>115</v>
      </c>
      <c r="C4873" t="b">
        <v>0</v>
      </c>
      <c r="D4873" s="1">
        <v>42521</v>
      </c>
      <c r="E4873">
        <v>5</v>
      </c>
      <c r="F4873"/>
      <c r="G4873"/>
      <c r="H4873"/>
      <c r="I4873"/>
      <c r="J4873"/>
      <c r="K4873"/>
      <c r="L4873"/>
      <c r="M4873"/>
      <c r="N4873"/>
      <c r="O4873"/>
    </row>
    <row r="4874" spans="1:15" hidden="1" x14ac:dyDescent="0.25">
      <c r="A4874" t="s">
        <v>96</v>
      </c>
      <c r="B4874" t="s">
        <v>115</v>
      </c>
      <c r="C4874" t="b">
        <v>0</v>
      </c>
      <c r="D4874" s="1">
        <v>42521</v>
      </c>
      <c r="E4874">
        <v>5</v>
      </c>
      <c r="F4874"/>
      <c r="G4874"/>
      <c r="H4874"/>
      <c r="I4874"/>
      <c r="J4874"/>
      <c r="K4874"/>
      <c r="L4874"/>
      <c r="M4874"/>
      <c r="N4874"/>
      <c r="O4874"/>
    </row>
    <row r="4875" spans="1:15" hidden="1" x14ac:dyDescent="0.25">
      <c r="A4875" t="s">
        <v>98</v>
      </c>
      <c r="B4875" t="s">
        <v>115</v>
      </c>
      <c r="C4875" t="b">
        <v>0</v>
      </c>
      <c r="D4875" s="1">
        <v>42521</v>
      </c>
      <c r="E4875">
        <v>5</v>
      </c>
      <c r="F4875"/>
      <c r="G4875"/>
      <c r="H4875"/>
      <c r="I4875"/>
      <c r="J4875"/>
      <c r="K4875"/>
      <c r="L4875"/>
      <c r="M4875"/>
      <c r="N4875"/>
      <c r="O4875"/>
    </row>
    <row r="4876" spans="1:15" hidden="1" x14ac:dyDescent="0.25">
      <c r="A4876" t="s">
        <v>97</v>
      </c>
      <c r="B4876" t="s">
        <v>115</v>
      </c>
      <c r="C4876" t="b">
        <v>0</v>
      </c>
      <c r="D4876" s="1">
        <v>42521</v>
      </c>
      <c r="E4876">
        <v>5</v>
      </c>
      <c r="F4876"/>
      <c r="G4876"/>
      <c r="H4876"/>
      <c r="I4876"/>
      <c r="J4876"/>
      <c r="K4876"/>
      <c r="L4876"/>
      <c r="M4876"/>
      <c r="N4876"/>
      <c r="O4876"/>
    </row>
    <row r="4877" spans="1:15" hidden="1" x14ac:dyDescent="0.25">
      <c r="A4877" t="s">
        <v>99</v>
      </c>
      <c r="B4877" t="s">
        <v>114</v>
      </c>
      <c r="C4877" t="b">
        <v>0</v>
      </c>
      <c r="D4877" s="1">
        <v>42521</v>
      </c>
      <c r="E4877">
        <v>31.1</v>
      </c>
      <c r="F4877"/>
      <c r="G4877"/>
      <c r="H4877"/>
      <c r="I4877"/>
      <c r="J4877"/>
      <c r="K4877"/>
      <c r="L4877"/>
      <c r="M4877"/>
      <c r="N4877"/>
      <c r="O4877"/>
    </row>
    <row r="4878" spans="1:15" hidden="1" x14ac:dyDescent="0.25">
      <c r="A4878" t="s">
        <v>100</v>
      </c>
      <c r="B4878" t="s">
        <v>117</v>
      </c>
      <c r="C4878" t="b">
        <v>0</v>
      </c>
      <c r="D4878" s="1">
        <v>42551</v>
      </c>
      <c r="E4878" s="2">
        <v>-79.92</v>
      </c>
      <c r="F4878"/>
      <c r="G4878"/>
      <c r="H4878"/>
      <c r="I4878"/>
      <c r="J4878"/>
      <c r="K4878"/>
      <c r="L4878"/>
      <c r="M4878"/>
      <c r="N4878"/>
      <c r="O4878"/>
    </row>
    <row r="4879" spans="1:15" hidden="1" x14ac:dyDescent="0.25">
      <c r="A4879" t="s">
        <v>104</v>
      </c>
      <c r="B4879" t="s">
        <v>117</v>
      </c>
      <c r="C4879" t="b">
        <v>0</v>
      </c>
      <c r="D4879" s="1">
        <v>42551</v>
      </c>
      <c r="E4879" s="2">
        <v>-5</v>
      </c>
      <c r="F4879"/>
      <c r="G4879"/>
      <c r="H4879"/>
      <c r="I4879"/>
      <c r="J4879"/>
      <c r="K4879"/>
      <c r="L4879"/>
      <c r="M4879"/>
      <c r="N4879"/>
      <c r="O4879"/>
    </row>
    <row r="4880" spans="1:15" hidden="1" x14ac:dyDescent="0.25">
      <c r="A4880" t="s">
        <v>102</v>
      </c>
      <c r="B4880" t="s">
        <v>117</v>
      </c>
      <c r="C4880" t="b">
        <v>0</v>
      </c>
      <c r="D4880" s="1">
        <v>42551</v>
      </c>
      <c r="E4880" s="2">
        <v>-41.94</v>
      </c>
      <c r="F4880"/>
      <c r="G4880"/>
      <c r="H4880"/>
      <c r="I4880"/>
      <c r="J4880"/>
      <c r="K4880"/>
      <c r="L4880"/>
      <c r="M4880"/>
      <c r="N4880"/>
      <c r="O4880"/>
    </row>
    <row r="4881" spans="1:15" hidden="1" x14ac:dyDescent="0.25">
      <c r="A4881" t="s">
        <v>103</v>
      </c>
      <c r="B4881" t="s">
        <v>117</v>
      </c>
      <c r="C4881" t="b">
        <v>0</v>
      </c>
      <c r="D4881" s="1">
        <v>42551</v>
      </c>
      <c r="E4881" s="2">
        <v>-22.99</v>
      </c>
      <c r="F4881"/>
      <c r="G4881"/>
      <c r="H4881"/>
      <c r="I4881"/>
      <c r="J4881"/>
      <c r="K4881"/>
      <c r="L4881"/>
      <c r="M4881"/>
      <c r="N4881"/>
      <c r="O4881"/>
    </row>
    <row r="4882" spans="1:15" hidden="1" x14ac:dyDescent="0.25">
      <c r="A4882" t="s">
        <v>47</v>
      </c>
      <c r="B4882" t="s">
        <v>115</v>
      </c>
      <c r="C4882" t="b">
        <v>0</v>
      </c>
      <c r="D4882" s="1">
        <v>42551</v>
      </c>
      <c r="E4882">
        <v>5</v>
      </c>
      <c r="F4882"/>
      <c r="G4882"/>
      <c r="H4882"/>
      <c r="I4882"/>
      <c r="J4882"/>
      <c r="K4882"/>
      <c r="L4882"/>
      <c r="M4882"/>
      <c r="N4882"/>
      <c r="O4882"/>
    </row>
    <row r="4883" spans="1:15" hidden="1" x14ac:dyDescent="0.25">
      <c r="A4883" t="s">
        <v>43</v>
      </c>
      <c r="B4883" t="s">
        <v>115</v>
      </c>
      <c r="C4883" t="b">
        <v>0</v>
      </c>
      <c r="D4883" s="1">
        <v>42551</v>
      </c>
      <c r="E4883">
        <v>5</v>
      </c>
      <c r="F4883"/>
      <c r="G4883"/>
      <c r="H4883"/>
      <c r="I4883"/>
      <c r="J4883"/>
      <c r="K4883"/>
      <c r="L4883"/>
      <c r="M4883"/>
      <c r="N4883"/>
      <c r="O4883"/>
    </row>
    <row r="4884" spans="1:15" hidden="1" x14ac:dyDescent="0.25">
      <c r="A4884" t="s">
        <v>48</v>
      </c>
      <c r="B4884" t="s">
        <v>115</v>
      </c>
      <c r="C4884" t="b">
        <v>0</v>
      </c>
      <c r="D4884" s="1">
        <v>42551</v>
      </c>
      <c r="E4884">
        <v>5</v>
      </c>
      <c r="F4884"/>
      <c r="G4884"/>
      <c r="H4884"/>
      <c r="I4884"/>
      <c r="J4884"/>
      <c r="K4884"/>
      <c r="L4884"/>
      <c r="M4884"/>
      <c r="N4884"/>
      <c r="O4884"/>
    </row>
    <row r="4885" spans="1:15" hidden="1" x14ac:dyDescent="0.25">
      <c r="A4885" t="s">
        <v>50</v>
      </c>
      <c r="B4885" t="s">
        <v>115</v>
      </c>
      <c r="C4885" t="b">
        <v>0</v>
      </c>
      <c r="D4885" s="1">
        <v>42551</v>
      </c>
      <c r="E4885">
        <v>5</v>
      </c>
      <c r="F4885"/>
      <c r="G4885"/>
      <c r="H4885"/>
      <c r="I4885"/>
      <c r="J4885"/>
      <c r="K4885"/>
      <c r="L4885"/>
      <c r="M4885"/>
      <c r="N4885"/>
      <c r="O4885"/>
    </row>
    <row r="4886" spans="1:15" hidden="1" x14ac:dyDescent="0.25">
      <c r="A4886" t="s">
        <v>51</v>
      </c>
      <c r="B4886" t="s">
        <v>115</v>
      </c>
      <c r="C4886" t="b">
        <v>0</v>
      </c>
      <c r="D4886" s="1">
        <v>42551</v>
      </c>
      <c r="E4886">
        <v>5</v>
      </c>
      <c r="F4886"/>
      <c r="G4886"/>
      <c r="H4886"/>
      <c r="I4886"/>
      <c r="J4886"/>
      <c r="K4886"/>
      <c r="L4886"/>
      <c r="M4886"/>
      <c r="N4886"/>
      <c r="O4886"/>
    </row>
    <row r="4887" spans="1:15" hidden="1" x14ac:dyDescent="0.25">
      <c r="A4887" t="s">
        <v>52</v>
      </c>
      <c r="B4887" t="s">
        <v>115</v>
      </c>
      <c r="C4887" t="b">
        <v>0</v>
      </c>
      <c r="D4887" s="1">
        <v>42551</v>
      </c>
      <c r="E4887">
        <v>5</v>
      </c>
      <c r="F4887"/>
      <c r="G4887"/>
      <c r="H4887"/>
      <c r="I4887"/>
      <c r="J4887"/>
      <c r="K4887"/>
      <c r="L4887"/>
      <c r="M4887"/>
      <c r="N4887"/>
      <c r="O4887"/>
    </row>
    <row r="4888" spans="1:15" hidden="1" x14ac:dyDescent="0.25">
      <c r="A4888" t="s">
        <v>54</v>
      </c>
      <c r="B4888" t="s">
        <v>115</v>
      </c>
      <c r="C4888" t="b">
        <v>0</v>
      </c>
      <c r="D4888" s="1">
        <v>42551</v>
      </c>
      <c r="E4888">
        <v>5</v>
      </c>
      <c r="F4888"/>
      <c r="G4888"/>
      <c r="H4888"/>
      <c r="I4888"/>
      <c r="J4888"/>
      <c r="K4888"/>
      <c r="L4888"/>
      <c r="M4888"/>
      <c r="N4888"/>
      <c r="O4888"/>
    </row>
    <row r="4889" spans="1:15" hidden="1" x14ac:dyDescent="0.25">
      <c r="A4889" t="s">
        <v>55</v>
      </c>
      <c r="B4889" t="s">
        <v>115</v>
      </c>
      <c r="C4889" t="b">
        <v>0</v>
      </c>
      <c r="D4889" s="1">
        <v>42551</v>
      </c>
      <c r="E4889">
        <v>5</v>
      </c>
      <c r="F4889"/>
      <c r="G4889"/>
      <c r="H4889"/>
      <c r="I4889"/>
      <c r="J4889"/>
      <c r="K4889"/>
      <c r="L4889"/>
      <c r="M4889"/>
      <c r="N4889"/>
      <c r="O4889"/>
    </row>
    <row r="4890" spans="1:15" hidden="1" x14ac:dyDescent="0.25">
      <c r="A4890" t="s">
        <v>58</v>
      </c>
      <c r="B4890" t="s">
        <v>115</v>
      </c>
      <c r="C4890" t="b">
        <v>0</v>
      </c>
      <c r="D4890" s="1">
        <v>42551</v>
      </c>
      <c r="E4890">
        <v>5</v>
      </c>
      <c r="F4890"/>
      <c r="G4890"/>
      <c r="H4890"/>
      <c r="I4890"/>
      <c r="J4890"/>
      <c r="K4890"/>
      <c r="L4890"/>
      <c r="M4890"/>
      <c r="N4890"/>
      <c r="O4890"/>
    </row>
    <row r="4891" spans="1:15" hidden="1" x14ac:dyDescent="0.25">
      <c r="A4891" t="s">
        <v>65</v>
      </c>
      <c r="B4891" t="s">
        <v>115</v>
      </c>
      <c r="C4891" t="b">
        <v>0</v>
      </c>
      <c r="D4891" s="1">
        <v>42551</v>
      </c>
      <c r="E4891">
        <v>5</v>
      </c>
      <c r="F4891"/>
      <c r="G4891"/>
      <c r="H4891"/>
      <c r="I4891"/>
      <c r="J4891"/>
      <c r="K4891"/>
      <c r="L4891"/>
      <c r="M4891"/>
      <c r="N4891"/>
      <c r="O4891"/>
    </row>
    <row r="4892" spans="1:15" hidden="1" x14ac:dyDescent="0.25">
      <c r="A4892" t="s">
        <v>66</v>
      </c>
      <c r="B4892" t="s">
        <v>115</v>
      </c>
      <c r="C4892" t="b">
        <v>0</v>
      </c>
      <c r="D4892" s="1">
        <v>42551</v>
      </c>
      <c r="E4892">
        <v>2</v>
      </c>
      <c r="F4892"/>
      <c r="G4892"/>
      <c r="H4892"/>
      <c r="I4892"/>
      <c r="J4892"/>
      <c r="K4892"/>
      <c r="L4892"/>
      <c r="M4892"/>
      <c r="N4892"/>
      <c r="O4892"/>
    </row>
    <row r="4893" spans="1:15" hidden="1" x14ac:dyDescent="0.25">
      <c r="A4893" t="s">
        <v>68</v>
      </c>
      <c r="B4893" t="s">
        <v>115</v>
      </c>
      <c r="C4893" t="b">
        <v>0</v>
      </c>
      <c r="D4893" s="1">
        <v>42551</v>
      </c>
      <c r="E4893">
        <v>5</v>
      </c>
      <c r="F4893"/>
      <c r="G4893"/>
      <c r="H4893"/>
      <c r="I4893"/>
      <c r="J4893"/>
      <c r="K4893"/>
      <c r="L4893"/>
      <c r="M4893"/>
      <c r="N4893"/>
      <c r="O4893"/>
    </row>
    <row r="4894" spans="1:15" hidden="1" x14ac:dyDescent="0.25">
      <c r="A4894" t="s">
        <v>69</v>
      </c>
      <c r="B4894" t="s">
        <v>115</v>
      </c>
      <c r="C4894" t="b">
        <v>0</v>
      </c>
      <c r="D4894" s="1">
        <v>42551</v>
      </c>
      <c r="E4894">
        <v>5</v>
      </c>
      <c r="F4894"/>
      <c r="G4894"/>
      <c r="H4894"/>
      <c r="I4894"/>
      <c r="J4894"/>
      <c r="K4894"/>
      <c r="L4894"/>
      <c r="M4894"/>
      <c r="N4894"/>
      <c r="O4894"/>
    </row>
    <row r="4895" spans="1:15" hidden="1" x14ac:dyDescent="0.25">
      <c r="A4895" t="s">
        <v>75</v>
      </c>
      <c r="B4895" t="s">
        <v>115</v>
      </c>
      <c r="C4895" t="b">
        <v>0</v>
      </c>
      <c r="D4895" s="1">
        <v>42551</v>
      </c>
      <c r="E4895">
        <v>5</v>
      </c>
      <c r="F4895"/>
      <c r="G4895"/>
      <c r="H4895"/>
      <c r="I4895"/>
      <c r="J4895"/>
      <c r="K4895"/>
      <c r="L4895"/>
      <c r="M4895"/>
      <c r="N4895"/>
      <c r="O4895"/>
    </row>
    <row r="4896" spans="1:15" hidden="1" x14ac:dyDescent="0.25">
      <c r="A4896" t="s">
        <v>76</v>
      </c>
      <c r="B4896" t="s">
        <v>115</v>
      </c>
      <c r="C4896" t="b">
        <v>0</v>
      </c>
      <c r="D4896" s="1">
        <v>42551</v>
      </c>
      <c r="E4896">
        <v>1E-3</v>
      </c>
      <c r="F4896"/>
      <c r="G4896"/>
      <c r="H4896"/>
      <c r="I4896"/>
      <c r="J4896"/>
      <c r="K4896"/>
      <c r="L4896"/>
      <c r="M4896"/>
      <c r="N4896"/>
      <c r="O4896"/>
    </row>
    <row r="4897" spans="1:15" hidden="1" x14ac:dyDescent="0.25">
      <c r="A4897" t="s">
        <v>81</v>
      </c>
      <c r="B4897" t="s">
        <v>115</v>
      </c>
      <c r="C4897" t="b">
        <v>0</v>
      </c>
      <c r="D4897" s="1">
        <v>42551</v>
      </c>
      <c r="E4897">
        <v>5</v>
      </c>
      <c r="F4897"/>
      <c r="G4897"/>
      <c r="H4897"/>
      <c r="I4897"/>
      <c r="J4897"/>
      <c r="K4897"/>
      <c r="L4897"/>
      <c r="M4897"/>
      <c r="N4897"/>
      <c r="O4897"/>
    </row>
    <row r="4898" spans="1:15" hidden="1" x14ac:dyDescent="0.25">
      <c r="A4898" t="s">
        <v>85</v>
      </c>
      <c r="B4898" t="s">
        <v>115</v>
      </c>
      <c r="C4898" t="b">
        <v>0</v>
      </c>
      <c r="D4898" s="1">
        <v>42551</v>
      </c>
      <c r="E4898">
        <v>5</v>
      </c>
      <c r="F4898"/>
      <c r="G4898"/>
      <c r="H4898"/>
      <c r="I4898"/>
      <c r="J4898"/>
      <c r="K4898"/>
      <c r="L4898"/>
      <c r="M4898"/>
      <c r="N4898"/>
      <c r="O4898"/>
    </row>
    <row r="4899" spans="1:15" hidden="1" x14ac:dyDescent="0.25">
      <c r="A4899" t="s">
        <v>82</v>
      </c>
      <c r="B4899" t="s">
        <v>115</v>
      </c>
      <c r="C4899" t="b">
        <v>0</v>
      </c>
      <c r="D4899" s="1">
        <v>42551</v>
      </c>
      <c r="E4899">
        <v>5</v>
      </c>
      <c r="F4899"/>
      <c r="G4899"/>
      <c r="H4899"/>
      <c r="I4899"/>
      <c r="J4899"/>
      <c r="K4899"/>
      <c r="L4899"/>
      <c r="M4899"/>
      <c r="N4899"/>
      <c r="O4899"/>
    </row>
    <row r="4900" spans="1:15" hidden="1" x14ac:dyDescent="0.25">
      <c r="A4900" t="s">
        <v>84</v>
      </c>
      <c r="B4900" t="s">
        <v>115</v>
      </c>
      <c r="C4900" t="b">
        <v>0</v>
      </c>
      <c r="D4900" s="1">
        <v>42551</v>
      </c>
      <c r="E4900">
        <v>5</v>
      </c>
      <c r="F4900"/>
      <c r="G4900"/>
      <c r="H4900"/>
      <c r="I4900"/>
      <c r="J4900"/>
      <c r="K4900"/>
      <c r="L4900"/>
      <c r="M4900"/>
      <c r="N4900"/>
      <c r="O4900"/>
    </row>
    <row r="4901" spans="1:15" hidden="1" x14ac:dyDescent="0.25">
      <c r="A4901" t="s">
        <v>88</v>
      </c>
      <c r="B4901" t="s">
        <v>115</v>
      </c>
      <c r="C4901" t="b">
        <v>0</v>
      </c>
      <c r="D4901" s="1">
        <v>42551</v>
      </c>
      <c r="E4901">
        <v>5</v>
      </c>
      <c r="F4901"/>
      <c r="G4901"/>
      <c r="H4901"/>
      <c r="I4901"/>
      <c r="J4901"/>
      <c r="K4901"/>
      <c r="L4901"/>
      <c r="M4901"/>
      <c r="N4901"/>
      <c r="O4901"/>
    </row>
    <row r="4902" spans="1:15" hidden="1" x14ac:dyDescent="0.25">
      <c r="A4902" t="s">
        <v>87</v>
      </c>
      <c r="B4902" t="s">
        <v>115</v>
      </c>
      <c r="C4902" t="b">
        <v>0</v>
      </c>
      <c r="D4902" s="1">
        <v>42551</v>
      </c>
      <c r="E4902">
        <v>5</v>
      </c>
      <c r="F4902"/>
      <c r="G4902"/>
      <c r="H4902"/>
      <c r="I4902"/>
      <c r="J4902"/>
      <c r="K4902"/>
      <c r="L4902"/>
      <c r="M4902"/>
      <c r="N4902"/>
      <c r="O4902"/>
    </row>
    <row r="4903" spans="1:15" hidden="1" x14ac:dyDescent="0.25">
      <c r="A4903" t="s">
        <v>94</v>
      </c>
      <c r="B4903" t="s">
        <v>115</v>
      </c>
      <c r="C4903" t="b">
        <v>0</v>
      </c>
      <c r="D4903" s="1">
        <v>42551</v>
      </c>
      <c r="E4903">
        <v>5</v>
      </c>
      <c r="F4903"/>
      <c r="G4903"/>
      <c r="H4903"/>
      <c r="I4903"/>
      <c r="J4903"/>
      <c r="K4903"/>
      <c r="L4903"/>
      <c r="M4903"/>
      <c r="N4903"/>
      <c r="O4903"/>
    </row>
    <row r="4904" spans="1:15" hidden="1" x14ac:dyDescent="0.25">
      <c r="A4904" t="s">
        <v>96</v>
      </c>
      <c r="B4904" t="s">
        <v>115</v>
      </c>
      <c r="C4904" t="b">
        <v>0</v>
      </c>
      <c r="D4904" s="1">
        <v>42551</v>
      </c>
      <c r="E4904">
        <v>5</v>
      </c>
      <c r="F4904"/>
      <c r="G4904"/>
      <c r="H4904"/>
      <c r="I4904"/>
      <c r="J4904"/>
      <c r="K4904"/>
      <c r="L4904"/>
      <c r="M4904"/>
      <c r="N4904"/>
      <c r="O4904"/>
    </row>
    <row r="4905" spans="1:15" hidden="1" x14ac:dyDescent="0.25">
      <c r="A4905" t="s">
        <v>98</v>
      </c>
      <c r="B4905" t="s">
        <v>115</v>
      </c>
      <c r="C4905" t="b">
        <v>0</v>
      </c>
      <c r="D4905" s="1">
        <v>42551</v>
      </c>
      <c r="E4905">
        <v>5</v>
      </c>
      <c r="F4905"/>
      <c r="G4905"/>
      <c r="H4905"/>
      <c r="I4905"/>
      <c r="J4905"/>
      <c r="K4905"/>
      <c r="L4905"/>
      <c r="M4905"/>
      <c r="N4905"/>
      <c r="O4905"/>
    </row>
    <row r="4906" spans="1:15" hidden="1" x14ac:dyDescent="0.25">
      <c r="A4906" t="s">
        <v>97</v>
      </c>
      <c r="B4906" t="s">
        <v>115</v>
      </c>
      <c r="C4906" t="b">
        <v>0</v>
      </c>
      <c r="D4906" s="1">
        <v>42551</v>
      </c>
      <c r="E4906">
        <v>5</v>
      </c>
      <c r="F4906"/>
      <c r="G4906"/>
      <c r="H4906"/>
      <c r="I4906"/>
      <c r="J4906"/>
      <c r="K4906"/>
      <c r="L4906"/>
      <c r="M4906"/>
      <c r="N4906"/>
      <c r="O4906"/>
    </row>
    <row r="4907" spans="1:15" hidden="1" x14ac:dyDescent="0.25">
      <c r="A4907" t="s">
        <v>99</v>
      </c>
      <c r="B4907" t="s">
        <v>114</v>
      </c>
      <c r="C4907" t="b">
        <v>0</v>
      </c>
      <c r="D4907" s="1">
        <v>42551</v>
      </c>
      <c r="E4907">
        <v>28.48</v>
      </c>
      <c r="F4907"/>
      <c r="G4907"/>
      <c r="H4907"/>
      <c r="I4907"/>
      <c r="J4907"/>
      <c r="K4907"/>
      <c r="L4907"/>
      <c r="M4907"/>
      <c r="N4907"/>
      <c r="O4907"/>
    </row>
    <row r="4908" spans="1:15" hidden="1" x14ac:dyDescent="0.25">
      <c r="A4908" t="s">
        <v>100</v>
      </c>
      <c r="B4908" t="s">
        <v>117</v>
      </c>
      <c r="C4908" t="b">
        <v>0</v>
      </c>
      <c r="D4908" s="1">
        <v>42582</v>
      </c>
      <c r="E4908" s="2">
        <v>-68.42</v>
      </c>
      <c r="F4908"/>
      <c r="G4908"/>
      <c r="H4908"/>
      <c r="I4908"/>
      <c r="J4908"/>
      <c r="K4908"/>
      <c r="L4908"/>
      <c r="M4908"/>
      <c r="N4908"/>
      <c r="O4908"/>
    </row>
    <row r="4909" spans="1:15" hidden="1" x14ac:dyDescent="0.25">
      <c r="A4909" t="s">
        <v>104</v>
      </c>
      <c r="B4909" t="s">
        <v>117</v>
      </c>
      <c r="C4909" t="b">
        <v>0</v>
      </c>
      <c r="D4909" s="1">
        <v>42582</v>
      </c>
      <c r="E4909" s="2">
        <v>-12.99</v>
      </c>
      <c r="F4909"/>
      <c r="G4909"/>
      <c r="H4909"/>
      <c r="I4909"/>
      <c r="J4909"/>
      <c r="K4909"/>
      <c r="L4909"/>
      <c r="M4909"/>
      <c r="N4909"/>
      <c r="O4909"/>
    </row>
    <row r="4910" spans="1:15" hidden="1" x14ac:dyDescent="0.25">
      <c r="A4910" t="s">
        <v>102</v>
      </c>
      <c r="B4910" t="s">
        <v>117</v>
      </c>
      <c r="C4910" t="b">
        <v>0</v>
      </c>
      <c r="D4910" s="1">
        <v>42582</v>
      </c>
      <c r="E4910" s="2">
        <v>-49.93</v>
      </c>
      <c r="F4910"/>
      <c r="G4910"/>
      <c r="H4910"/>
      <c r="I4910"/>
      <c r="J4910"/>
      <c r="K4910"/>
      <c r="L4910"/>
      <c r="M4910"/>
      <c r="N4910"/>
      <c r="O4910"/>
    </row>
    <row r="4911" spans="1:15" hidden="1" x14ac:dyDescent="0.25">
      <c r="A4911" t="s">
        <v>47</v>
      </c>
      <c r="B4911" t="s">
        <v>115</v>
      </c>
      <c r="C4911" t="b">
        <v>0</v>
      </c>
      <c r="D4911" s="1">
        <v>42582</v>
      </c>
      <c r="E4911">
        <v>5</v>
      </c>
      <c r="F4911"/>
      <c r="G4911"/>
      <c r="H4911"/>
      <c r="I4911"/>
      <c r="J4911"/>
      <c r="K4911"/>
      <c r="L4911"/>
      <c r="M4911"/>
      <c r="N4911"/>
      <c r="O4911"/>
    </row>
    <row r="4912" spans="1:15" hidden="1" x14ac:dyDescent="0.25">
      <c r="A4912" t="s">
        <v>43</v>
      </c>
      <c r="B4912" t="s">
        <v>115</v>
      </c>
      <c r="C4912" t="b">
        <v>0</v>
      </c>
      <c r="D4912" s="1">
        <v>42582</v>
      </c>
      <c r="E4912">
        <v>5</v>
      </c>
      <c r="F4912"/>
      <c r="G4912"/>
      <c r="H4912"/>
      <c r="I4912"/>
      <c r="J4912"/>
      <c r="K4912"/>
      <c r="L4912"/>
      <c r="M4912"/>
      <c r="N4912"/>
      <c r="O4912"/>
    </row>
    <row r="4913" spans="1:15" hidden="1" x14ac:dyDescent="0.25">
      <c r="A4913" t="s">
        <v>48</v>
      </c>
      <c r="B4913" t="s">
        <v>115</v>
      </c>
      <c r="C4913" t="b">
        <v>0</v>
      </c>
      <c r="D4913" s="1">
        <v>42582</v>
      </c>
      <c r="E4913">
        <v>0</v>
      </c>
      <c r="F4913"/>
      <c r="G4913"/>
      <c r="H4913"/>
      <c r="I4913"/>
      <c r="J4913"/>
      <c r="K4913"/>
      <c r="L4913"/>
      <c r="M4913"/>
      <c r="N4913"/>
      <c r="O4913"/>
    </row>
    <row r="4914" spans="1:15" hidden="1" x14ac:dyDescent="0.25">
      <c r="A4914" t="s">
        <v>50</v>
      </c>
      <c r="B4914" t="s">
        <v>115</v>
      </c>
      <c r="C4914" t="b">
        <v>0</v>
      </c>
      <c r="D4914" s="1">
        <v>42582</v>
      </c>
      <c r="E4914">
        <v>5</v>
      </c>
      <c r="F4914"/>
      <c r="G4914"/>
      <c r="H4914"/>
      <c r="I4914"/>
      <c r="J4914"/>
      <c r="K4914"/>
      <c r="L4914"/>
      <c r="M4914"/>
      <c r="N4914"/>
      <c r="O4914"/>
    </row>
    <row r="4915" spans="1:15" hidden="1" x14ac:dyDescent="0.25">
      <c r="A4915" t="s">
        <v>51</v>
      </c>
      <c r="B4915" t="s">
        <v>115</v>
      </c>
      <c r="C4915" t="b">
        <v>0</v>
      </c>
      <c r="D4915" s="1">
        <v>42582</v>
      </c>
      <c r="E4915">
        <v>5</v>
      </c>
      <c r="F4915"/>
      <c r="G4915"/>
      <c r="H4915"/>
      <c r="I4915"/>
      <c r="J4915"/>
      <c r="K4915"/>
      <c r="L4915"/>
      <c r="M4915"/>
      <c r="N4915"/>
      <c r="O4915"/>
    </row>
    <row r="4916" spans="1:15" hidden="1" x14ac:dyDescent="0.25">
      <c r="A4916" t="s">
        <v>52</v>
      </c>
      <c r="B4916" t="s">
        <v>115</v>
      </c>
      <c r="C4916" t="b">
        <v>0</v>
      </c>
      <c r="D4916" s="1">
        <v>42582</v>
      </c>
      <c r="E4916">
        <v>5</v>
      </c>
      <c r="F4916"/>
      <c r="G4916"/>
      <c r="H4916"/>
      <c r="I4916"/>
      <c r="J4916"/>
      <c r="K4916"/>
      <c r="L4916"/>
      <c r="M4916"/>
      <c r="N4916"/>
      <c r="O4916"/>
    </row>
    <row r="4917" spans="1:15" hidden="1" x14ac:dyDescent="0.25">
      <c r="A4917" t="s">
        <v>54</v>
      </c>
      <c r="B4917" t="s">
        <v>115</v>
      </c>
      <c r="C4917" t="b">
        <v>0</v>
      </c>
      <c r="D4917" s="1">
        <v>42582</v>
      </c>
      <c r="E4917">
        <v>5</v>
      </c>
      <c r="F4917"/>
      <c r="G4917"/>
      <c r="H4917"/>
      <c r="I4917"/>
      <c r="J4917"/>
      <c r="K4917"/>
      <c r="L4917"/>
      <c r="M4917"/>
      <c r="N4917"/>
      <c r="O4917"/>
    </row>
    <row r="4918" spans="1:15" hidden="1" x14ac:dyDescent="0.25">
      <c r="A4918" t="s">
        <v>55</v>
      </c>
      <c r="B4918" t="s">
        <v>115</v>
      </c>
      <c r="C4918" t="b">
        <v>0</v>
      </c>
      <c r="D4918" s="1">
        <v>42582</v>
      </c>
      <c r="E4918">
        <v>5</v>
      </c>
      <c r="F4918"/>
      <c r="G4918"/>
      <c r="H4918"/>
      <c r="I4918"/>
      <c r="J4918"/>
      <c r="K4918"/>
      <c r="L4918"/>
      <c r="M4918"/>
      <c r="N4918"/>
      <c r="O4918"/>
    </row>
    <row r="4919" spans="1:15" hidden="1" x14ac:dyDescent="0.25">
      <c r="A4919" t="s">
        <v>58</v>
      </c>
      <c r="B4919" t="s">
        <v>115</v>
      </c>
      <c r="C4919" t="b">
        <v>0</v>
      </c>
      <c r="D4919" s="1">
        <v>42582</v>
      </c>
      <c r="E4919">
        <v>0</v>
      </c>
      <c r="F4919"/>
      <c r="G4919"/>
      <c r="H4919"/>
      <c r="I4919"/>
      <c r="J4919"/>
      <c r="K4919"/>
      <c r="L4919"/>
      <c r="M4919"/>
      <c r="N4919"/>
      <c r="O4919"/>
    </row>
    <row r="4920" spans="1:15" hidden="1" x14ac:dyDescent="0.25">
      <c r="A4920" t="s">
        <v>65</v>
      </c>
      <c r="B4920" t="s">
        <v>115</v>
      </c>
      <c r="C4920" t="b">
        <v>0</v>
      </c>
      <c r="D4920" s="1">
        <v>42582</v>
      </c>
      <c r="E4920">
        <v>5</v>
      </c>
      <c r="F4920"/>
      <c r="G4920"/>
      <c r="H4920"/>
      <c r="I4920"/>
      <c r="J4920"/>
      <c r="K4920"/>
      <c r="L4920"/>
      <c r="M4920"/>
      <c r="N4920"/>
      <c r="O4920"/>
    </row>
    <row r="4921" spans="1:15" hidden="1" x14ac:dyDescent="0.25">
      <c r="A4921" t="s">
        <v>66</v>
      </c>
      <c r="B4921" t="s">
        <v>115</v>
      </c>
      <c r="C4921" t="b">
        <v>0</v>
      </c>
      <c r="D4921" s="1">
        <v>42582</v>
      </c>
      <c r="E4921">
        <v>5</v>
      </c>
      <c r="F4921"/>
      <c r="G4921"/>
      <c r="H4921"/>
      <c r="I4921"/>
      <c r="J4921"/>
      <c r="K4921"/>
      <c r="L4921"/>
      <c r="M4921"/>
      <c r="N4921"/>
      <c r="O4921"/>
    </row>
    <row r="4922" spans="1:15" hidden="1" x14ac:dyDescent="0.25">
      <c r="A4922" t="s">
        <v>68</v>
      </c>
      <c r="B4922" t="s">
        <v>115</v>
      </c>
      <c r="C4922" t="b">
        <v>0</v>
      </c>
      <c r="D4922" s="1">
        <v>42582</v>
      </c>
      <c r="E4922">
        <v>5</v>
      </c>
      <c r="F4922"/>
      <c r="G4922"/>
      <c r="H4922"/>
      <c r="I4922"/>
      <c r="J4922"/>
      <c r="K4922"/>
      <c r="L4922"/>
      <c r="M4922"/>
      <c r="N4922"/>
      <c r="O4922"/>
    </row>
    <row r="4923" spans="1:15" hidden="1" x14ac:dyDescent="0.25">
      <c r="A4923" t="s">
        <v>69</v>
      </c>
      <c r="B4923" t="s">
        <v>115</v>
      </c>
      <c r="C4923" t="b">
        <v>0</v>
      </c>
      <c r="D4923" s="1">
        <v>42582</v>
      </c>
      <c r="E4923">
        <v>5</v>
      </c>
      <c r="F4923"/>
      <c r="G4923"/>
      <c r="H4923"/>
      <c r="I4923"/>
      <c r="J4923"/>
      <c r="K4923"/>
      <c r="L4923"/>
      <c r="M4923"/>
      <c r="N4923"/>
      <c r="O4923"/>
    </row>
    <row r="4924" spans="1:15" hidden="1" x14ac:dyDescent="0.25">
      <c r="A4924" t="s">
        <v>75</v>
      </c>
      <c r="B4924" t="s">
        <v>115</v>
      </c>
      <c r="C4924" t="b">
        <v>0</v>
      </c>
      <c r="D4924" s="1">
        <v>42582</v>
      </c>
      <c r="E4924">
        <v>5</v>
      </c>
      <c r="F4924"/>
      <c r="G4924"/>
      <c r="H4924"/>
      <c r="I4924"/>
      <c r="J4924"/>
      <c r="K4924"/>
      <c r="L4924"/>
      <c r="M4924"/>
      <c r="N4924"/>
      <c r="O4924"/>
    </row>
    <row r="4925" spans="1:15" hidden="1" x14ac:dyDescent="0.25">
      <c r="A4925" t="s">
        <v>76</v>
      </c>
      <c r="B4925" t="s">
        <v>115</v>
      </c>
      <c r="C4925" t="b">
        <v>0</v>
      </c>
      <c r="D4925" s="1">
        <v>42582</v>
      </c>
      <c r="E4925">
        <v>1E-3</v>
      </c>
      <c r="F4925"/>
      <c r="G4925"/>
      <c r="H4925"/>
      <c r="I4925"/>
      <c r="J4925"/>
      <c r="K4925"/>
      <c r="L4925"/>
      <c r="M4925"/>
      <c r="N4925"/>
      <c r="O4925"/>
    </row>
    <row r="4926" spans="1:15" hidden="1" x14ac:dyDescent="0.25">
      <c r="A4926" t="s">
        <v>81</v>
      </c>
      <c r="B4926" t="s">
        <v>115</v>
      </c>
      <c r="C4926" t="b">
        <v>0</v>
      </c>
      <c r="D4926" s="1">
        <v>42582</v>
      </c>
      <c r="E4926">
        <v>5</v>
      </c>
      <c r="F4926"/>
      <c r="G4926"/>
      <c r="H4926"/>
      <c r="I4926"/>
      <c r="J4926"/>
      <c r="K4926"/>
      <c r="L4926"/>
      <c r="M4926"/>
      <c r="N4926"/>
      <c r="O4926"/>
    </row>
    <row r="4927" spans="1:15" hidden="1" x14ac:dyDescent="0.25">
      <c r="A4927" t="s">
        <v>85</v>
      </c>
      <c r="B4927" t="s">
        <v>115</v>
      </c>
      <c r="C4927" t="b">
        <v>0</v>
      </c>
      <c r="D4927" s="1">
        <v>42582</v>
      </c>
      <c r="E4927">
        <v>5</v>
      </c>
      <c r="F4927"/>
      <c r="G4927"/>
      <c r="H4927"/>
      <c r="I4927"/>
      <c r="J4927"/>
      <c r="K4927"/>
      <c r="L4927"/>
      <c r="M4927"/>
      <c r="N4927"/>
      <c r="O4927"/>
    </row>
    <row r="4928" spans="1:15" hidden="1" x14ac:dyDescent="0.25">
      <c r="A4928" t="s">
        <v>82</v>
      </c>
      <c r="B4928" t="s">
        <v>115</v>
      </c>
      <c r="C4928" t="b">
        <v>0</v>
      </c>
      <c r="D4928" s="1">
        <v>42582</v>
      </c>
      <c r="E4928">
        <v>5</v>
      </c>
      <c r="F4928"/>
      <c r="G4928"/>
      <c r="H4928"/>
      <c r="I4928"/>
      <c r="J4928"/>
      <c r="K4928"/>
      <c r="L4928"/>
      <c r="M4928"/>
      <c r="N4928"/>
      <c r="O4928"/>
    </row>
    <row r="4929" spans="1:15" hidden="1" x14ac:dyDescent="0.25">
      <c r="A4929" t="s">
        <v>84</v>
      </c>
      <c r="B4929" t="s">
        <v>115</v>
      </c>
      <c r="C4929" t="b">
        <v>0</v>
      </c>
      <c r="D4929" s="1">
        <v>42582</v>
      </c>
      <c r="E4929">
        <v>5</v>
      </c>
      <c r="F4929"/>
      <c r="G4929"/>
      <c r="H4929"/>
      <c r="I4929"/>
      <c r="J4929"/>
      <c r="K4929"/>
      <c r="L4929"/>
      <c r="M4929"/>
      <c r="N4929"/>
      <c r="O4929"/>
    </row>
    <row r="4930" spans="1:15" hidden="1" x14ac:dyDescent="0.25">
      <c r="A4930" t="s">
        <v>88</v>
      </c>
      <c r="B4930" t="s">
        <v>115</v>
      </c>
      <c r="C4930" t="b">
        <v>0</v>
      </c>
      <c r="D4930" s="1">
        <v>42582</v>
      </c>
      <c r="E4930">
        <v>5</v>
      </c>
      <c r="F4930"/>
      <c r="G4930"/>
      <c r="H4930"/>
      <c r="I4930"/>
      <c r="J4930"/>
      <c r="K4930"/>
      <c r="L4930"/>
      <c r="M4930"/>
      <c r="N4930"/>
      <c r="O4930"/>
    </row>
    <row r="4931" spans="1:15" hidden="1" x14ac:dyDescent="0.25">
      <c r="A4931" t="s">
        <v>87</v>
      </c>
      <c r="B4931" t="s">
        <v>115</v>
      </c>
      <c r="C4931" t="b">
        <v>0</v>
      </c>
      <c r="D4931" s="1">
        <v>42582</v>
      </c>
      <c r="E4931">
        <v>5</v>
      </c>
      <c r="F4931"/>
      <c r="G4931"/>
      <c r="H4931"/>
      <c r="I4931"/>
      <c r="J4931"/>
      <c r="K4931"/>
      <c r="L4931"/>
      <c r="M4931"/>
      <c r="N4931"/>
      <c r="O4931"/>
    </row>
    <row r="4932" spans="1:15" hidden="1" x14ac:dyDescent="0.25">
      <c r="A4932" t="s">
        <v>94</v>
      </c>
      <c r="B4932" t="s">
        <v>115</v>
      </c>
      <c r="C4932" t="b">
        <v>0</v>
      </c>
      <c r="D4932" s="1">
        <v>42582</v>
      </c>
      <c r="E4932">
        <v>5</v>
      </c>
      <c r="F4932"/>
      <c r="G4932"/>
      <c r="H4932"/>
      <c r="I4932"/>
      <c r="J4932"/>
      <c r="K4932"/>
      <c r="L4932"/>
      <c r="M4932"/>
      <c r="N4932"/>
      <c r="O4932"/>
    </row>
    <row r="4933" spans="1:15" hidden="1" x14ac:dyDescent="0.25">
      <c r="A4933" t="s">
        <v>96</v>
      </c>
      <c r="B4933" t="s">
        <v>115</v>
      </c>
      <c r="C4933" t="b">
        <v>0</v>
      </c>
      <c r="D4933" s="1">
        <v>42582</v>
      </c>
      <c r="E4933">
        <v>5</v>
      </c>
      <c r="F4933"/>
      <c r="G4933"/>
      <c r="H4933"/>
      <c r="I4933"/>
      <c r="J4933"/>
      <c r="K4933"/>
      <c r="L4933"/>
      <c r="M4933"/>
      <c r="N4933"/>
      <c r="O4933"/>
    </row>
    <row r="4934" spans="1:15" hidden="1" x14ac:dyDescent="0.25">
      <c r="A4934" t="s">
        <v>98</v>
      </c>
      <c r="B4934" t="s">
        <v>115</v>
      </c>
      <c r="C4934" t="b">
        <v>0</v>
      </c>
      <c r="D4934" s="1">
        <v>42582</v>
      </c>
      <c r="E4934">
        <v>5</v>
      </c>
      <c r="F4934"/>
      <c r="G4934"/>
      <c r="H4934"/>
      <c r="I4934"/>
      <c r="J4934"/>
      <c r="K4934"/>
      <c r="L4934"/>
      <c r="M4934"/>
      <c r="N4934"/>
      <c r="O4934"/>
    </row>
    <row r="4935" spans="1:15" hidden="1" x14ac:dyDescent="0.25">
      <c r="A4935" t="s">
        <v>97</v>
      </c>
      <c r="B4935" t="s">
        <v>115</v>
      </c>
      <c r="C4935" t="b">
        <v>0</v>
      </c>
      <c r="D4935" s="1">
        <v>42582</v>
      </c>
      <c r="E4935">
        <v>5</v>
      </c>
      <c r="F4935"/>
      <c r="G4935"/>
      <c r="H4935"/>
      <c r="I4935"/>
      <c r="J4935"/>
      <c r="K4935"/>
      <c r="L4935"/>
      <c r="M4935"/>
      <c r="N4935"/>
      <c r="O4935"/>
    </row>
    <row r="4936" spans="1:15" hidden="1" x14ac:dyDescent="0.25">
      <c r="A4936" t="s">
        <v>99</v>
      </c>
      <c r="B4936" t="s">
        <v>114</v>
      </c>
      <c r="C4936" t="b">
        <v>0</v>
      </c>
      <c r="D4936" s="1">
        <v>42582</v>
      </c>
      <c r="E4936">
        <v>13.409999999999998</v>
      </c>
      <c r="F4936"/>
      <c r="G4936"/>
      <c r="H4936"/>
      <c r="I4936"/>
      <c r="J4936"/>
      <c r="K4936"/>
      <c r="L4936"/>
      <c r="M4936"/>
      <c r="N4936"/>
      <c r="O4936"/>
    </row>
    <row r="4937" spans="1:15" hidden="1" x14ac:dyDescent="0.25">
      <c r="A4937" t="s">
        <v>100</v>
      </c>
      <c r="B4937" t="s">
        <v>117</v>
      </c>
      <c r="C4937" t="b">
        <v>0</v>
      </c>
      <c r="D4937" s="1">
        <v>42613</v>
      </c>
      <c r="E4937" s="2">
        <v>-49.95</v>
      </c>
      <c r="F4937"/>
      <c r="G4937"/>
      <c r="H4937"/>
      <c r="I4937"/>
      <c r="J4937"/>
      <c r="K4937"/>
      <c r="L4937"/>
      <c r="M4937"/>
      <c r="N4937"/>
      <c r="O4937"/>
    </row>
    <row r="4938" spans="1:15" hidden="1" x14ac:dyDescent="0.25">
      <c r="A4938" t="s">
        <v>104</v>
      </c>
      <c r="B4938" t="s">
        <v>117</v>
      </c>
      <c r="C4938" t="b">
        <v>0</v>
      </c>
      <c r="D4938" s="1">
        <v>42613</v>
      </c>
      <c r="E4938" s="2">
        <v>-13</v>
      </c>
      <c r="F4938"/>
      <c r="G4938"/>
      <c r="H4938"/>
      <c r="I4938"/>
      <c r="J4938"/>
      <c r="K4938"/>
      <c r="L4938"/>
      <c r="M4938"/>
      <c r="N4938"/>
      <c r="O4938"/>
    </row>
    <row r="4939" spans="1:15" hidden="1" x14ac:dyDescent="0.25">
      <c r="A4939" t="s">
        <v>102</v>
      </c>
      <c r="B4939" t="s">
        <v>117</v>
      </c>
      <c r="C4939" t="b">
        <v>0</v>
      </c>
      <c r="D4939" s="1">
        <v>42613</v>
      </c>
      <c r="E4939" s="2">
        <v>-49.93</v>
      </c>
      <c r="F4939"/>
      <c r="G4939"/>
      <c r="H4939"/>
      <c r="I4939"/>
      <c r="J4939"/>
      <c r="K4939"/>
      <c r="L4939"/>
      <c r="M4939"/>
      <c r="N4939"/>
      <c r="O4939"/>
    </row>
    <row r="4940" spans="1:15" hidden="1" x14ac:dyDescent="0.25">
      <c r="A4940" t="s">
        <v>103</v>
      </c>
      <c r="B4940" t="s">
        <v>117</v>
      </c>
      <c r="C4940" t="b">
        <v>0</v>
      </c>
      <c r="D4940" s="1">
        <v>42613</v>
      </c>
      <c r="E4940" s="2">
        <v>-5</v>
      </c>
      <c r="F4940"/>
      <c r="G4940"/>
      <c r="H4940"/>
      <c r="I4940"/>
      <c r="J4940"/>
      <c r="K4940"/>
      <c r="L4940"/>
      <c r="M4940"/>
      <c r="N4940"/>
      <c r="O4940"/>
    </row>
    <row r="4941" spans="1:15" hidden="1" x14ac:dyDescent="0.25">
      <c r="A4941" t="s">
        <v>47</v>
      </c>
      <c r="B4941" t="s">
        <v>115</v>
      </c>
      <c r="C4941" t="b">
        <v>0</v>
      </c>
      <c r="D4941" s="1">
        <v>42613</v>
      </c>
      <c r="E4941">
        <v>5</v>
      </c>
      <c r="F4941"/>
      <c r="G4941"/>
      <c r="H4941"/>
      <c r="I4941"/>
      <c r="J4941"/>
      <c r="K4941"/>
      <c r="L4941"/>
      <c r="M4941"/>
      <c r="N4941"/>
      <c r="O4941"/>
    </row>
    <row r="4942" spans="1:15" hidden="1" x14ac:dyDescent="0.25">
      <c r="A4942" t="s">
        <v>43</v>
      </c>
      <c r="B4942" t="s">
        <v>115</v>
      </c>
      <c r="C4942" t="b">
        <v>0</v>
      </c>
      <c r="D4942" s="1">
        <v>42613</v>
      </c>
      <c r="E4942">
        <v>5</v>
      </c>
      <c r="F4942"/>
      <c r="G4942"/>
      <c r="H4942"/>
      <c r="I4942"/>
      <c r="J4942"/>
      <c r="K4942"/>
      <c r="L4942"/>
      <c r="M4942"/>
      <c r="N4942"/>
      <c r="O4942"/>
    </row>
    <row r="4943" spans="1:15" hidden="1" x14ac:dyDescent="0.25">
      <c r="A4943" t="s">
        <v>48</v>
      </c>
      <c r="B4943" t="s">
        <v>115</v>
      </c>
      <c r="C4943" t="b">
        <v>0</v>
      </c>
      <c r="D4943" s="1">
        <v>42613</v>
      </c>
      <c r="E4943">
        <v>5</v>
      </c>
      <c r="F4943"/>
      <c r="G4943"/>
      <c r="H4943"/>
      <c r="I4943"/>
      <c r="J4943"/>
      <c r="K4943"/>
      <c r="L4943"/>
      <c r="M4943"/>
      <c r="N4943"/>
      <c r="O4943"/>
    </row>
    <row r="4944" spans="1:15" hidden="1" x14ac:dyDescent="0.25">
      <c r="A4944" t="s">
        <v>50</v>
      </c>
      <c r="B4944" t="s">
        <v>115</v>
      </c>
      <c r="C4944" t="b">
        <v>0</v>
      </c>
      <c r="D4944" s="1">
        <v>42613</v>
      </c>
      <c r="E4944">
        <v>5</v>
      </c>
      <c r="F4944"/>
      <c r="G4944"/>
      <c r="H4944"/>
      <c r="I4944"/>
      <c r="J4944"/>
      <c r="K4944"/>
      <c r="L4944"/>
      <c r="M4944"/>
      <c r="N4944"/>
      <c r="O4944"/>
    </row>
    <row r="4945" spans="1:15" hidden="1" x14ac:dyDescent="0.25">
      <c r="A4945" t="s">
        <v>51</v>
      </c>
      <c r="B4945" t="s">
        <v>115</v>
      </c>
      <c r="C4945" t="b">
        <v>0</v>
      </c>
      <c r="D4945" s="1">
        <v>42613</v>
      </c>
      <c r="E4945">
        <v>5</v>
      </c>
      <c r="F4945"/>
      <c r="G4945"/>
      <c r="H4945"/>
      <c r="I4945"/>
      <c r="J4945"/>
      <c r="K4945"/>
      <c r="L4945"/>
      <c r="M4945"/>
      <c r="N4945"/>
      <c r="O4945"/>
    </row>
    <row r="4946" spans="1:15" hidden="1" x14ac:dyDescent="0.25">
      <c r="A4946" t="s">
        <v>52</v>
      </c>
      <c r="B4946" t="s">
        <v>115</v>
      </c>
      <c r="C4946" t="b">
        <v>0</v>
      </c>
      <c r="D4946" s="1">
        <v>42613</v>
      </c>
      <c r="E4946">
        <v>5</v>
      </c>
      <c r="F4946"/>
      <c r="G4946"/>
      <c r="H4946"/>
      <c r="I4946"/>
      <c r="J4946"/>
      <c r="K4946"/>
      <c r="L4946"/>
      <c r="M4946"/>
      <c r="N4946"/>
      <c r="O4946"/>
    </row>
    <row r="4947" spans="1:15" hidden="1" x14ac:dyDescent="0.25">
      <c r="A4947" t="s">
        <v>54</v>
      </c>
      <c r="B4947" t="s">
        <v>115</v>
      </c>
      <c r="C4947" t="b">
        <v>0</v>
      </c>
      <c r="D4947" s="1">
        <v>42613</v>
      </c>
      <c r="E4947">
        <v>5</v>
      </c>
      <c r="F4947"/>
      <c r="G4947"/>
      <c r="H4947"/>
      <c r="I4947"/>
      <c r="J4947"/>
      <c r="K4947"/>
      <c r="L4947"/>
      <c r="M4947"/>
      <c r="N4947"/>
      <c r="O4947"/>
    </row>
    <row r="4948" spans="1:15" hidden="1" x14ac:dyDescent="0.25">
      <c r="A4948" t="s">
        <v>55</v>
      </c>
      <c r="B4948" t="s">
        <v>115</v>
      </c>
      <c r="C4948" t="b">
        <v>0</v>
      </c>
      <c r="D4948" s="1">
        <v>42613</v>
      </c>
      <c r="E4948">
        <v>5</v>
      </c>
      <c r="F4948"/>
      <c r="G4948"/>
      <c r="H4948"/>
      <c r="I4948"/>
      <c r="J4948"/>
      <c r="K4948"/>
      <c r="L4948"/>
      <c r="M4948"/>
      <c r="N4948"/>
      <c r="O4948"/>
    </row>
    <row r="4949" spans="1:15" hidden="1" x14ac:dyDescent="0.25">
      <c r="A4949" t="s">
        <v>58</v>
      </c>
      <c r="B4949" t="s">
        <v>115</v>
      </c>
      <c r="C4949" t="b">
        <v>0</v>
      </c>
      <c r="D4949" s="1">
        <v>42613</v>
      </c>
      <c r="E4949">
        <v>0</v>
      </c>
      <c r="F4949"/>
      <c r="G4949"/>
      <c r="H4949"/>
      <c r="I4949"/>
      <c r="J4949"/>
      <c r="K4949"/>
      <c r="L4949"/>
      <c r="M4949"/>
      <c r="N4949"/>
      <c r="O4949"/>
    </row>
    <row r="4950" spans="1:15" hidden="1" x14ac:dyDescent="0.25">
      <c r="A4950" t="s">
        <v>65</v>
      </c>
      <c r="B4950" t="s">
        <v>115</v>
      </c>
      <c r="C4950" t="b">
        <v>0</v>
      </c>
      <c r="D4950" s="1">
        <v>42613</v>
      </c>
      <c r="E4950">
        <v>5</v>
      </c>
      <c r="F4950"/>
      <c r="G4950"/>
      <c r="H4950"/>
      <c r="I4950"/>
      <c r="J4950"/>
      <c r="K4950"/>
      <c r="L4950"/>
      <c r="M4950"/>
      <c r="N4950"/>
      <c r="O4950"/>
    </row>
    <row r="4951" spans="1:15" hidden="1" x14ac:dyDescent="0.25">
      <c r="A4951" t="s">
        <v>66</v>
      </c>
      <c r="B4951" t="s">
        <v>115</v>
      </c>
      <c r="C4951" t="b">
        <v>0</v>
      </c>
      <c r="D4951" s="1">
        <v>42613</v>
      </c>
      <c r="E4951">
        <v>5</v>
      </c>
      <c r="F4951"/>
      <c r="G4951"/>
      <c r="H4951"/>
      <c r="I4951"/>
      <c r="J4951"/>
      <c r="K4951"/>
      <c r="L4951"/>
      <c r="M4951"/>
      <c r="N4951"/>
      <c r="O4951"/>
    </row>
    <row r="4952" spans="1:15" hidden="1" x14ac:dyDescent="0.25">
      <c r="A4952" t="s">
        <v>68</v>
      </c>
      <c r="B4952" t="s">
        <v>115</v>
      </c>
      <c r="C4952" t="b">
        <v>0</v>
      </c>
      <c r="D4952" s="1">
        <v>42613</v>
      </c>
      <c r="E4952">
        <v>5</v>
      </c>
      <c r="F4952"/>
      <c r="G4952"/>
      <c r="H4952"/>
      <c r="I4952"/>
      <c r="J4952"/>
      <c r="K4952"/>
      <c r="L4952"/>
      <c r="M4952"/>
      <c r="N4952"/>
      <c r="O4952"/>
    </row>
    <row r="4953" spans="1:15" hidden="1" x14ac:dyDescent="0.25">
      <c r="A4953" t="s">
        <v>69</v>
      </c>
      <c r="B4953" t="s">
        <v>115</v>
      </c>
      <c r="C4953" t="b">
        <v>0</v>
      </c>
      <c r="D4953" s="1">
        <v>42613</v>
      </c>
      <c r="E4953">
        <v>5</v>
      </c>
      <c r="F4953"/>
      <c r="G4953"/>
      <c r="H4953"/>
      <c r="I4953"/>
      <c r="J4953"/>
      <c r="K4953"/>
      <c r="L4953"/>
      <c r="M4953"/>
      <c r="N4953"/>
      <c r="O4953"/>
    </row>
    <row r="4954" spans="1:15" hidden="1" x14ac:dyDescent="0.25">
      <c r="A4954" t="s">
        <v>75</v>
      </c>
      <c r="B4954" t="s">
        <v>115</v>
      </c>
      <c r="C4954" t="b">
        <v>0</v>
      </c>
      <c r="D4954" s="1">
        <v>42613</v>
      </c>
      <c r="E4954">
        <v>5</v>
      </c>
      <c r="F4954"/>
      <c r="G4954"/>
      <c r="H4954"/>
      <c r="I4954"/>
      <c r="J4954"/>
      <c r="K4954"/>
      <c r="L4954"/>
      <c r="M4954"/>
      <c r="N4954"/>
      <c r="O4954"/>
    </row>
    <row r="4955" spans="1:15" hidden="1" x14ac:dyDescent="0.25">
      <c r="A4955" t="s">
        <v>76</v>
      </c>
      <c r="B4955" t="s">
        <v>115</v>
      </c>
      <c r="C4955" t="b">
        <v>0</v>
      </c>
      <c r="D4955" s="1">
        <v>42613</v>
      </c>
      <c r="E4955">
        <v>1E-3</v>
      </c>
      <c r="F4955"/>
      <c r="G4955"/>
      <c r="H4955"/>
      <c r="I4955"/>
      <c r="J4955"/>
      <c r="K4955"/>
      <c r="L4955"/>
      <c r="M4955"/>
      <c r="N4955"/>
      <c r="O4955"/>
    </row>
    <row r="4956" spans="1:15" hidden="1" x14ac:dyDescent="0.25">
      <c r="A4956" t="s">
        <v>85</v>
      </c>
      <c r="B4956" t="s">
        <v>115</v>
      </c>
      <c r="C4956" t="b">
        <v>0</v>
      </c>
      <c r="D4956" s="1">
        <v>42613</v>
      </c>
      <c r="E4956">
        <v>5</v>
      </c>
      <c r="F4956"/>
      <c r="G4956"/>
      <c r="H4956"/>
      <c r="I4956"/>
      <c r="J4956"/>
      <c r="K4956"/>
      <c r="L4956"/>
      <c r="M4956"/>
      <c r="N4956"/>
      <c r="O4956"/>
    </row>
    <row r="4957" spans="1:15" hidden="1" x14ac:dyDescent="0.25">
      <c r="A4957" t="s">
        <v>82</v>
      </c>
      <c r="B4957" t="s">
        <v>115</v>
      </c>
      <c r="C4957" t="b">
        <v>0</v>
      </c>
      <c r="D4957" s="1">
        <v>42613</v>
      </c>
      <c r="E4957">
        <v>5</v>
      </c>
      <c r="F4957"/>
      <c r="G4957"/>
      <c r="H4957"/>
      <c r="I4957"/>
      <c r="J4957"/>
      <c r="K4957"/>
      <c r="L4957"/>
      <c r="M4957"/>
      <c r="N4957"/>
      <c r="O4957"/>
    </row>
    <row r="4958" spans="1:15" hidden="1" x14ac:dyDescent="0.25">
      <c r="A4958" t="s">
        <v>84</v>
      </c>
      <c r="B4958" t="s">
        <v>115</v>
      </c>
      <c r="C4958" t="b">
        <v>0</v>
      </c>
      <c r="D4958" s="1">
        <v>42613</v>
      </c>
      <c r="E4958">
        <v>5</v>
      </c>
      <c r="F4958"/>
      <c r="G4958"/>
      <c r="H4958"/>
      <c r="I4958"/>
      <c r="J4958"/>
      <c r="K4958"/>
      <c r="L4958"/>
      <c r="M4958"/>
      <c r="N4958"/>
      <c r="O4958"/>
    </row>
    <row r="4959" spans="1:15" hidden="1" x14ac:dyDescent="0.25">
      <c r="A4959" t="s">
        <v>88</v>
      </c>
      <c r="B4959" t="s">
        <v>115</v>
      </c>
      <c r="C4959" t="b">
        <v>0</v>
      </c>
      <c r="D4959" s="1">
        <v>42613</v>
      </c>
      <c r="E4959">
        <v>5</v>
      </c>
      <c r="F4959"/>
      <c r="G4959"/>
      <c r="H4959"/>
      <c r="I4959"/>
      <c r="J4959"/>
      <c r="K4959"/>
      <c r="L4959"/>
      <c r="M4959"/>
      <c r="N4959"/>
      <c r="O4959"/>
    </row>
    <row r="4960" spans="1:15" hidden="1" x14ac:dyDescent="0.25">
      <c r="A4960" t="s">
        <v>87</v>
      </c>
      <c r="B4960" t="s">
        <v>115</v>
      </c>
      <c r="C4960" t="b">
        <v>0</v>
      </c>
      <c r="D4960" s="1">
        <v>42613</v>
      </c>
      <c r="E4960">
        <v>5</v>
      </c>
      <c r="F4960"/>
      <c r="G4960"/>
      <c r="H4960"/>
      <c r="I4960"/>
      <c r="J4960"/>
      <c r="K4960"/>
      <c r="L4960"/>
      <c r="M4960"/>
      <c r="N4960"/>
      <c r="O4960"/>
    </row>
    <row r="4961" spans="1:15" hidden="1" x14ac:dyDescent="0.25">
      <c r="A4961" t="s">
        <v>94</v>
      </c>
      <c r="B4961" t="s">
        <v>115</v>
      </c>
      <c r="C4961" t="b">
        <v>0</v>
      </c>
      <c r="D4961" s="1">
        <v>42613</v>
      </c>
      <c r="E4961">
        <v>5</v>
      </c>
      <c r="F4961"/>
      <c r="G4961"/>
      <c r="H4961"/>
      <c r="I4961"/>
      <c r="J4961"/>
      <c r="K4961"/>
      <c r="L4961"/>
      <c r="M4961"/>
      <c r="N4961"/>
      <c r="O4961"/>
    </row>
    <row r="4962" spans="1:15" hidden="1" x14ac:dyDescent="0.25">
      <c r="A4962" t="s">
        <v>96</v>
      </c>
      <c r="B4962" t="s">
        <v>115</v>
      </c>
      <c r="C4962" t="b">
        <v>0</v>
      </c>
      <c r="D4962" s="1">
        <v>42613</v>
      </c>
      <c r="E4962">
        <v>5</v>
      </c>
      <c r="F4962"/>
      <c r="G4962"/>
      <c r="H4962"/>
      <c r="I4962"/>
      <c r="J4962"/>
      <c r="K4962"/>
      <c r="L4962"/>
      <c r="M4962"/>
      <c r="N4962"/>
      <c r="O4962"/>
    </row>
    <row r="4963" spans="1:15" hidden="1" x14ac:dyDescent="0.25">
      <c r="A4963" t="s">
        <v>98</v>
      </c>
      <c r="B4963" t="s">
        <v>115</v>
      </c>
      <c r="C4963" t="b">
        <v>0</v>
      </c>
      <c r="D4963" s="1">
        <v>42613</v>
      </c>
      <c r="E4963">
        <v>5</v>
      </c>
      <c r="F4963"/>
      <c r="G4963"/>
      <c r="H4963"/>
      <c r="I4963"/>
      <c r="J4963"/>
      <c r="K4963"/>
      <c r="L4963"/>
      <c r="M4963"/>
      <c r="N4963"/>
      <c r="O4963"/>
    </row>
    <row r="4964" spans="1:15" hidden="1" x14ac:dyDescent="0.25">
      <c r="A4964" t="s">
        <v>97</v>
      </c>
      <c r="B4964" t="s">
        <v>115</v>
      </c>
      <c r="C4964" t="b">
        <v>0</v>
      </c>
      <c r="D4964" s="1">
        <v>42613</v>
      </c>
      <c r="E4964">
        <v>5</v>
      </c>
      <c r="F4964"/>
      <c r="G4964"/>
      <c r="H4964"/>
      <c r="I4964"/>
      <c r="J4964"/>
      <c r="K4964"/>
      <c r="L4964"/>
      <c r="M4964"/>
      <c r="N4964"/>
      <c r="O4964"/>
    </row>
    <row r="4965" spans="1:15" hidden="1" x14ac:dyDescent="0.25">
      <c r="A4965" t="s">
        <v>99</v>
      </c>
      <c r="B4965" t="s">
        <v>114</v>
      </c>
      <c r="C4965" t="b">
        <v>0</v>
      </c>
      <c r="D4965" s="1">
        <v>42613</v>
      </c>
      <c r="E4965">
        <v>21.01</v>
      </c>
      <c r="F4965"/>
      <c r="G4965"/>
      <c r="H4965"/>
      <c r="I4965"/>
      <c r="J4965"/>
      <c r="K4965"/>
      <c r="L4965"/>
      <c r="M4965"/>
      <c r="N4965"/>
      <c r="O4965"/>
    </row>
    <row r="4966" spans="1:15" hidden="1" x14ac:dyDescent="0.25">
      <c r="A4966" t="s">
        <v>100</v>
      </c>
      <c r="B4966" t="s">
        <v>117</v>
      </c>
      <c r="C4966" t="b">
        <v>0</v>
      </c>
      <c r="D4966" s="1">
        <v>42643</v>
      </c>
      <c r="E4966" s="2">
        <v>-59.94</v>
      </c>
      <c r="F4966"/>
      <c r="G4966"/>
      <c r="H4966"/>
      <c r="I4966"/>
      <c r="J4966"/>
      <c r="K4966"/>
      <c r="L4966"/>
      <c r="M4966"/>
      <c r="N4966"/>
      <c r="O4966"/>
    </row>
    <row r="4967" spans="1:15" hidden="1" x14ac:dyDescent="0.25">
      <c r="A4967" t="s">
        <v>104</v>
      </c>
      <c r="B4967" t="s">
        <v>117</v>
      </c>
      <c r="C4967" t="b">
        <v>0</v>
      </c>
      <c r="D4967" s="1">
        <v>42643</v>
      </c>
      <c r="E4967" s="2">
        <v>-5</v>
      </c>
      <c r="F4967"/>
      <c r="G4967"/>
      <c r="H4967"/>
      <c r="I4967"/>
      <c r="J4967"/>
      <c r="K4967"/>
      <c r="L4967"/>
      <c r="M4967"/>
      <c r="N4967"/>
      <c r="O4967"/>
    </row>
    <row r="4968" spans="1:15" hidden="1" x14ac:dyDescent="0.25">
      <c r="A4968" t="s">
        <v>102</v>
      </c>
      <c r="B4968" t="s">
        <v>117</v>
      </c>
      <c r="C4968" t="b">
        <v>0</v>
      </c>
      <c r="D4968" s="1">
        <v>42643</v>
      </c>
      <c r="E4968" s="2">
        <v>-51.93</v>
      </c>
      <c r="F4968"/>
      <c r="G4968"/>
      <c r="H4968"/>
      <c r="I4968"/>
      <c r="J4968"/>
      <c r="K4968"/>
      <c r="L4968"/>
      <c r="M4968"/>
      <c r="N4968"/>
      <c r="O4968"/>
    </row>
    <row r="4969" spans="1:15" hidden="1" x14ac:dyDescent="0.25">
      <c r="A4969" t="s">
        <v>103</v>
      </c>
      <c r="B4969" t="s">
        <v>117</v>
      </c>
      <c r="C4969" t="b">
        <v>0</v>
      </c>
      <c r="D4969" s="1">
        <v>42643</v>
      </c>
      <c r="E4969" s="2">
        <v>-5</v>
      </c>
      <c r="F4969"/>
      <c r="G4969"/>
      <c r="H4969"/>
      <c r="I4969"/>
      <c r="J4969"/>
      <c r="K4969"/>
      <c r="L4969"/>
      <c r="M4969"/>
      <c r="N4969"/>
      <c r="O4969"/>
    </row>
    <row r="4970" spans="1:15" hidden="1" x14ac:dyDescent="0.25">
      <c r="A4970" t="s">
        <v>101</v>
      </c>
      <c r="B4970" t="s">
        <v>117</v>
      </c>
      <c r="C4970" t="b">
        <v>0</v>
      </c>
      <c r="D4970" s="1">
        <v>42643</v>
      </c>
      <c r="E4970" s="2">
        <v>-2.5</v>
      </c>
      <c r="F4970"/>
      <c r="G4970"/>
      <c r="H4970"/>
      <c r="I4970"/>
      <c r="J4970"/>
      <c r="K4970"/>
      <c r="L4970"/>
      <c r="M4970"/>
      <c r="N4970"/>
      <c r="O4970"/>
    </row>
    <row r="4971" spans="1:15" hidden="1" x14ac:dyDescent="0.25">
      <c r="A4971" t="s">
        <v>47</v>
      </c>
      <c r="B4971" t="s">
        <v>115</v>
      </c>
      <c r="C4971" t="b">
        <v>0</v>
      </c>
      <c r="D4971" s="1">
        <v>42643</v>
      </c>
      <c r="E4971">
        <v>5</v>
      </c>
      <c r="F4971"/>
      <c r="G4971"/>
      <c r="H4971"/>
      <c r="I4971"/>
      <c r="J4971"/>
      <c r="K4971"/>
      <c r="L4971"/>
      <c r="M4971"/>
      <c r="N4971"/>
      <c r="O4971"/>
    </row>
    <row r="4972" spans="1:15" hidden="1" x14ac:dyDescent="0.25">
      <c r="A4972" t="s">
        <v>43</v>
      </c>
      <c r="B4972" t="s">
        <v>115</v>
      </c>
      <c r="C4972" t="b">
        <v>0</v>
      </c>
      <c r="D4972" s="1">
        <v>42643</v>
      </c>
      <c r="E4972">
        <v>5</v>
      </c>
      <c r="F4972"/>
      <c r="G4972"/>
      <c r="H4972"/>
      <c r="I4972"/>
      <c r="J4972"/>
      <c r="K4972"/>
      <c r="L4972"/>
      <c r="M4972"/>
      <c r="N4972"/>
      <c r="O4972"/>
    </row>
    <row r="4973" spans="1:15" hidden="1" x14ac:dyDescent="0.25">
      <c r="A4973" t="s">
        <v>48</v>
      </c>
      <c r="B4973" t="s">
        <v>115</v>
      </c>
      <c r="C4973" t="b">
        <v>0</v>
      </c>
      <c r="D4973" s="1">
        <v>42643</v>
      </c>
      <c r="E4973">
        <v>5</v>
      </c>
      <c r="F4973"/>
      <c r="G4973"/>
      <c r="H4973"/>
      <c r="I4973"/>
      <c r="J4973"/>
      <c r="K4973"/>
      <c r="L4973"/>
      <c r="M4973"/>
      <c r="N4973"/>
      <c r="O4973"/>
    </row>
    <row r="4974" spans="1:15" hidden="1" x14ac:dyDescent="0.25">
      <c r="A4974" t="s">
        <v>50</v>
      </c>
      <c r="B4974" t="s">
        <v>115</v>
      </c>
      <c r="C4974" t="b">
        <v>0</v>
      </c>
      <c r="D4974" s="1">
        <v>42643</v>
      </c>
      <c r="E4974">
        <v>5</v>
      </c>
      <c r="F4974"/>
      <c r="G4974"/>
      <c r="H4974"/>
      <c r="I4974"/>
      <c r="J4974"/>
      <c r="K4974"/>
      <c r="L4974"/>
      <c r="M4974"/>
      <c r="N4974"/>
      <c r="O4974"/>
    </row>
    <row r="4975" spans="1:15" hidden="1" x14ac:dyDescent="0.25">
      <c r="A4975" t="s">
        <v>51</v>
      </c>
      <c r="B4975" t="s">
        <v>115</v>
      </c>
      <c r="C4975" t="b">
        <v>0</v>
      </c>
      <c r="D4975" s="1">
        <v>42643</v>
      </c>
      <c r="E4975">
        <v>5</v>
      </c>
      <c r="F4975"/>
      <c r="G4975"/>
      <c r="H4975"/>
      <c r="I4975"/>
      <c r="J4975"/>
      <c r="K4975"/>
      <c r="L4975"/>
      <c r="M4975"/>
      <c r="N4975"/>
      <c r="O4975"/>
    </row>
    <row r="4976" spans="1:15" hidden="1" x14ac:dyDescent="0.25">
      <c r="A4976" t="s">
        <v>52</v>
      </c>
      <c r="B4976" t="s">
        <v>115</v>
      </c>
      <c r="C4976" t="b">
        <v>0</v>
      </c>
      <c r="D4976" s="1">
        <v>42643</v>
      </c>
      <c r="E4976">
        <v>5</v>
      </c>
      <c r="F4976"/>
      <c r="G4976"/>
      <c r="H4976"/>
      <c r="I4976"/>
      <c r="J4976"/>
      <c r="K4976"/>
      <c r="L4976"/>
      <c r="M4976"/>
      <c r="N4976"/>
      <c r="O4976"/>
    </row>
    <row r="4977" spans="1:15" hidden="1" x14ac:dyDescent="0.25">
      <c r="A4977" t="s">
        <v>54</v>
      </c>
      <c r="B4977" t="s">
        <v>115</v>
      </c>
      <c r="C4977" t="b">
        <v>0</v>
      </c>
      <c r="D4977" s="1">
        <v>42643</v>
      </c>
      <c r="E4977">
        <v>5</v>
      </c>
      <c r="F4977"/>
      <c r="G4977"/>
      <c r="H4977"/>
      <c r="I4977"/>
      <c r="J4977"/>
      <c r="K4977"/>
      <c r="L4977"/>
      <c r="M4977"/>
      <c r="N4977"/>
      <c r="O4977"/>
    </row>
    <row r="4978" spans="1:15" hidden="1" x14ac:dyDescent="0.25">
      <c r="A4978" t="s">
        <v>55</v>
      </c>
      <c r="B4978" t="s">
        <v>115</v>
      </c>
      <c r="C4978" t="b">
        <v>0</v>
      </c>
      <c r="D4978" s="1">
        <v>42643</v>
      </c>
      <c r="E4978">
        <v>5</v>
      </c>
      <c r="F4978"/>
      <c r="G4978"/>
      <c r="H4978"/>
      <c r="I4978"/>
      <c r="J4978"/>
      <c r="K4978"/>
      <c r="L4978"/>
      <c r="M4978"/>
      <c r="N4978"/>
      <c r="O4978"/>
    </row>
    <row r="4979" spans="1:15" hidden="1" x14ac:dyDescent="0.25">
      <c r="A4979" t="s">
        <v>58</v>
      </c>
      <c r="B4979" t="s">
        <v>115</v>
      </c>
      <c r="C4979" t="b">
        <v>0</v>
      </c>
      <c r="D4979" s="1">
        <v>42643</v>
      </c>
      <c r="E4979">
        <v>0</v>
      </c>
      <c r="F4979"/>
      <c r="G4979"/>
      <c r="H4979"/>
      <c r="I4979"/>
      <c r="J4979"/>
      <c r="K4979"/>
      <c r="L4979"/>
      <c r="M4979"/>
      <c r="N4979"/>
      <c r="O4979"/>
    </row>
    <row r="4980" spans="1:15" hidden="1" x14ac:dyDescent="0.25">
      <c r="A4980" t="s">
        <v>65</v>
      </c>
      <c r="B4980" t="s">
        <v>115</v>
      </c>
      <c r="C4980" t="b">
        <v>0</v>
      </c>
      <c r="D4980" s="1">
        <v>42643</v>
      </c>
      <c r="E4980">
        <v>5</v>
      </c>
      <c r="F4980"/>
      <c r="G4980"/>
      <c r="H4980"/>
      <c r="I4980"/>
      <c r="J4980"/>
      <c r="K4980"/>
      <c r="L4980"/>
      <c r="M4980"/>
      <c r="N4980"/>
      <c r="O4980"/>
    </row>
    <row r="4981" spans="1:15" hidden="1" x14ac:dyDescent="0.25">
      <c r="A4981" t="s">
        <v>66</v>
      </c>
      <c r="B4981" t="s">
        <v>115</v>
      </c>
      <c r="C4981" t="b">
        <v>0</v>
      </c>
      <c r="D4981" s="1">
        <v>42643</v>
      </c>
      <c r="E4981">
        <v>5</v>
      </c>
      <c r="F4981"/>
      <c r="G4981"/>
      <c r="H4981"/>
      <c r="I4981"/>
      <c r="J4981"/>
      <c r="K4981"/>
      <c r="L4981"/>
      <c r="M4981"/>
      <c r="N4981"/>
      <c r="O4981"/>
    </row>
    <row r="4982" spans="1:15" hidden="1" x14ac:dyDescent="0.25">
      <c r="A4982" t="s">
        <v>68</v>
      </c>
      <c r="B4982" t="s">
        <v>115</v>
      </c>
      <c r="C4982" t="b">
        <v>0</v>
      </c>
      <c r="D4982" s="1">
        <v>42643</v>
      </c>
      <c r="E4982">
        <v>5</v>
      </c>
      <c r="F4982"/>
      <c r="G4982"/>
      <c r="H4982"/>
      <c r="I4982"/>
      <c r="J4982"/>
      <c r="K4982"/>
      <c r="L4982"/>
      <c r="M4982"/>
      <c r="N4982"/>
      <c r="O4982"/>
    </row>
    <row r="4983" spans="1:15" hidden="1" x14ac:dyDescent="0.25">
      <c r="A4983" t="s">
        <v>69</v>
      </c>
      <c r="B4983" t="s">
        <v>115</v>
      </c>
      <c r="C4983" t="b">
        <v>0</v>
      </c>
      <c r="D4983" s="1">
        <v>42643</v>
      </c>
      <c r="E4983">
        <v>5</v>
      </c>
      <c r="F4983"/>
      <c r="G4983"/>
      <c r="H4983"/>
      <c r="I4983"/>
      <c r="J4983"/>
      <c r="K4983"/>
      <c r="L4983"/>
      <c r="M4983"/>
      <c r="N4983"/>
      <c r="O4983"/>
    </row>
    <row r="4984" spans="1:15" hidden="1" x14ac:dyDescent="0.25">
      <c r="A4984" t="s">
        <v>75</v>
      </c>
      <c r="B4984" t="s">
        <v>115</v>
      </c>
      <c r="C4984" t="b">
        <v>0</v>
      </c>
      <c r="D4984" s="1">
        <v>42643</v>
      </c>
      <c r="E4984">
        <v>5</v>
      </c>
      <c r="F4984"/>
      <c r="G4984"/>
      <c r="H4984"/>
      <c r="I4984"/>
      <c r="J4984"/>
      <c r="K4984"/>
      <c r="L4984"/>
      <c r="M4984"/>
      <c r="N4984"/>
      <c r="O4984"/>
    </row>
    <row r="4985" spans="1:15" hidden="1" x14ac:dyDescent="0.25">
      <c r="A4985" t="s">
        <v>76</v>
      </c>
      <c r="B4985" t="s">
        <v>115</v>
      </c>
      <c r="C4985" t="b">
        <v>0</v>
      </c>
      <c r="D4985" s="1">
        <v>42643</v>
      </c>
      <c r="E4985">
        <v>1E-3</v>
      </c>
      <c r="F4985"/>
      <c r="G4985"/>
      <c r="H4985"/>
      <c r="I4985"/>
      <c r="J4985"/>
      <c r="K4985"/>
      <c r="L4985"/>
      <c r="M4985"/>
      <c r="N4985"/>
      <c r="O4985"/>
    </row>
    <row r="4986" spans="1:15" hidden="1" x14ac:dyDescent="0.25">
      <c r="A4986" t="s">
        <v>85</v>
      </c>
      <c r="B4986" t="s">
        <v>115</v>
      </c>
      <c r="C4986" t="b">
        <v>0</v>
      </c>
      <c r="D4986" s="1">
        <v>42643</v>
      </c>
      <c r="E4986">
        <v>5</v>
      </c>
      <c r="F4986"/>
      <c r="G4986"/>
      <c r="H4986"/>
      <c r="I4986"/>
      <c r="J4986"/>
      <c r="K4986"/>
      <c r="L4986"/>
      <c r="M4986"/>
      <c r="N4986"/>
      <c r="O4986"/>
    </row>
    <row r="4987" spans="1:15" hidden="1" x14ac:dyDescent="0.25">
      <c r="A4987" t="s">
        <v>82</v>
      </c>
      <c r="B4987" t="s">
        <v>115</v>
      </c>
      <c r="C4987" t="b">
        <v>0</v>
      </c>
      <c r="D4987" s="1">
        <v>42643</v>
      </c>
      <c r="E4987">
        <v>5</v>
      </c>
      <c r="F4987"/>
      <c r="G4987"/>
      <c r="H4987"/>
      <c r="I4987"/>
      <c r="J4987"/>
      <c r="K4987"/>
      <c r="L4987"/>
      <c r="M4987"/>
      <c r="N4987"/>
      <c r="O4987"/>
    </row>
    <row r="4988" spans="1:15" hidden="1" x14ac:dyDescent="0.25">
      <c r="A4988" t="s">
        <v>84</v>
      </c>
      <c r="B4988" t="s">
        <v>115</v>
      </c>
      <c r="C4988" t="b">
        <v>0</v>
      </c>
      <c r="D4988" s="1">
        <v>42643</v>
      </c>
      <c r="E4988">
        <v>5</v>
      </c>
      <c r="F4988"/>
      <c r="G4988"/>
      <c r="H4988"/>
      <c r="I4988"/>
      <c r="J4988"/>
      <c r="K4988"/>
      <c r="L4988"/>
      <c r="M4988"/>
      <c r="N4988"/>
      <c r="O4988"/>
    </row>
    <row r="4989" spans="1:15" hidden="1" x14ac:dyDescent="0.25">
      <c r="A4989" t="s">
        <v>88</v>
      </c>
      <c r="B4989" t="s">
        <v>115</v>
      </c>
      <c r="C4989" t="b">
        <v>0</v>
      </c>
      <c r="D4989" s="1">
        <v>42643</v>
      </c>
      <c r="E4989">
        <v>5</v>
      </c>
      <c r="F4989"/>
      <c r="G4989"/>
      <c r="H4989"/>
      <c r="I4989"/>
      <c r="J4989"/>
      <c r="K4989"/>
      <c r="L4989"/>
      <c r="M4989"/>
      <c r="N4989"/>
      <c r="O4989"/>
    </row>
    <row r="4990" spans="1:15" hidden="1" x14ac:dyDescent="0.25">
      <c r="A4990" t="s">
        <v>87</v>
      </c>
      <c r="B4990" t="s">
        <v>115</v>
      </c>
      <c r="C4990" t="b">
        <v>0</v>
      </c>
      <c r="D4990" s="1">
        <v>42643</v>
      </c>
      <c r="E4990">
        <v>5</v>
      </c>
      <c r="F4990"/>
      <c r="G4990"/>
      <c r="H4990"/>
      <c r="I4990"/>
      <c r="J4990"/>
      <c r="K4990"/>
      <c r="L4990"/>
      <c r="M4990"/>
      <c r="N4990"/>
      <c r="O4990"/>
    </row>
    <row r="4991" spans="1:15" hidden="1" x14ac:dyDescent="0.25">
      <c r="A4991" t="s">
        <v>94</v>
      </c>
      <c r="B4991" t="s">
        <v>115</v>
      </c>
      <c r="C4991" t="b">
        <v>0</v>
      </c>
      <c r="D4991" s="1">
        <v>42643</v>
      </c>
      <c r="E4991">
        <v>5</v>
      </c>
      <c r="F4991"/>
      <c r="G4991"/>
      <c r="H4991"/>
      <c r="I4991"/>
      <c r="J4991"/>
      <c r="K4991"/>
      <c r="L4991"/>
      <c r="M4991"/>
      <c r="N4991"/>
      <c r="O4991"/>
    </row>
    <row r="4992" spans="1:15" hidden="1" x14ac:dyDescent="0.25">
      <c r="A4992" t="s">
        <v>96</v>
      </c>
      <c r="B4992" t="s">
        <v>115</v>
      </c>
      <c r="C4992" t="b">
        <v>0</v>
      </c>
      <c r="D4992" s="1">
        <v>42643</v>
      </c>
      <c r="E4992">
        <v>5</v>
      </c>
      <c r="F4992"/>
      <c r="G4992"/>
      <c r="H4992"/>
      <c r="I4992"/>
      <c r="J4992"/>
      <c r="K4992"/>
      <c r="L4992"/>
      <c r="M4992"/>
      <c r="N4992"/>
      <c r="O4992"/>
    </row>
    <row r="4993" spans="1:15" hidden="1" x14ac:dyDescent="0.25">
      <c r="A4993" t="s">
        <v>98</v>
      </c>
      <c r="B4993" t="s">
        <v>115</v>
      </c>
      <c r="C4993" t="b">
        <v>0</v>
      </c>
      <c r="D4993" s="1">
        <v>42643</v>
      </c>
      <c r="E4993">
        <v>5</v>
      </c>
      <c r="F4993"/>
      <c r="G4993"/>
      <c r="H4993"/>
      <c r="I4993"/>
      <c r="J4993"/>
      <c r="K4993"/>
      <c r="L4993"/>
      <c r="M4993"/>
      <c r="N4993"/>
      <c r="O4993"/>
    </row>
    <row r="4994" spans="1:15" hidden="1" x14ac:dyDescent="0.25">
      <c r="A4994" t="s">
        <v>97</v>
      </c>
      <c r="B4994" t="s">
        <v>115</v>
      </c>
      <c r="C4994" t="b">
        <v>0</v>
      </c>
      <c r="D4994" s="1">
        <v>42643</v>
      </c>
      <c r="E4994">
        <v>5</v>
      </c>
      <c r="F4994"/>
      <c r="G4994"/>
      <c r="H4994"/>
      <c r="I4994"/>
      <c r="J4994"/>
      <c r="K4994"/>
      <c r="L4994"/>
      <c r="M4994"/>
      <c r="N4994"/>
      <c r="O4994"/>
    </row>
    <row r="4995" spans="1:15" hidden="1" x14ac:dyDescent="0.25">
      <c r="A4995" t="s">
        <v>99</v>
      </c>
      <c r="B4995" t="s">
        <v>114</v>
      </c>
      <c r="C4995" t="b">
        <v>0</v>
      </c>
      <c r="D4995" s="1">
        <v>42643</v>
      </c>
      <c r="E4995">
        <v>19.5</v>
      </c>
      <c r="F4995"/>
      <c r="G4995"/>
      <c r="H4995"/>
      <c r="I4995"/>
      <c r="J4995"/>
      <c r="K4995"/>
      <c r="L4995"/>
      <c r="M4995"/>
      <c r="N4995"/>
      <c r="O4995"/>
    </row>
    <row r="4996" spans="1:15" hidden="1" x14ac:dyDescent="0.25">
      <c r="A4996" t="s">
        <v>100</v>
      </c>
      <c r="B4996" t="s">
        <v>117</v>
      </c>
      <c r="C4996" t="b">
        <v>0</v>
      </c>
      <c r="D4996" s="1">
        <v>42673</v>
      </c>
      <c r="E4996" s="2">
        <v>-59.94</v>
      </c>
      <c r="F4996"/>
      <c r="G4996"/>
      <c r="H4996"/>
      <c r="I4996"/>
      <c r="J4996"/>
      <c r="K4996"/>
      <c r="L4996"/>
      <c r="M4996"/>
      <c r="N4996"/>
      <c r="O4996"/>
    </row>
    <row r="4997" spans="1:15" hidden="1" x14ac:dyDescent="0.25">
      <c r="A4997" t="s">
        <v>104</v>
      </c>
      <c r="B4997" t="s">
        <v>117</v>
      </c>
      <c r="C4997" t="b">
        <v>0</v>
      </c>
      <c r="D4997" s="1">
        <v>42673</v>
      </c>
      <c r="E4997" s="2">
        <v>-16.990000000000002</v>
      </c>
      <c r="F4997"/>
      <c r="G4997"/>
      <c r="H4997"/>
      <c r="I4997"/>
      <c r="J4997"/>
      <c r="K4997"/>
      <c r="L4997"/>
      <c r="M4997"/>
      <c r="N4997"/>
      <c r="O4997"/>
    </row>
    <row r="4998" spans="1:15" hidden="1" x14ac:dyDescent="0.25">
      <c r="A4998" t="s">
        <v>102</v>
      </c>
      <c r="B4998" t="s">
        <v>117</v>
      </c>
      <c r="C4998" t="b">
        <v>0</v>
      </c>
      <c r="D4998" s="1">
        <v>42673</v>
      </c>
      <c r="E4998" s="2">
        <v>-35.950000000000003</v>
      </c>
      <c r="F4998"/>
      <c r="G4998"/>
      <c r="H4998"/>
      <c r="I4998"/>
      <c r="J4998"/>
      <c r="K4998"/>
      <c r="L4998"/>
      <c r="M4998"/>
      <c r="N4998"/>
      <c r="O4998"/>
    </row>
    <row r="4999" spans="1:15" hidden="1" x14ac:dyDescent="0.25">
      <c r="A4999" t="s">
        <v>103</v>
      </c>
      <c r="B4999" t="s">
        <v>117</v>
      </c>
      <c r="C4999" t="b">
        <v>0</v>
      </c>
      <c r="D4999" s="1">
        <v>42673</v>
      </c>
      <c r="E4999" s="2">
        <v>-2.5</v>
      </c>
      <c r="F4999"/>
      <c r="G4999"/>
      <c r="H4999"/>
      <c r="I4999"/>
      <c r="J4999"/>
      <c r="K4999"/>
      <c r="L4999"/>
      <c r="M4999"/>
      <c r="N4999"/>
      <c r="O4999"/>
    </row>
    <row r="5000" spans="1:15" hidden="1" x14ac:dyDescent="0.25">
      <c r="A5000" t="s">
        <v>47</v>
      </c>
      <c r="B5000" t="s">
        <v>115</v>
      </c>
      <c r="C5000" t="b">
        <v>0</v>
      </c>
      <c r="D5000" s="1">
        <v>42673</v>
      </c>
      <c r="E5000">
        <v>5</v>
      </c>
      <c r="F5000"/>
      <c r="G5000"/>
      <c r="H5000"/>
      <c r="I5000"/>
      <c r="J5000"/>
      <c r="K5000"/>
      <c r="L5000"/>
      <c r="M5000"/>
      <c r="N5000"/>
      <c r="O5000"/>
    </row>
    <row r="5001" spans="1:15" hidden="1" x14ac:dyDescent="0.25">
      <c r="A5001" t="s">
        <v>43</v>
      </c>
      <c r="B5001" t="s">
        <v>115</v>
      </c>
      <c r="C5001" t="b">
        <v>0</v>
      </c>
      <c r="D5001" s="1">
        <v>42673</v>
      </c>
      <c r="E5001">
        <v>5</v>
      </c>
      <c r="F5001"/>
      <c r="G5001"/>
      <c r="H5001"/>
      <c r="I5001"/>
      <c r="J5001"/>
      <c r="K5001"/>
      <c r="L5001"/>
      <c r="M5001"/>
      <c r="N5001"/>
      <c r="O5001"/>
    </row>
    <row r="5002" spans="1:15" hidden="1" x14ac:dyDescent="0.25">
      <c r="A5002" t="s">
        <v>48</v>
      </c>
      <c r="B5002" t="s">
        <v>115</v>
      </c>
      <c r="C5002" t="b">
        <v>0</v>
      </c>
      <c r="D5002" s="1">
        <v>42673</v>
      </c>
      <c r="E5002">
        <v>5</v>
      </c>
      <c r="F5002"/>
      <c r="G5002"/>
      <c r="H5002"/>
      <c r="I5002"/>
      <c r="J5002"/>
      <c r="K5002"/>
      <c r="L5002"/>
      <c r="M5002"/>
      <c r="N5002"/>
      <c r="O5002"/>
    </row>
    <row r="5003" spans="1:15" hidden="1" x14ac:dyDescent="0.25">
      <c r="A5003" t="s">
        <v>50</v>
      </c>
      <c r="B5003" t="s">
        <v>115</v>
      </c>
      <c r="C5003" t="b">
        <v>0</v>
      </c>
      <c r="D5003" s="1">
        <v>42673</v>
      </c>
      <c r="E5003">
        <v>5</v>
      </c>
      <c r="F5003"/>
      <c r="G5003"/>
      <c r="H5003"/>
      <c r="I5003"/>
      <c r="J5003"/>
      <c r="K5003"/>
      <c r="L5003"/>
      <c r="M5003"/>
      <c r="N5003"/>
      <c r="O5003"/>
    </row>
    <row r="5004" spans="1:15" hidden="1" x14ac:dyDescent="0.25">
      <c r="A5004" t="s">
        <v>51</v>
      </c>
      <c r="B5004" t="s">
        <v>115</v>
      </c>
      <c r="C5004" t="b">
        <v>0</v>
      </c>
      <c r="D5004" s="1">
        <v>42673</v>
      </c>
      <c r="E5004">
        <v>5</v>
      </c>
      <c r="F5004"/>
      <c r="G5004"/>
      <c r="H5004"/>
      <c r="I5004"/>
      <c r="J5004"/>
      <c r="K5004"/>
      <c r="L5004"/>
      <c r="M5004"/>
      <c r="N5004"/>
      <c r="O5004"/>
    </row>
    <row r="5005" spans="1:15" hidden="1" x14ac:dyDescent="0.25">
      <c r="A5005" t="s">
        <v>52</v>
      </c>
      <c r="B5005" t="s">
        <v>115</v>
      </c>
      <c r="C5005" t="b">
        <v>0</v>
      </c>
      <c r="D5005" s="1">
        <v>42673</v>
      </c>
      <c r="E5005">
        <v>5</v>
      </c>
      <c r="F5005"/>
      <c r="G5005"/>
      <c r="H5005"/>
      <c r="I5005"/>
      <c r="J5005"/>
      <c r="K5005"/>
      <c r="L5005"/>
      <c r="M5005"/>
      <c r="N5005"/>
      <c r="O5005"/>
    </row>
    <row r="5006" spans="1:15" hidden="1" x14ac:dyDescent="0.25">
      <c r="A5006" t="s">
        <v>54</v>
      </c>
      <c r="B5006" t="s">
        <v>115</v>
      </c>
      <c r="C5006" t="b">
        <v>0</v>
      </c>
      <c r="D5006" s="1">
        <v>42673</v>
      </c>
      <c r="E5006">
        <v>5</v>
      </c>
      <c r="F5006"/>
      <c r="G5006"/>
      <c r="H5006"/>
      <c r="I5006"/>
      <c r="J5006"/>
      <c r="K5006"/>
      <c r="L5006"/>
      <c r="M5006"/>
      <c r="N5006"/>
      <c r="O5006"/>
    </row>
    <row r="5007" spans="1:15" hidden="1" x14ac:dyDescent="0.25">
      <c r="A5007" t="s">
        <v>55</v>
      </c>
      <c r="B5007" t="s">
        <v>115</v>
      </c>
      <c r="C5007" t="b">
        <v>0</v>
      </c>
      <c r="D5007" s="1">
        <v>42673</v>
      </c>
      <c r="E5007">
        <v>5</v>
      </c>
      <c r="F5007"/>
      <c r="G5007"/>
      <c r="H5007"/>
      <c r="I5007"/>
      <c r="J5007"/>
      <c r="K5007"/>
      <c r="L5007"/>
      <c r="M5007"/>
      <c r="N5007"/>
      <c r="O5007"/>
    </row>
    <row r="5008" spans="1:15" hidden="1" x14ac:dyDescent="0.25">
      <c r="A5008" t="s">
        <v>58</v>
      </c>
      <c r="B5008" t="s">
        <v>115</v>
      </c>
      <c r="C5008" t="b">
        <v>0</v>
      </c>
      <c r="D5008" s="1">
        <v>42673</v>
      </c>
      <c r="E5008">
        <v>0</v>
      </c>
      <c r="F5008"/>
      <c r="G5008"/>
      <c r="H5008"/>
      <c r="I5008"/>
      <c r="J5008"/>
      <c r="K5008"/>
      <c r="L5008"/>
      <c r="M5008"/>
      <c r="N5008"/>
      <c r="O5008"/>
    </row>
    <row r="5009" spans="1:15" hidden="1" x14ac:dyDescent="0.25">
      <c r="A5009" t="s">
        <v>65</v>
      </c>
      <c r="B5009" t="s">
        <v>115</v>
      </c>
      <c r="C5009" t="b">
        <v>0</v>
      </c>
      <c r="D5009" s="1">
        <v>42673</v>
      </c>
      <c r="E5009">
        <v>5</v>
      </c>
      <c r="F5009"/>
      <c r="G5009"/>
      <c r="H5009"/>
      <c r="I5009"/>
      <c r="J5009"/>
      <c r="K5009"/>
      <c r="L5009"/>
      <c r="M5009"/>
      <c r="N5009"/>
      <c r="O5009"/>
    </row>
    <row r="5010" spans="1:15" hidden="1" x14ac:dyDescent="0.25">
      <c r="A5010" t="s">
        <v>66</v>
      </c>
      <c r="B5010" t="s">
        <v>115</v>
      </c>
      <c r="C5010" t="b">
        <v>0</v>
      </c>
      <c r="D5010" s="1">
        <v>42673</v>
      </c>
      <c r="E5010">
        <v>5</v>
      </c>
      <c r="F5010"/>
      <c r="G5010"/>
      <c r="H5010"/>
      <c r="I5010"/>
      <c r="J5010"/>
      <c r="K5010"/>
      <c r="L5010"/>
      <c r="M5010"/>
      <c r="N5010"/>
      <c r="O5010"/>
    </row>
    <row r="5011" spans="1:15" hidden="1" x14ac:dyDescent="0.25">
      <c r="A5011" t="s">
        <v>68</v>
      </c>
      <c r="B5011" t="s">
        <v>115</v>
      </c>
      <c r="C5011" t="b">
        <v>0</v>
      </c>
      <c r="D5011" s="1">
        <v>42673</v>
      </c>
      <c r="E5011">
        <v>5</v>
      </c>
      <c r="F5011"/>
      <c r="G5011"/>
      <c r="H5011"/>
      <c r="I5011"/>
      <c r="J5011"/>
      <c r="K5011"/>
      <c r="L5011"/>
      <c r="M5011"/>
      <c r="N5011"/>
      <c r="O5011"/>
    </row>
    <row r="5012" spans="1:15" hidden="1" x14ac:dyDescent="0.25">
      <c r="A5012" t="s">
        <v>69</v>
      </c>
      <c r="B5012" t="s">
        <v>115</v>
      </c>
      <c r="C5012" t="b">
        <v>0</v>
      </c>
      <c r="D5012" s="1">
        <v>42673</v>
      </c>
      <c r="E5012">
        <v>5</v>
      </c>
      <c r="F5012"/>
      <c r="G5012"/>
      <c r="H5012"/>
      <c r="I5012"/>
      <c r="J5012"/>
      <c r="K5012"/>
      <c r="L5012"/>
      <c r="M5012"/>
      <c r="N5012"/>
      <c r="O5012"/>
    </row>
    <row r="5013" spans="1:15" hidden="1" x14ac:dyDescent="0.25">
      <c r="A5013" t="s">
        <v>75</v>
      </c>
      <c r="B5013" t="s">
        <v>115</v>
      </c>
      <c r="C5013" t="b">
        <v>0</v>
      </c>
      <c r="D5013" s="1">
        <v>42673</v>
      </c>
      <c r="E5013">
        <v>5</v>
      </c>
      <c r="F5013"/>
      <c r="G5013"/>
      <c r="H5013"/>
      <c r="I5013"/>
      <c r="J5013"/>
      <c r="K5013"/>
      <c r="L5013"/>
      <c r="M5013"/>
      <c r="N5013"/>
      <c r="O5013"/>
    </row>
    <row r="5014" spans="1:15" hidden="1" x14ac:dyDescent="0.25">
      <c r="A5014" t="s">
        <v>76</v>
      </c>
      <c r="B5014" t="s">
        <v>115</v>
      </c>
      <c r="C5014" t="b">
        <v>0</v>
      </c>
      <c r="D5014" s="1">
        <v>42673</v>
      </c>
      <c r="E5014">
        <v>1E-3</v>
      </c>
      <c r="F5014"/>
      <c r="G5014"/>
      <c r="H5014"/>
      <c r="I5014"/>
      <c r="J5014"/>
      <c r="K5014"/>
      <c r="L5014"/>
      <c r="M5014"/>
      <c r="N5014"/>
      <c r="O5014"/>
    </row>
    <row r="5015" spans="1:15" hidden="1" x14ac:dyDescent="0.25">
      <c r="A5015" t="s">
        <v>85</v>
      </c>
      <c r="B5015" t="s">
        <v>115</v>
      </c>
      <c r="C5015" t="b">
        <v>0</v>
      </c>
      <c r="D5015" s="1">
        <v>42673</v>
      </c>
      <c r="E5015">
        <v>5</v>
      </c>
      <c r="F5015"/>
      <c r="G5015"/>
      <c r="H5015"/>
      <c r="I5015"/>
      <c r="J5015"/>
      <c r="K5015"/>
      <c r="L5015"/>
      <c r="M5015"/>
      <c r="N5015"/>
      <c r="O5015"/>
    </row>
    <row r="5016" spans="1:15" hidden="1" x14ac:dyDescent="0.25">
      <c r="A5016" t="s">
        <v>82</v>
      </c>
      <c r="B5016" t="s">
        <v>115</v>
      </c>
      <c r="C5016" t="b">
        <v>0</v>
      </c>
      <c r="D5016" s="1">
        <v>42673</v>
      </c>
      <c r="E5016">
        <v>5</v>
      </c>
      <c r="F5016"/>
      <c r="G5016"/>
      <c r="H5016"/>
      <c r="I5016"/>
      <c r="J5016"/>
      <c r="K5016"/>
      <c r="L5016"/>
      <c r="M5016"/>
      <c r="N5016"/>
      <c r="O5016"/>
    </row>
    <row r="5017" spans="1:15" hidden="1" x14ac:dyDescent="0.25">
      <c r="A5017" t="s">
        <v>84</v>
      </c>
      <c r="B5017" t="s">
        <v>115</v>
      </c>
      <c r="C5017" t="b">
        <v>0</v>
      </c>
      <c r="D5017" s="1">
        <v>42673</v>
      </c>
      <c r="E5017">
        <v>5</v>
      </c>
      <c r="F5017"/>
      <c r="G5017"/>
      <c r="H5017"/>
      <c r="I5017"/>
      <c r="J5017"/>
      <c r="K5017"/>
      <c r="L5017"/>
      <c r="M5017"/>
      <c r="N5017"/>
      <c r="O5017"/>
    </row>
    <row r="5018" spans="1:15" hidden="1" x14ac:dyDescent="0.25">
      <c r="A5018" t="s">
        <v>88</v>
      </c>
      <c r="B5018" t="s">
        <v>115</v>
      </c>
      <c r="C5018" t="b">
        <v>0</v>
      </c>
      <c r="D5018" s="1">
        <v>42673</v>
      </c>
      <c r="E5018">
        <v>5</v>
      </c>
      <c r="F5018"/>
      <c r="G5018"/>
      <c r="H5018"/>
      <c r="I5018"/>
      <c r="J5018"/>
      <c r="K5018"/>
      <c r="L5018"/>
      <c r="M5018"/>
      <c r="N5018"/>
      <c r="O5018"/>
    </row>
    <row r="5019" spans="1:15" hidden="1" x14ac:dyDescent="0.25">
      <c r="A5019" t="s">
        <v>87</v>
      </c>
      <c r="B5019" t="s">
        <v>115</v>
      </c>
      <c r="C5019" t="b">
        <v>0</v>
      </c>
      <c r="D5019" s="1">
        <v>42673</v>
      </c>
      <c r="E5019">
        <v>5</v>
      </c>
      <c r="F5019"/>
      <c r="G5019"/>
      <c r="H5019"/>
      <c r="I5019"/>
      <c r="J5019"/>
      <c r="K5019"/>
      <c r="L5019"/>
      <c r="M5019"/>
      <c r="N5019"/>
      <c r="O5019"/>
    </row>
    <row r="5020" spans="1:15" hidden="1" x14ac:dyDescent="0.25">
      <c r="A5020" t="s">
        <v>94</v>
      </c>
      <c r="B5020" t="s">
        <v>115</v>
      </c>
      <c r="C5020" t="b">
        <v>0</v>
      </c>
      <c r="D5020" s="1">
        <v>42673</v>
      </c>
      <c r="E5020">
        <v>5</v>
      </c>
      <c r="F5020"/>
      <c r="G5020"/>
      <c r="H5020"/>
      <c r="I5020"/>
      <c r="J5020"/>
      <c r="K5020"/>
      <c r="L5020"/>
      <c r="M5020"/>
      <c r="N5020"/>
      <c r="O5020"/>
    </row>
    <row r="5021" spans="1:15" hidden="1" x14ac:dyDescent="0.25">
      <c r="A5021" t="s">
        <v>96</v>
      </c>
      <c r="B5021" t="s">
        <v>115</v>
      </c>
      <c r="C5021" t="b">
        <v>0</v>
      </c>
      <c r="D5021" s="1">
        <v>42673</v>
      </c>
      <c r="E5021">
        <v>5</v>
      </c>
      <c r="F5021"/>
      <c r="G5021"/>
      <c r="H5021"/>
      <c r="I5021"/>
      <c r="J5021"/>
      <c r="K5021"/>
      <c r="L5021"/>
      <c r="M5021"/>
      <c r="N5021"/>
      <c r="O5021"/>
    </row>
    <row r="5022" spans="1:15" hidden="1" x14ac:dyDescent="0.25">
      <c r="A5022" t="s">
        <v>98</v>
      </c>
      <c r="B5022" t="s">
        <v>115</v>
      </c>
      <c r="C5022" t="b">
        <v>0</v>
      </c>
      <c r="D5022" s="1">
        <v>42673</v>
      </c>
      <c r="E5022">
        <v>5</v>
      </c>
      <c r="F5022"/>
      <c r="G5022"/>
      <c r="H5022"/>
      <c r="I5022"/>
      <c r="J5022"/>
      <c r="K5022"/>
      <c r="L5022"/>
      <c r="M5022"/>
      <c r="N5022"/>
      <c r="O5022"/>
    </row>
    <row r="5023" spans="1:15" hidden="1" x14ac:dyDescent="0.25">
      <c r="A5023" t="s">
        <v>97</v>
      </c>
      <c r="B5023" t="s">
        <v>115</v>
      </c>
      <c r="C5023" t="b">
        <v>0</v>
      </c>
      <c r="D5023" s="1">
        <v>42673</v>
      </c>
      <c r="E5023">
        <v>5</v>
      </c>
      <c r="F5023"/>
      <c r="G5023"/>
      <c r="H5023"/>
      <c r="I5023"/>
      <c r="J5023"/>
      <c r="K5023"/>
      <c r="L5023"/>
      <c r="M5023"/>
      <c r="N5023"/>
      <c r="O5023"/>
    </row>
    <row r="5024" spans="1:15" hidden="1" x14ac:dyDescent="0.25">
      <c r="A5024" t="s">
        <v>99</v>
      </c>
      <c r="B5024" t="s">
        <v>114</v>
      </c>
      <c r="C5024" t="b">
        <v>0</v>
      </c>
      <c r="D5024" s="1">
        <v>42673</v>
      </c>
      <c r="E5024">
        <v>20.5</v>
      </c>
      <c r="F5024"/>
      <c r="G5024"/>
      <c r="H5024"/>
      <c r="I5024"/>
      <c r="J5024"/>
      <c r="K5024"/>
      <c r="L5024"/>
      <c r="M5024"/>
      <c r="N5024"/>
      <c r="O5024"/>
    </row>
    <row r="5025" spans="1:15" hidden="1" x14ac:dyDescent="0.25">
      <c r="A5025" t="s">
        <v>100</v>
      </c>
      <c r="B5025" t="s">
        <v>117</v>
      </c>
      <c r="C5025" t="b">
        <v>0</v>
      </c>
      <c r="D5025" s="1">
        <v>42704</v>
      </c>
      <c r="E5025" s="2">
        <v>-79.92</v>
      </c>
      <c r="F5025"/>
      <c r="G5025"/>
      <c r="H5025"/>
      <c r="I5025"/>
      <c r="J5025"/>
      <c r="K5025"/>
      <c r="L5025"/>
      <c r="M5025"/>
      <c r="N5025"/>
      <c r="O5025"/>
    </row>
    <row r="5026" spans="1:15" hidden="1" x14ac:dyDescent="0.25">
      <c r="A5026" t="s">
        <v>104</v>
      </c>
      <c r="B5026" t="s">
        <v>117</v>
      </c>
      <c r="C5026" t="b">
        <v>0</v>
      </c>
      <c r="D5026" s="1">
        <v>42704</v>
      </c>
      <c r="E5026" s="2">
        <v>-5</v>
      </c>
      <c r="F5026"/>
      <c r="G5026"/>
      <c r="H5026"/>
      <c r="I5026"/>
      <c r="J5026"/>
      <c r="K5026"/>
      <c r="L5026"/>
      <c r="M5026"/>
      <c r="N5026"/>
      <c r="O5026"/>
    </row>
    <row r="5027" spans="1:15" hidden="1" x14ac:dyDescent="0.25">
      <c r="A5027" t="s">
        <v>102</v>
      </c>
      <c r="B5027" t="s">
        <v>117</v>
      </c>
      <c r="C5027" t="b">
        <v>0</v>
      </c>
      <c r="D5027" s="1">
        <v>42704</v>
      </c>
      <c r="E5027" s="2">
        <v>-29.96</v>
      </c>
      <c r="F5027"/>
      <c r="G5027"/>
      <c r="H5027"/>
      <c r="I5027"/>
      <c r="J5027"/>
      <c r="K5027"/>
      <c r="L5027"/>
      <c r="M5027"/>
      <c r="N5027"/>
      <c r="O5027"/>
    </row>
    <row r="5028" spans="1:15" hidden="1" x14ac:dyDescent="0.25">
      <c r="A5028" t="s">
        <v>103</v>
      </c>
      <c r="B5028" t="s">
        <v>117</v>
      </c>
      <c r="C5028" t="b">
        <v>0</v>
      </c>
      <c r="D5028" s="1">
        <v>42704</v>
      </c>
      <c r="E5028" s="2">
        <v>-2.5</v>
      </c>
      <c r="F5028"/>
      <c r="G5028"/>
      <c r="H5028"/>
      <c r="I5028"/>
      <c r="J5028"/>
      <c r="K5028"/>
      <c r="L5028"/>
      <c r="M5028"/>
      <c r="N5028"/>
      <c r="O5028"/>
    </row>
    <row r="5029" spans="1:15" hidden="1" x14ac:dyDescent="0.25">
      <c r="A5029" t="s">
        <v>101</v>
      </c>
      <c r="B5029" t="s">
        <v>117</v>
      </c>
      <c r="C5029" t="b">
        <v>0</v>
      </c>
      <c r="D5029" s="1">
        <v>42704</v>
      </c>
      <c r="E5029" s="2">
        <v>-2.5</v>
      </c>
      <c r="F5029"/>
      <c r="G5029"/>
      <c r="H5029"/>
      <c r="I5029"/>
      <c r="J5029"/>
      <c r="K5029"/>
      <c r="L5029"/>
      <c r="M5029"/>
      <c r="N5029"/>
      <c r="O5029"/>
    </row>
    <row r="5030" spans="1:15" hidden="1" x14ac:dyDescent="0.25">
      <c r="A5030" t="s">
        <v>47</v>
      </c>
      <c r="B5030" t="s">
        <v>115</v>
      </c>
      <c r="C5030" t="b">
        <v>0</v>
      </c>
      <c r="D5030" s="1">
        <v>42704</v>
      </c>
      <c r="E5030">
        <v>5</v>
      </c>
      <c r="F5030"/>
      <c r="G5030"/>
      <c r="H5030"/>
      <c r="I5030"/>
      <c r="J5030"/>
      <c r="K5030"/>
      <c r="L5030"/>
      <c r="M5030"/>
      <c r="N5030"/>
      <c r="O5030"/>
    </row>
    <row r="5031" spans="1:15" hidden="1" x14ac:dyDescent="0.25">
      <c r="A5031" t="s">
        <v>43</v>
      </c>
      <c r="B5031" t="s">
        <v>115</v>
      </c>
      <c r="C5031" t="b">
        <v>0</v>
      </c>
      <c r="D5031" s="1">
        <v>42704</v>
      </c>
      <c r="E5031">
        <v>5</v>
      </c>
      <c r="F5031"/>
      <c r="G5031"/>
      <c r="H5031"/>
      <c r="I5031"/>
      <c r="J5031"/>
      <c r="K5031"/>
      <c r="L5031"/>
      <c r="M5031"/>
      <c r="N5031"/>
      <c r="O5031"/>
    </row>
    <row r="5032" spans="1:15" hidden="1" x14ac:dyDescent="0.25">
      <c r="A5032" t="s">
        <v>48</v>
      </c>
      <c r="B5032" t="s">
        <v>115</v>
      </c>
      <c r="C5032" t="b">
        <v>0</v>
      </c>
      <c r="D5032" s="1">
        <v>42704</v>
      </c>
      <c r="E5032">
        <v>5</v>
      </c>
      <c r="F5032"/>
      <c r="G5032"/>
      <c r="H5032"/>
      <c r="I5032"/>
      <c r="J5032"/>
      <c r="K5032"/>
      <c r="L5032"/>
      <c r="M5032"/>
      <c r="N5032"/>
      <c r="O5032"/>
    </row>
    <row r="5033" spans="1:15" hidden="1" x14ac:dyDescent="0.25">
      <c r="A5033" t="s">
        <v>50</v>
      </c>
      <c r="B5033" t="s">
        <v>115</v>
      </c>
      <c r="C5033" t="b">
        <v>0</v>
      </c>
      <c r="D5033" s="1">
        <v>42704</v>
      </c>
      <c r="E5033">
        <v>5</v>
      </c>
      <c r="F5033"/>
      <c r="G5033"/>
      <c r="H5033"/>
      <c r="I5033"/>
      <c r="J5033"/>
      <c r="K5033"/>
      <c r="L5033"/>
      <c r="M5033"/>
      <c r="N5033"/>
      <c r="O5033"/>
    </row>
    <row r="5034" spans="1:15" hidden="1" x14ac:dyDescent="0.25">
      <c r="A5034" t="s">
        <v>51</v>
      </c>
      <c r="B5034" t="s">
        <v>115</v>
      </c>
      <c r="C5034" t="b">
        <v>0</v>
      </c>
      <c r="D5034" s="1">
        <v>42704</v>
      </c>
      <c r="E5034">
        <v>5</v>
      </c>
      <c r="F5034"/>
      <c r="G5034"/>
      <c r="H5034"/>
      <c r="I5034"/>
      <c r="J5034"/>
      <c r="K5034"/>
      <c r="L5034"/>
      <c r="M5034"/>
      <c r="N5034"/>
      <c r="O5034"/>
    </row>
    <row r="5035" spans="1:15" hidden="1" x14ac:dyDescent="0.25">
      <c r="A5035" t="s">
        <v>52</v>
      </c>
      <c r="B5035" t="s">
        <v>115</v>
      </c>
      <c r="C5035" t="b">
        <v>0</v>
      </c>
      <c r="D5035" s="1">
        <v>42704</v>
      </c>
      <c r="E5035">
        <v>5</v>
      </c>
      <c r="F5035"/>
      <c r="G5035"/>
      <c r="H5035"/>
      <c r="I5035"/>
      <c r="J5035"/>
      <c r="K5035"/>
      <c r="L5035"/>
      <c r="M5035"/>
      <c r="N5035"/>
      <c r="O5035"/>
    </row>
    <row r="5036" spans="1:15" hidden="1" x14ac:dyDescent="0.25">
      <c r="A5036" t="s">
        <v>54</v>
      </c>
      <c r="B5036" t="s">
        <v>115</v>
      </c>
      <c r="C5036" t="b">
        <v>0</v>
      </c>
      <c r="D5036" s="1">
        <v>42704</v>
      </c>
      <c r="E5036">
        <v>5</v>
      </c>
      <c r="F5036"/>
      <c r="G5036"/>
      <c r="H5036"/>
      <c r="I5036"/>
      <c r="J5036"/>
      <c r="K5036"/>
      <c r="L5036"/>
      <c r="M5036"/>
      <c r="N5036"/>
      <c r="O5036"/>
    </row>
    <row r="5037" spans="1:15" hidden="1" x14ac:dyDescent="0.25">
      <c r="A5037" t="s">
        <v>55</v>
      </c>
      <c r="B5037" t="s">
        <v>115</v>
      </c>
      <c r="C5037" t="b">
        <v>0</v>
      </c>
      <c r="D5037" s="1">
        <v>42704</v>
      </c>
      <c r="E5037">
        <v>5</v>
      </c>
      <c r="F5037"/>
      <c r="G5037"/>
      <c r="H5037"/>
      <c r="I5037"/>
      <c r="J5037"/>
      <c r="K5037"/>
      <c r="L5037"/>
      <c r="M5037"/>
      <c r="N5037"/>
      <c r="O5037"/>
    </row>
    <row r="5038" spans="1:15" hidden="1" x14ac:dyDescent="0.25">
      <c r="A5038" t="s">
        <v>58</v>
      </c>
      <c r="B5038" t="s">
        <v>115</v>
      </c>
      <c r="C5038" t="b">
        <v>0</v>
      </c>
      <c r="D5038" s="1">
        <v>42704</v>
      </c>
      <c r="E5038">
        <v>5</v>
      </c>
      <c r="F5038"/>
      <c r="G5038"/>
      <c r="H5038"/>
      <c r="I5038"/>
      <c r="J5038"/>
      <c r="K5038"/>
      <c r="L5038"/>
      <c r="M5038"/>
      <c r="N5038"/>
      <c r="O5038"/>
    </row>
    <row r="5039" spans="1:15" hidden="1" x14ac:dyDescent="0.25">
      <c r="A5039" t="s">
        <v>65</v>
      </c>
      <c r="B5039" t="s">
        <v>115</v>
      </c>
      <c r="C5039" t="b">
        <v>0</v>
      </c>
      <c r="D5039" s="1">
        <v>42704</v>
      </c>
      <c r="E5039">
        <v>5</v>
      </c>
      <c r="F5039"/>
      <c r="G5039"/>
      <c r="H5039"/>
      <c r="I5039"/>
      <c r="J5039"/>
      <c r="K5039"/>
      <c r="L5039"/>
      <c r="M5039"/>
      <c r="N5039"/>
      <c r="O5039"/>
    </row>
    <row r="5040" spans="1:15" hidden="1" x14ac:dyDescent="0.25">
      <c r="A5040" t="s">
        <v>66</v>
      </c>
      <c r="B5040" t="s">
        <v>115</v>
      </c>
      <c r="C5040" t="b">
        <v>0</v>
      </c>
      <c r="D5040" s="1">
        <v>42704</v>
      </c>
      <c r="E5040">
        <v>5</v>
      </c>
      <c r="F5040"/>
      <c r="G5040"/>
      <c r="H5040"/>
      <c r="I5040"/>
      <c r="J5040"/>
      <c r="K5040"/>
      <c r="L5040"/>
      <c r="M5040"/>
      <c r="N5040"/>
      <c r="O5040"/>
    </row>
    <row r="5041" spans="1:15" hidden="1" x14ac:dyDescent="0.25">
      <c r="A5041" t="s">
        <v>68</v>
      </c>
      <c r="B5041" t="s">
        <v>115</v>
      </c>
      <c r="C5041" t="b">
        <v>0</v>
      </c>
      <c r="D5041" s="1">
        <v>42704</v>
      </c>
      <c r="E5041">
        <v>5</v>
      </c>
      <c r="F5041"/>
      <c r="G5041"/>
      <c r="H5041"/>
      <c r="I5041"/>
      <c r="J5041"/>
      <c r="K5041"/>
      <c r="L5041"/>
      <c r="M5041"/>
      <c r="N5041"/>
      <c r="O5041"/>
    </row>
    <row r="5042" spans="1:15" hidden="1" x14ac:dyDescent="0.25">
      <c r="A5042" t="s">
        <v>69</v>
      </c>
      <c r="B5042" t="s">
        <v>115</v>
      </c>
      <c r="C5042" t="b">
        <v>0</v>
      </c>
      <c r="D5042" s="1">
        <v>42704</v>
      </c>
      <c r="E5042">
        <v>5</v>
      </c>
      <c r="F5042"/>
      <c r="G5042"/>
      <c r="H5042"/>
      <c r="I5042"/>
      <c r="J5042"/>
      <c r="K5042"/>
      <c r="L5042"/>
      <c r="M5042"/>
      <c r="N5042"/>
      <c r="O5042"/>
    </row>
    <row r="5043" spans="1:15" hidden="1" x14ac:dyDescent="0.25">
      <c r="A5043" t="s">
        <v>75</v>
      </c>
      <c r="B5043" t="s">
        <v>115</v>
      </c>
      <c r="C5043" t="b">
        <v>0</v>
      </c>
      <c r="D5043" s="1">
        <v>42704</v>
      </c>
      <c r="E5043">
        <v>5</v>
      </c>
      <c r="F5043"/>
      <c r="G5043"/>
      <c r="H5043"/>
      <c r="I5043"/>
      <c r="J5043"/>
      <c r="K5043"/>
      <c r="L5043"/>
      <c r="M5043"/>
      <c r="N5043"/>
      <c r="O5043"/>
    </row>
    <row r="5044" spans="1:15" hidden="1" x14ac:dyDescent="0.25">
      <c r="A5044" t="s">
        <v>76</v>
      </c>
      <c r="B5044" t="s">
        <v>115</v>
      </c>
      <c r="C5044" t="b">
        <v>0</v>
      </c>
      <c r="D5044" s="1">
        <v>42704</v>
      </c>
      <c r="E5044">
        <v>1E-3</v>
      </c>
      <c r="F5044"/>
      <c r="G5044"/>
      <c r="H5044"/>
      <c r="I5044"/>
      <c r="J5044"/>
      <c r="K5044"/>
      <c r="L5044"/>
      <c r="M5044"/>
      <c r="N5044"/>
      <c r="O5044"/>
    </row>
    <row r="5045" spans="1:15" hidden="1" x14ac:dyDescent="0.25">
      <c r="A5045" t="s">
        <v>85</v>
      </c>
      <c r="B5045" t="s">
        <v>115</v>
      </c>
      <c r="C5045" t="b">
        <v>0</v>
      </c>
      <c r="D5045" s="1">
        <v>42704</v>
      </c>
      <c r="E5045">
        <v>5</v>
      </c>
      <c r="F5045"/>
      <c r="G5045"/>
      <c r="H5045"/>
      <c r="I5045"/>
      <c r="J5045"/>
      <c r="K5045"/>
      <c r="L5045"/>
      <c r="M5045"/>
      <c r="N5045"/>
      <c r="O5045"/>
    </row>
    <row r="5046" spans="1:15" hidden="1" x14ac:dyDescent="0.25">
      <c r="A5046" t="s">
        <v>82</v>
      </c>
      <c r="B5046" t="s">
        <v>115</v>
      </c>
      <c r="C5046" t="b">
        <v>0</v>
      </c>
      <c r="D5046" s="1">
        <v>42704</v>
      </c>
      <c r="E5046">
        <v>5</v>
      </c>
      <c r="F5046"/>
      <c r="G5046"/>
      <c r="H5046"/>
      <c r="I5046"/>
      <c r="J5046"/>
      <c r="K5046"/>
      <c r="L5046"/>
      <c r="M5046"/>
      <c r="N5046"/>
      <c r="O5046"/>
    </row>
    <row r="5047" spans="1:15" hidden="1" x14ac:dyDescent="0.25">
      <c r="A5047" t="s">
        <v>84</v>
      </c>
      <c r="B5047" t="s">
        <v>115</v>
      </c>
      <c r="C5047" t="b">
        <v>0</v>
      </c>
      <c r="D5047" s="1">
        <v>42704</v>
      </c>
      <c r="E5047">
        <v>5</v>
      </c>
      <c r="F5047"/>
      <c r="G5047"/>
      <c r="H5047"/>
      <c r="I5047"/>
      <c r="J5047"/>
      <c r="K5047"/>
      <c r="L5047"/>
      <c r="M5047"/>
      <c r="N5047"/>
      <c r="O5047"/>
    </row>
    <row r="5048" spans="1:15" hidden="1" x14ac:dyDescent="0.25">
      <c r="A5048" t="s">
        <v>88</v>
      </c>
      <c r="B5048" t="s">
        <v>115</v>
      </c>
      <c r="C5048" t="b">
        <v>0</v>
      </c>
      <c r="D5048" s="1">
        <v>42704</v>
      </c>
      <c r="E5048">
        <v>5</v>
      </c>
      <c r="F5048"/>
      <c r="G5048"/>
      <c r="H5048"/>
      <c r="I5048"/>
      <c r="J5048"/>
      <c r="K5048"/>
      <c r="L5048"/>
      <c r="M5048"/>
      <c r="N5048"/>
      <c r="O5048"/>
    </row>
    <row r="5049" spans="1:15" hidden="1" x14ac:dyDescent="0.25">
      <c r="A5049" t="s">
        <v>87</v>
      </c>
      <c r="B5049" t="s">
        <v>115</v>
      </c>
      <c r="C5049" t="b">
        <v>0</v>
      </c>
      <c r="D5049" s="1">
        <v>42704</v>
      </c>
      <c r="E5049">
        <v>5</v>
      </c>
      <c r="F5049"/>
      <c r="G5049"/>
      <c r="H5049"/>
      <c r="I5049"/>
      <c r="J5049"/>
      <c r="K5049"/>
      <c r="L5049"/>
      <c r="M5049"/>
      <c r="N5049"/>
      <c r="O5049"/>
    </row>
    <row r="5050" spans="1:15" hidden="1" x14ac:dyDescent="0.25">
      <c r="A5050" t="s">
        <v>94</v>
      </c>
      <c r="B5050" t="s">
        <v>115</v>
      </c>
      <c r="C5050" t="b">
        <v>0</v>
      </c>
      <c r="D5050" s="1">
        <v>42704</v>
      </c>
      <c r="E5050">
        <v>5</v>
      </c>
      <c r="F5050"/>
      <c r="G5050"/>
      <c r="H5050"/>
      <c r="I5050"/>
      <c r="J5050"/>
      <c r="K5050"/>
      <c r="L5050"/>
      <c r="M5050"/>
      <c r="N5050"/>
      <c r="O5050"/>
    </row>
    <row r="5051" spans="1:15" hidden="1" x14ac:dyDescent="0.25">
      <c r="A5051" t="s">
        <v>96</v>
      </c>
      <c r="B5051" t="s">
        <v>115</v>
      </c>
      <c r="C5051" t="b">
        <v>0</v>
      </c>
      <c r="D5051" s="1">
        <v>42704</v>
      </c>
      <c r="E5051">
        <v>5</v>
      </c>
      <c r="F5051"/>
      <c r="G5051"/>
      <c r="H5051"/>
      <c r="I5051"/>
      <c r="J5051"/>
      <c r="K5051"/>
      <c r="L5051"/>
      <c r="M5051"/>
      <c r="N5051"/>
      <c r="O5051"/>
    </row>
    <row r="5052" spans="1:15" hidden="1" x14ac:dyDescent="0.25">
      <c r="A5052" t="s">
        <v>98</v>
      </c>
      <c r="B5052" t="s">
        <v>115</v>
      </c>
      <c r="C5052" t="b">
        <v>0</v>
      </c>
      <c r="D5052" s="1">
        <v>42704</v>
      </c>
      <c r="E5052">
        <v>5</v>
      </c>
      <c r="F5052"/>
      <c r="G5052"/>
      <c r="H5052"/>
      <c r="I5052"/>
      <c r="J5052"/>
      <c r="K5052"/>
      <c r="L5052"/>
      <c r="M5052"/>
      <c r="N5052"/>
      <c r="O5052"/>
    </row>
    <row r="5053" spans="1:15" hidden="1" x14ac:dyDescent="0.25">
      <c r="A5053" t="s">
        <v>97</v>
      </c>
      <c r="B5053" t="s">
        <v>115</v>
      </c>
      <c r="C5053" t="b">
        <v>0</v>
      </c>
      <c r="D5053" s="1">
        <v>42704</v>
      </c>
      <c r="E5053">
        <v>5</v>
      </c>
      <c r="F5053"/>
      <c r="G5053"/>
      <c r="H5053"/>
      <c r="I5053"/>
      <c r="J5053"/>
      <c r="K5053"/>
      <c r="L5053"/>
      <c r="M5053"/>
      <c r="N5053"/>
      <c r="O5053"/>
    </row>
    <row r="5054" spans="1:15" hidden="1" x14ac:dyDescent="0.25">
      <c r="A5054" t="s">
        <v>99</v>
      </c>
      <c r="B5054" t="s">
        <v>114</v>
      </c>
      <c r="C5054" t="b">
        <v>0</v>
      </c>
      <c r="D5054" s="1">
        <v>42704</v>
      </c>
      <c r="E5054">
        <v>19.2</v>
      </c>
      <c r="F5054"/>
      <c r="G5054"/>
      <c r="H5054"/>
      <c r="I5054"/>
      <c r="J5054"/>
      <c r="K5054"/>
      <c r="L5054"/>
      <c r="M5054"/>
      <c r="N5054"/>
      <c r="O5054"/>
    </row>
    <row r="5055" spans="1:15" hidden="1" x14ac:dyDescent="0.25">
      <c r="A5055" t="s">
        <v>100</v>
      </c>
      <c r="B5055" t="s">
        <v>117</v>
      </c>
      <c r="C5055" t="b">
        <v>0</v>
      </c>
      <c r="D5055" s="1">
        <v>42735</v>
      </c>
      <c r="E5055" s="2">
        <v>-49.95</v>
      </c>
      <c r="F5055"/>
      <c r="G5055"/>
      <c r="H5055"/>
      <c r="I5055"/>
      <c r="J5055"/>
      <c r="K5055"/>
      <c r="L5055"/>
      <c r="M5055"/>
      <c r="N5055"/>
      <c r="O5055"/>
    </row>
    <row r="5056" spans="1:15" hidden="1" x14ac:dyDescent="0.25">
      <c r="A5056" t="s">
        <v>104</v>
      </c>
      <c r="B5056" t="s">
        <v>117</v>
      </c>
      <c r="C5056" t="b">
        <v>0</v>
      </c>
      <c r="D5056" s="1">
        <v>42735</v>
      </c>
      <c r="E5056" s="2">
        <v>-16.02</v>
      </c>
      <c r="F5056"/>
      <c r="G5056"/>
      <c r="H5056"/>
      <c r="I5056"/>
      <c r="J5056"/>
      <c r="K5056"/>
      <c r="L5056"/>
      <c r="M5056"/>
      <c r="N5056"/>
      <c r="O5056"/>
    </row>
    <row r="5057" spans="1:15" hidden="1" x14ac:dyDescent="0.25">
      <c r="A5057" t="s">
        <v>102</v>
      </c>
      <c r="B5057" t="s">
        <v>117</v>
      </c>
      <c r="C5057" t="b">
        <v>0</v>
      </c>
      <c r="D5057" s="1">
        <v>42735</v>
      </c>
      <c r="E5057" s="2">
        <v>-35.950000000000003</v>
      </c>
      <c r="F5057"/>
      <c r="G5057"/>
      <c r="H5057"/>
      <c r="I5057"/>
      <c r="J5057"/>
      <c r="K5057"/>
      <c r="L5057"/>
      <c r="M5057"/>
      <c r="N5057"/>
      <c r="O5057"/>
    </row>
    <row r="5058" spans="1:15" hidden="1" x14ac:dyDescent="0.25">
      <c r="A5058" t="s">
        <v>103</v>
      </c>
      <c r="B5058" t="s">
        <v>117</v>
      </c>
      <c r="C5058" t="b">
        <v>0</v>
      </c>
      <c r="D5058" s="1">
        <v>42735</v>
      </c>
      <c r="E5058" s="2">
        <v>-28.86</v>
      </c>
      <c r="F5058"/>
      <c r="G5058"/>
      <c r="H5058"/>
      <c r="I5058"/>
      <c r="J5058"/>
      <c r="K5058"/>
      <c r="L5058"/>
      <c r="M5058"/>
      <c r="N5058"/>
      <c r="O5058"/>
    </row>
    <row r="5059" spans="1:15" hidden="1" x14ac:dyDescent="0.25">
      <c r="A5059" t="s">
        <v>47</v>
      </c>
      <c r="B5059" t="s">
        <v>115</v>
      </c>
      <c r="C5059" t="b">
        <v>0</v>
      </c>
      <c r="D5059" s="1">
        <v>42735</v>
      </c>
      <c r="E5059">
        <v>5</v>
      </c>
      <c r="F5059"/>
      <c r="G5059"/>
      <c r="H5059"/>
      <c r="I5059"/>
      <c r="J5059"/>
      <c r="K5059"/>
      <c r="L5059"/>
      <c r="M5059"/>
      <c r="N5059"/>
      <c r="O5059"/>
    </row>
    <row r="5060" spans="1:15" hidden="1" x14ac:dyDescent="0.25">
      <c r="A5060" t="s">
        <v>43</v>
      </c>
      <c r="B5060" t="s">
        <v>115</v>
      </c>
      <c r="C5060" t="b">
        <v>0</v>
      </c>
      <c r="D5060" s="1">
        <v>42735</v>
      </c>
      <c r="E5060">
        <v>5</v>
      </c>
      <c r="F5060"/>
      <c r="G5060"/>
      <c r="H5060"/>
      <c r="I5060"/>
      <c r="J5060"/>
      <c r="K5060"/>
      <c r="L5060"/>
      <c r="M5060"/>
      <c r="N5060"/>
      <c r="O5060"/>
    </row>
    <row r="5061" spans="1:15" hidden="1" x14ac:dyDescent="0.25">
      <c r="A5061" t="s">
        <v>48</v>
      </c>
      <c r="B5061" t="s">
        <v>115</v>
      </c>
      <c r="C5061" t="b">
        <v>0</v>
      </c>
      <c r="D5061" s="1">
        <v>42735</v>
      </c>
      <c r="E5061">
        <v>5</v>
      </c>
      <c r="F5061"/>
      <c r="G5061"/>
      <c r="H5061"/>
      <c r="I5061"/>
      <c r="J5061"/>
      <c r="K5061"/>
      <c r="L5061"/>
      <c r="M5061"/>
      <c r="N5061"/>
      <c r="O5061"/>
    </row>
    <row r="5062" spans="1:15" hidden="1" x14ac:dyDescent="0.25">
      <c r="A5062" t="s">
        <v>49</v>
      </c>
      <c r="B5062" t="s">
        <v>115</v>
      </c>
      <c r="C5062" t="b">
        <v>0</v>
      </c>
      <c r="D5062" s="1">
        <v>42735</v>
      </c>
      <c r="E5062">
        <v>5</v>
      </c>
      <c r="F5062"/>
      <c r="G5062"/>
      <c r="H5062"/>
      <c r="I5062"/>
      <c r="J5062"/>
      <c r="K5062"/>
      <c r="L5062"/>
      <c r="M5062"/>
      <c r="N5062"/>
      <c r="O5062"/>
    </row>
    <row r="5063" spans="1:15" hidden="1" x14ac:dyDescent="0.25">
      <c r="A5063" t="s">
        <v>50</v>
      </c>
      <c r="B5063" t="s">
        <v>115</v>
      </c>
      <c r="C5063" t="b">
        <v>0</v>
      </c>
      <c r="D5063" s="1">
        <v>42735</v>
      </c>
      <c r="E5063">
        <v>5</v>
      </c>
      <c r="F5063"/>
      <c r="G5063"/>
      <c r="H5063"/>
      <c r="I5063"/>
      <c r="J5063"/>
      <c r="K5063"/>
      <c r="L5063"/>
      <c r="M5063"/>
      <c r="N5063"/>
      <c r="O5063"/>
    </row>
    <row r="5064" spans="1:15" hidden="1" x14ac:dyDescent="0.25">
      <c r="A5064" t="s">
        <v>51</v>
      </c>
      <c r="B5064" t="s">
        <v>115</v>
      </c>
      <c r="C5064" t="b">
        <v>0</v>
      </c>
      <c r="D5064" s="1">
        <v>42735</v>
      </c>
      <c r="E5064">
        <v>5</v>
      </c>
      <c r="F5064"/>
      <c r="G5064"/>
      <c r="H5064"/>
      <c r="I5064"/>
      <c r="J5064"/>
      <c r="K5064"/>
      <c r="L5064"/>
      <c r="M5064"/>
      <c r="N5064"/>
      <c r="O5064"/>
    </row>
    <row r="5065" spans="1:15" hidden="1" x14ac:dyDescent="0.25">
      <c r="A5065" t="s">
        <v>52</v>
      </c>
      <c r="B5065" t="s">
        <v>115</v>
      </c>
      <c r="C5065" t="b">
        <v>0</v>
      </c>
      <c r="D5065" s="1">
        <v>42735</v>
      </c>
      <c r="E5065">
        <v>5</v>
      </c>
      <c r="F5065"/>
      <c r="G5065"/>
      <c r="H5065"/>
      <c r="I5065"/>
      <c r="J5065"/>
      <c r="K5065"/>
      <c r="L5065"/>
      <c r="M5065"/>
      <c r="N5065"/>
      <c r="O5065"/>
    </row>
    <row r="5066" spans="1:15" hidden="1" x14ac:dyDescent="0.25">
      <c r="A5066" t="s">
        <v>54</v>
      </c>
      <c r="B5066" t="s">
        <v>115</v>
      </c>
      <c r="C5066" t="b">
        <v>0</v>
      </c>
      <c r="D5066" s="1">
        <v>42735</v>
      </c>
      <c r="E5066">
        <v>5</v>
      </c>
      <c r="F5066"/>
      <c r="G5066"/>
      <c r="H5066"/>
      <c r="I5066"/>
      <c r="J5066"/>
      <c r="K5066"/>
      <c r="L5066"/>
      <c r="M5066"/>
      <c r="N5066"/>
      <c r="O5066"/>
    </row>
    <row r="5067" spans="1:15" hidden="1" x14ac:dyDescent="0.25">
      <c r="A5067" t="s">
        <v>55</v>
      </c>
      <c r="B5067" t="s">
        <v>115</v>
      </c>
      <c r="C5067" t="b">
        <v>0</v>
      </c>
      <c r="D5067" s="1">
        <v>42735</v>
      </c>
      <c r="E5067">
        <v>5</v>
      </c>
      <c r="F5067"/>
      <c r="G5067"/>
      <c r="H5067"/>
      <c r="I5067"/>
      <c r="J5067"/>
      <c r="K5067"/>
      <c r="L5067"/>
      <c r="M5067"/>
      <c r="N5067"/>
      <c r="O5067"/>
    </row>
    <row r="5068" spans="1:15" hidden="1" x14ac:dyDescent="0.25">
      <c r="A5068" t="s">
        <v>58</v>
      </c>
      <c r="B5068" t="s">
        <v>115</v>
      </c>
      <c r="C5068" t="b">
        <v>0</v>
      </c>
      <c r="D5068" s="1">
        <v>42735</v>
      </c>
      <c r="E5068">
        <v>5</v>
      </c>
      <c r="F5068"/>
      <c r="G5068"/>
      <c r="H5068"/>
      <c r="I5068"/>
      <c r="J5068"/>
      <c r="K5068"/>
      <c r="L5068"/>
      <c r="M5068"/>
      <c r="N5068"/>
      <c r="O5068"/>
    </row>
    <row r="5069" spans="1:15" hidden="1" x14ac:dyDescent="0.25">
      <c r="A5069" t="s">
        <v>65</v>
      </c>
      <c r="B5069" t="s">
        <v>115</v>
      </c>
      <c r="C5069" t="b">
        <v>0</v>
      </c>
      <c r="D5069" s="1">
        <v>42735</v>
      </c>
      <c r="E5069">
        <v>5</v>
      </c>
      <c r="F5069"/>
      <c r="G5069"/>
      <c r="H5069"/>
      <c r="I5069"/>
      <c r="J5069"/>
      <c r="K5069"/>
      <c r="L5069"/>
      <c r="M5069"/>
      <c r="N5069"/>
      <c r="O5069"/>
    </row>
    <row r="5070" spans="1:15" hidden="1" x14ac:dyDescent="0.25">
      <c r="A5070" t="s">
        <v>66</v>
      </c>
      <c r="B5070" t="s">
        <v>115</v>
      </c>
      <c r="C5070" t="b">
        <v>0</v>
      </c>
      <c r="D5070" s="1">
        <v>42735</v>
      </c>
      <c r="E5070">
        <v>5</v>
      </c>
      <c r="F5070"/>
      <c r="G5070"/>
      <c r="H5070"/>
      <c r="I5070"/>
      <c r="J5070"/>
      <c r="K5070"/>
      <c r="L5070"/>
      <c r="M5070"/>
      <c r="N5070"/>
      <c r="O5070"/>
    </row>
    <row r="5071" spans="1:15" hidden="1" x14ac:dyDescent="0.25">
      <c r="A5071" t="s">
        <v>68</v>
      </c>
      <c r="B5071" t="s">
        <v>115</v>
      </c>
      <c r="C5071" t="b">
        <v>0</v>
      </c>
      <c r="D5071" s="1">
        <v>42735</v>
      </c>
      <c r="E5071">
        <v>5</v>
      </c>
      <c r="F5071"/>
      <c r="G5071"/>
      <c r="H5071"/>
      <c r="I5071"/>
      <c r="J5071"/>
      <c r="K5071"/>
      <c r="L5071"/>
      <c r="M5071"/>
      <c r="N5071"/>
      <c r="O5071"/>
    </row>
    <row r="5072" spans="1:15" hidden="1" x14ac:dyDescent="0.25">
      <c r="A5072" t="s">
        <v>69</v>
      </c>
      <c r="B5072" t="s">
        <v>115</v>
      </c>
      <c r="C5072" t="b">
        <v>0</v>
      </c>
      <c r="D5072" s="1">
        <v>42735</v>
      </c>
      <c r="E5072">
        <v>5</v>
      </c>
      <c r="F5072"/>
      <c r="G5072"/>
      <c r="H5072"/>
      <c r="I5072"/>
      <c r="J5072"/>
      <c r="K5072"/>
      <c r="L5072"/>
      <c r="M5072"/>
      <c r="N5072"/>
      <c r="O5072"/>
    </row>
    <row r="5073" spans="1:15" hidden="1" x14ac:dyDescent="0.25">
      <c r="A5073" t="s">
        <v>75</v>
      </c>
      <c r="B5073" t="s">
        <v>115</v>
      </c>
      <c r="C5073" t="b">
        <v>0</v>
      </c>
      <c r="D5073" s="1">
        <v>42735</v>
      </c>
      <c r="E5073">
        <v>5</v>
      </c>
      <c r="F5073"/>
      <c r="G5073"/>
      <c r="H5073"/>
      <c r="I5073"/>
      <c r="J5073"/>
      <c r="K5073"/>
      <c r="L5073"/>
      <c r="M5073"/>
      <c r="N5073"/>
      <c r="O5073"/>
    </row>
    <row r="5074" spans="1:15" hidden="1" x14ac:dyDescent="0.25">
      <c r="A5074" t="s">
        <v>76</v>
      </c>
      <c r="B5074" t="s">
        <v>115</v>
      </c>
      <c r="C5074" t="b">
        <v>0</v>
      </c>
      <c r="D5074" s="1">
        <v>42735</v>
      </c>
      <c r="E5074">
        <v>1E-3</v>
      </c>
      <c r="F5074"/>
      <c r="G5074"/>
      <c r="H5074"/>
      <c r="I5074"/>
      <c r="J5074"/>
      <c r="K5074"/>
      <c r="L5074"/>
      <c r="M5074"/>
      <c r="N5074"/>
      <c r="O5074"/>
    </row>
    <row r="5075" spans="1:15" hidden="1" x14ac:dyDescent="0.25">
      <c r="A5075" t="s">
        <v>85</v>
      </c>
      <c r="B5075" t="s">
        <v>115</v>
      </c>
      <c r="C5075" t="b">
        <v>0</v>
      </c>
      <c r="D5075" s="1">
        <v>42735</v>
      </c>
      <c r="E5075">
        <v>5</v>
      </c>
      <c r="F5075"/>
      <c r="G5075"/>
      <c r="H5075"/>
      <c r="I5075"/>
      <c r="J5075"/>
      <c r="K5075"/>
      <c r="L5075"/>
      <c r="M5075"/>
      <c r="N5075"/>
      <c r="O5075"/>
    </row>
    <row r="5076" spans="1:15" hidden="1" x14ac:dyDescent="0.25">
      <c r="A5076" t="s">
        <v>82</v>
      </c>
      <c r="B5076" t="s">
        <v>115</v>
      </c>
      <c r="C5076" t="b">
        <v>0</v>
      </c>
      <c r="D5076" s="1">
        <v>42735</v>
      </c>
      <c r="E5076">
        <v>5</v>
      </c>
      <c r="F5076"/>
      <c r="G5076"/>
      <c r="H5076"/>
      <c r="I5076"/>
      <c r="J5076"/>
      <c r="K5076"/>
      <c r="L5076"/>
      <c r="M5076"/>
      <c r="N5076"/>
      <c r="O5076"/>
    </row>
    <row r="5077" spans="1:15" hidden="1" x14ac:dyDescent="0.25">
      <c r="A5077" t="s">
        <v>84</v>
      </c>
      <c r="B5077" t="s">
        <v>115</v>
      </c>
      <c r="C5077" t="b">
        <v>0</v>
      </c>
      <c r="D5077" s="1">
        <v>42735</v>
      </c>
      <c r="E5077">
        <v>5</v>
      </c>
      <c r="F5077"/>
      <c r="G5077"/>
      <c r="H5077"/>
      <c r="I5077"/>
      <c r="J5077"/>
      <c r="K5077"/>
      <c r="L5077"/>
      <c r="M5077"/>
      <c r="N5077"/>
      <c r="O5077"/>
    </row>
    <row r="5078" spans="1:15" hidden="1" x14ac:dyDescent="0.25">
      <c r="A5078" t="s">
        <v>88</v>
      </c>
      <c r="B5078" t="s">
        <v>115</v>
      </c>
      <c r="C5078" t="b">
        <v>0</v>
      </c>
      <c r="D5078" s="1">
        <v>42735</v>
      </c>
      <c r="E5078">
        <v>5</v>
      </c>
      <c r="F5078"/>
      <c r="G5078"/>
      <c r="H5078"/>
      <c r="I5078"/>
      <c r="J5078"/>
      <c r="K5078"/>
      <c r="L5078"/>
      <c r="M5078"/>
      <c r="N5078"/>
      <c r="O5078"/>
    </row>
    <row r="5079" spans="1:15" hidden="1" x14ac:dyDescent="0.25">
      <c r="A5079" t="s">
        <v>87</v>
      </c>
      <c r="B5079" t="s">
        <v>115</v>
      </c>
      <c r="C5079" t="b">
        <v>0</v>
      </c>
      <c r="D5079" s="1">
        <v>42735</v>
      </c>
      <c r="E5079">
        <v>5</v>
      </c>
      <c r="F5079"/>
      <c r="G5079"/>
      <c r="H5079"/>
      <c r="I5079"/>
      <c r="J5079"/>
      <c r="K5079"/>
      <c r="L5079"/>
      <c r="M5079"/>
      <c r="N5079"/>
      <c r="O5079"/>
    </row>
    <row r="5080" spans="1:15" hidden="1" x14ac:dyDescent="0.25">
      <c r="A5080" t="s">
        <v>94</v>
      </c>
      <c r="B5080" t="s">
        <v>115</v>
      </c>
      <c r="C5080" t="b">
        <v>0</v>
      </c>
      <c r="D5080" s="1">
        <v>42735</v>
      </c>
      <c r="E5080">
        <v>5</v>
      </c>
      <c r="F5080"/>
      <c r="G5080"/>
      <c r="H5080"/>
      <c r="I5080"/>
      <c r="J5080"/>
      <c r="K5080"/>
      <c r="L5080"/>
      <c r="M5080"/>
      <c r="N5080"/>
      <c r="O5080"/>
    </row>
    <row r="5081" spans="1:15" hidden="1" x14ac:dyDescent="0.25">
      <c r="A5081" t="s">
        <v>96</v>
      </c>
      <c r="B5081" t="s">
        <v>115</v>
      </c>
      <c r="C5081" t="b">
        <v>0</v>
      </c>
      <c r="D5081" s="1">
        <v>42735</v>
      </c>
      <c r="E5081">
        <v>5</v>
      </c>
      <c r="F5081"/>
      <c r="G5081"/>
      <c r="H5081"/>
      <c r="I5081"/>
      <c r="J5081"/>
      <c r="K5081"/>
      <c r="L5081"/>
      <c r="M5081"/>
      <c r="N5081"/>
      <c r="O5081"/>
    </row>
    <row r="5082" spans="1:15" hidden="1" x14ac:dyDescent="0.25">
      <c r="A5082" t="s">
        <v>98</v>
      </c>
      <c r="B5082" t="s">
        <v>115</v>
      </c>
      <c r="C5082" t="b">
        <v>0</v>
      </c>
      <c r="D5082" s="1">
        <v>42735</v>
      </c>
      <c r="E5082">
        <v>5</v>
      </c>
      <c r="F5082"/>
      <c r="G5082"/>
      <c r="H5082"/>
      <c r="I5082"/>
      <c r="J5082"/>
      <c r="K5082"/>
      <c r="L5082"/>
      <c r="M5082"/>
      <c r="N5082"/>
      <c r="O5082"/>
    </row>
    <row r="5083" spans="1:15" hidden="1" x14ac:dyDescent="0.25">
      <c r="A5083" t="s">
        <v>97</v>
      </c>
      <c r="B5083" t="s">
        <v>115</v>
      </c>
      <c r="C5083" t="b">
        <v>0</v>
      </c>
      <c r="D5083" s="1">
        <v>42735</v>
      </c>
      <c r="E5083">
        <v>5</v>
      </c>
      <c r="F5083"/>
      <c r="G5083"/>
      <c r="H5083"/>
      <c r="I5083"/>
      <c r="J5083"/>
      <c r="K5083"/>
      <c r="L5083"/>
      <c r="M5083"/>
      <c r="N5083"/>
      <c r="O5083"/>
    </row>
    <row r="5084" spans="1:15" hidden="1" x14ac:dyDescent="0.25">
      <c r="A5084" t="s">
        <v>99</v>
      </c>
      <c r="B5084" t="s">
        <v>114</v>
      </c>
      <c r="C5084" t="b">
        <v>0</v>
      </c>
      <c r="D5084" s="1">
        <v>42735</v>
      </c>
      <c r="E5084">
        <v>21.66</v>
      </c>
      <c r="F5084"/>
      <c r="G5084"/>
      <c r="H5084"/>
      <c r="I5084"/>
      <c r="J5084"/>
      <c r="K5084"/>
      <c r="L5084"/>
      <c r="M5084"/>
      <c r="N5084"/>
      <c r="O5084"/>
    </row>
    <row r="5085" spans="1:15" hidden="1" x14ac:dyDescent="0.25">
      <c r="A5085" t="s">
        <v>100</v>
      </c>
      <c r="B5085" t="s">
        <v>117</v>
      </c>
      <c r="C5085" t="b">
        <v>0</v>
      </c>
      <c r="D5085" s="1">
        <v>42766</v>
      </c>
      <c r="E5085" s="2">
        <v>-59.94</v>
      </c>
      <c r="F5085"/>
      <c r="G5085"/>
      <c r="H5085"/>
      <c r="I5085"/>
      <c r="J5085"/>
      <c r="K5085"/>
      <c r="L5085"/>
      <c r="M5085"/>
      <c r="N5085"/>
      <c r="O5085"/>
    </row>
    <row r="5086" spans="1:15" hidden="1" x14ac:dyDescent="0.25">
      <c r="A5086" t="s">
        <v>104</v>
      </c>
      <c r="B5086" t="s">
        <v>117</v>
      </c>
      <c r="C5086" t="b">
        <v>0</v>
      </c>
      <c r="D5086" s="1">
        <v>42766</v>
      </c>
      <c r="E5086" s="2">
        <v>-12.49</v>
      </c>
      <c r="F5086"/>
      <c r="G5086"/>
      <c r="H5086"/>
      <c r="I5086"/>
      <c r="J5086"/>
      <c r="K5086"/>
      <c r="L5086"/>
      <c r="M5086"/>
      <c r="N5086"/>
      <c r="O5086"/>
    </row>
    <row r="5087" spans="1:15" hidden="1" x14ac:dyDescent="0.25">
      <c r="A5087" t="s">
        <v>102</v>
      </c>
      <c r="B5087" t="s">
        <v>117</v>
      </c>
      <c r="C5087" t="b">
        <v>0</v>
      </c>
      <c r="D5087" s="1">
        <v>42766</v>
      </c>
      <c r="E5087" s="2">
        <v>-35.950000000000003</v>
      </c>
      <c r="F5087"/>
      <c r="G5087"/>
      <c r="H5087"/>
      <c r="I5087"/>
      <c r="J5087"/>
      <c r="K5087"/>
      <c r="L5087"/>
      <c r="M5087"/>
      <c r="N5087"/>
      <c r="O5087"/>
    </row>
    <row r="5088" spans="1:15" hidden="1" x14ac:dyDescent="0.25">
      <c r="A5088" t="s">
        <v>103</v>
      </c>
      <c r="B5088" t="s">
        <v>117</v>
      </c>
      <c r="C5088" t="b">
        <v>0</v>
      </c>
      <c r="D5088" s="1">
        <v>42766</v>
      </c>
      <c r="E5088" s="2">
        <v>-2.5</v>
      </c>
      <c r="F5088"/>
      <c r="G5088"/>
      <c r="H5088"/>
      <c r="I5088"/>
      <c r="J5088"/>
      <c r="K5088"/>
      <c r="L5088"/>
      <c r="M5088"/>
      <c r="N5088"/>
      <c r="O5088"/>
    </row>
    <row r="5089" spans="1:15" hidden="1" x14ac:dyDescent="0.25">
      <c r="A5089" t="s">
        <v>101</v>
      </c>
      <c r="B5089" t="s">
        <v>117</v>
      </c>
      <c r="C5089" t="b">
        <v>0</v>
      </c>
      <c r="D5089" s="1">
        <v>42766</v>
      </c>
      <c r="E5089" s="2">
        <v>-10.18</v>
      </c>
      <c r="F5089"/>
      <c r="G5089"/>
      <c r="H5089"/>
      <c r="I5089"/>
      <c r="J5089"/>
      <c r="K5089"/>
      <c r="L5089"/>
      <c r="M5089"/>
      <c r="N5089"/>
      <c r="O5089"/>
    </row>
    <row r="5090" spans="1:15" hidden="1" x14ac:dyDescent="0.25">
      <c r="A5090" t="s">
        <v>47</v>
      </c>
      <c r="B5090" t="s">
        <v>115</v>
      </c>
      <c r="C5090" t="b">
        <v>1</v>
      </c>
      <c r="D5090" s="1">
        <v>42766</v>
      </c>
      <c r="E5090">
        <v>5</v>
      </c>
      <c r="F5090"/>
      <c r="G5090"/>
      <c r="H5090"/>
      <c r="I5090"/>
      <c r="J5090"/>
      <c r="K5090"/>
      <c r="L5090"/>
      <c r="M5090"/>
      <c r="N5090"/>
      <c r="O5090"/>
    </row>
    <row r="5091" spans="1:15" hidden="1" x14ac:dyDescent="0.25">
      <c r="A5091" t="s">
        <v>43</v>
      </c>
      <c r="B5091" t="s">
        <v>115</v>
      </c>
      <c r="C5091" t="b">
        <v>1</v>
      </c>
      <c r="D5091" s="1">
        <v>42766</v>
      </c>
      <c r="E5091">
        <v>5</v>
      </c>
      <c r="F5091"/>
      <c r="G5091"/>
      <c r="H5091"/>
      <c r="I5091"/>
      <c r="J5091"/>
      <c r="K5091"/>
      <c r="L5091"/>
      <c r="M5091"/>
      <c r="N5091"/>
      <c r="O5091"/>
    </row>
    <row r="5092" spans="1:15" hidden="1" x14ac:dyDescent="0.25">
      <c r="A5092" t="s">
        <v>48</v>
      </c>
      <c r="B5092" t="s">
        <v>115</v>
      </c>
      <c r="C5092" t="b">
        <v>1</v>
      </c>
      <c r="D5092" s="1">
        <v>42766</v>
      </c>
      <c r="E5092">
        <v>5</v>
      </c>
      <c r="F5092"/>
      <c r="G5092"/>
      <c r="H5092"/>
      <c r="I5092"/>
      <c r="J5092"/>
      <c r="K5092"/>
      <c r="L5092"/>
      <c r="M5092"/>
      <c r="N5092"/>
      <c r="O5092"/>
    </row>
    <row r="5093" spans="1:15" hidden="1" x14ac:dyDescent="0.25">
      <c r="A5093" t="s">
        <v>49</v>
      </c>
      <c r="B5093" t="s">
        <v>115</v>
      </c>
      <c r="C5093" t="b">
        <v>1</v>
      </c>
      <c r="D5093" s="1">
        <v>42766</v>
      </c>
      <c r="E5093">
        <v>5</v>
      </c>
      <c r="F5093"/>
      <c r="G5093"/>
      <c r="H5093"/>
      <c r="I5093"/>
      <c r="J5093"/>
      <c r="K5093"/>
      <c r="L5093"/>
      <c r="M5093"/>
      <c r="N5093"/>
      <c r="O5093"/>
    </row>
    <row r="5094" spans="1:15" hidden="1" x14ac:dyDescent="0.25">
      <c r="A5094" t="s">
        <v>50</v>
      </c>
      <c r="B5094" t="s">
        <v>115</v>
      </c>
      <c r="C5094" t="b">
        <v>1</v>
      </c>
      <c r="D5094" s="1">
        <v>42766</v>
      </c>
      <c r="E5094">
        <v>5</v>
      </c>
      <c r="F5094"/>
      <c r="G5094"/>
      <c r="H5094"/>
      <c r="I5094"/>
      <c r="J5094"/>
      <c r="K5094"/>
      <c r="L5094"/>
      <c r="M5094"/>
      <c r="N5094"/>
      <c r="O5094"/>
    </row>
    <row r="5095" spans="1:15" hidden="1" x14ac:dyDescent="0.25">
      <c r="A5095" t="s">
        <v>51</v>
      </c>
      <c r="B5095" t="s">
        <v>115</v>
      </c>
      <c r="C5095" t="b">
        <v>1</v>
      </c>
      <c r="D5095" s="1">
        <v>42766</v>
      </c>
      <c r="E5095">
        <v>5</v>
      </c>
      <c r="F5095"/>
      <c r="G5095"/>
      <c r="H5095"/>
      <c r="I5095"/>
      <c r="J5095"/>
      <c r="K5095"/>
      <c r="L5095"/>
      <c r="M5095"/>
      <c r="N5095"/>
      <c r="O5095"/>
    </row>
    <row r="5096" spans="1:15" hidden="1" x14ac:dyDescent="0.25">
      <c r="A5096" t="s">
        <v>52</v>
      </c>
      <c r="B5096" t="s">
        <v>115</v>
      </c>
      <c r="C5096" t="b">
        <v>1</v>
      </c>
      <c r="D5096" s="1">
        <v>42766</v>
      </c>
      <c r="E5096">
        <v>5</v>
      </c>
      <c r="F5096"/>
      <c r="G5096"/>
      <c r="H5096"/>
      <c r="I5096"/>
      <c r="J5096"/>
      <c r="K5096"/>
      <c r="L5096"/>
      <c r="M5096"/>
      <c r="N5096"/>
      <c r="O5096"/>
    </row>
    <row r="5097" spans="1:15" hidden="1" x14ac:dyDescent="0.25">
      <c r="A5097" t="s">
        <v>54</v>
      </c>
      <c r="B5097" t="s">
        <v>115</v>
      </c>
      <c r="C5097" t="b">
        <v>1</v>
      </c>
      <c r="D5097" s="1">
        <v>42766</v>
      </c>
      <c r="E5097">
        <v>5</v>
      </c>
      <c r="F5097"/>
      <c r="G5097"/>
      <c r="H5097"/>
      <c r="I5097"/>
      <c r="J5097"/>
      <c r="K5097"/>
      <c r="L5097"/>
      <c r="M5097"/>
      <c r="N5097"/>
      <c r="O5097"/>
    </row>
    <row r="5098" spans="1:15" hidden="1" x14ac:dyDescent="0.25">
      <c r="A5098" t="s">
        <v>55</v>
      </c>
      <c r="B5098" t="s">
        <v>115</v>
      </c>
      <c r="C5098" t="b">
        <v>1</v>
      </c>
      <c r="D5098" s="1">
        <v>42766</v>
      </c>
      <c r="E5098">
        <v>5</v>
      </c>
      <c r="F5098"/>
      <c r="G5098"/>
      <c r="H5098"/>
      <c r="I5098"/>
      <c r="J5098"/>
      <c r="K5098"/>
      <c r="L5098"/>
      <c r="M5098"/>
      <c r="N5098"/>
      <c r="O5098"/>
    </row>
    <row r="5099" spans="1:15" hidden="1" x14ac:dyDescent="0.25">
      <c r="A5099" t="s">
        <v>58</v>
      </c>
      <c r="B5099" t="s">
        <v>115</v>
      </c>
      <c r="C5099" t="b">
        <v>1</v>
      </c>
      <c r="D5099" s="1">
        <v>42766</v>
      </c>
      <c r="E5099">
        <v>5</v>
      </c>
      <c r="F5099"/>
      <c r="G5099"/>
      <c r="H5099"/>
      <c r="I5099"/>
      <c r="J5099"/>
      <c r="K5099"/>
      <c r="L5099"/>
      <c r="M5099"/>
      <c r="N5099"/>
      <c r="O5099"/>
    </row>
    <row r="5100" spans="1:15" hidden="1" x14ac:dyDescent="0.25">
      <c r="A5100" t="s">
        <v>65</v>
      </c>
      <c r="B5100" t="s">
        <v>115</v>
      </c>
      <c r="C5100" t="b">
        <v>1</v>
      </c>
      <c r="D5100" s="1">
        <v>42766</v>
      </c>
      <c r="E5100">
        <v>5</v>
      </c>
      <c r="F5100"/>
      <c r="G5100"/>
      <c r="H5100"/>
      <c r="I5100"/>
      <c r="J5100"/>
      <c r="K5100"/>
      <c r="L5100"/>
      <c r="M5100"/>
      <c r="N5100"/>
      <c r="O5100"/>
    </row>
    <row r="5101" spans="1:15" hidden="1" x14ac:dyDescent="0.25">
      <c r="A5101" t="s">
        <v>66</v>
      </c>
      <c r="B5101" t="s">
        <v>115</v>
      </c>
      <c r="C5101" t="b">
        <v>1</v>
      </c>
      <c r="D5101" s="1">
        <v>42766</v>
      </c>
      <c r="E5101">
        <v>5</v>
      </c>
      <c r="F5101"/>
      <c r="G5101"/>
      <c r="H5101"/>
      <c r="I5101"/>
      <c r="J5101"/>
      <c r="K5101"/>
      <c r="L5101"/>
      <c r="M5101"/>
      <c r="N5101"/>
      <c r="O5101"/>
    </row>
    <row r="5102" spans="1:15" hidden="1" x14ac:dyDescent="0.25">
      <c r="A5102" t="s">
        <v>68</v>
      </c>
      <c r="B5102" t="s">
        <v>115</v>
      </c>
      <c r="C5102" t="b">
        <v>1</v>
      </c>
      <c r="D5102" s="1">
        <v>42766</v>
      </c>
      <c r="E5102">
        <v>5</v>
      </c>
      <c r="F5102"/>
      <c r="G5102"/>
      <c r="H5102"/>
      <c r="I5102"/>
      <c r="J5102"/>
      <c r="K5102"/>
      <c r="L5102"/>
      <c r="M5102"/>
      <c r="N5102"/>
      <c r="O5102"/>
    </row>
    <row r="5103" spans="1:15" hidden="1" x14ac:dyDescent="0.25">
      <c r="A5103" t="s">
        <v>69</v>
      </c>
      <c r="B5103" t="s">
        <v>115</v>
      </c>
      <c r="C5103" t="b">
        <v>1</v>
      </c>
      <c r="D5103" s="1">
        <v>42766</v>
      </c>
      <c r="E5103">
        <v>5</v>
      </c>
      <c r="F5103"/>
      <c r="G5103"/>
      <c r="H5103"/>
      <c r="I5103"/>
      <c r="J5103"/>
      <c r="K5103"/>
      <c r="L5103"/>
      <c r="M5103"/>
      <c r="N5103"/>
      <c r="O5103"/>
    </row>
    <row r="5104" spans="1:15" hidden="1" x14ac:dyDescent="0.25">
      <c r="A5104" t="s">
        <v>75</v>
      </c>
      <c r="B5104" t="s">
        <v>115</v>
      </c>
      <c r="C5104" t="b">
        <v>1</v>
      </c>
      <c r="D5104" s="1">
        <v>42766</v>
      </c>
      <c r="E5104">
        <v>5</v>
      </c>
      <c r="F5104"/>
      <c r="G5104"/>
      <c r="H5104"/>
      <c r="I5104"/>
      <c r="J5104"/>
      <c r="K5104"/>
      <c r="L5104"/>
      <c r="M5104"/>
      <c r="N5104"/>
      <c r="O5104"/>
    </row>
    <row r="5105" spans="1:15" hidden="1" x14ac:dyDescent="0.25">
      <c r="A5105" t="s">
        <v>76</v>
      </c>
      <c r="B5105" t="s">
        <v>115</v>
      </c>
      <c r="C5105" t="b">
        <v>1</v>
      </c>
      <c r="D5105" s="1">
        <v>42766</v>
      </c>
      <c r="E5105">
        <v>1E-3</v>
      </c>
      <c r="F5105"/>
      <c r="G5105"/>
      <c r="H5105"/>
      <c r="I5105"/>
      <c r="J5105"/>
      <c r="K5105"/>
      <c r="L5105"/>
      <c r="M5105"/>
      <c r="N5105"/>
      <c r="O5105"/>
    </row>
    <row r="5106" spans="1:15" hidden="1" x14ac:dyDescent="0.25">
      <c r="A5106" t="s">
        <v>82</v>
      </c>
      <c r="B5106" t="s">
        <v>115</v>
      </c>
      <c r="C5106" t="b">
        <v>1</v>
      </c>
      <c r="D5106" s="1">
        <v>42766</v>
      </c>
      <c r="E5106">
        <v>5</v>
      </c>
      <c r="F5106"/>
      <c r="G5106"/>
      <c r="H5106"/>
      <c r="I5106"/>
      <c r="J5106"/>
      <c r="K5106"/>
      <c r="L5106"/>
      <c r="M5106"/>
      <c r="N5106"/>
      <c r="O5106"/>
    </row>
    <row r="5107" spans="1:15" hidden="1" x14ac:dyDescent="0.25">
      <c r="A5107" t="s">
        <v>84</v>
      </c>
      <c r="B5107" t="s">
        <v>115</v>
      </c>
      <c r="C5107" t="b">
        <v>1</v>
      </c>
      <c r="D5107" s="1">
        <v>42766</v>
      </c>
      <c r="E5107">
        <v>5</v>
      </c>
      <c r="F5107"/>
      <c r="G5107"/>
      <c r="H5107"/>
      <c r="I5107"/>
      <c r="J5107"/>
      <c r="K5107"/>
      <c r="L5107"/>
      <c r="M5107"/>
      <c r="N5107"/>
      <c r="O5107"/>
    </row>
    <row r="5108" spans="1:15" hidden="1" x14ac:dyDescent="0.25">
      <c r="A5108" t="s">
        <v>88</v>
      </c>
      <c r="B5108" t="s">
        <v>115</v>
      </c>
      <c r="C5108" t="b">
        <v>1</v>
      </c>
      <c r="D5108" s="1">
        <v>42766</v>
      </c>
      <c r="E5108">
        <v>5</v>
      </c>
      <c r="F5108"/>
      <c r="G5108"/>
      <c r="H5108"/>
      <c r="I5108"/>
      <c r="J5108"/>
      <c r="K5108"/>
      <c r="L5108"/>
      <c r="M5108"/>
      <c r="N5108"/>
      <c r="O5108"/>
    </row>
    <row r="5109" spans="1:15" hidden="1" x14ac:dyDescent="0.25">
      <c r="A5109" t="s">
        <v>87</v>
      </c>
      <c r="B5109" t="s">
        <v>115</v>
      </c>
      <c r="C5109" t="b">
        <v>1</v>
      </c>
      <c r="D5109" s="1">
        <v>42766</v>
      </c>
      <c r="E5109">
        <v>5</v>
      </c>
      <c r="F5109"/>
      <c r="G5109"/>
      <c r="H5109"/>
      <c r="I5109"/>
      <c r="J5109"/>
      <c r="K5109"/>
      <c r="L5109"/>
      <c r="M5109"/>
      <c r="N5109"/>
      <c r="O5109"/>
    </row>
    <row r="5110" spans="1:15" hidden="1" x14ac:dyDescent="0.25">
      <c r="A5110" t="s">
        <v>94</v>
      </c>
      <c r="B5110" t="s">
        <v>115</v>
      </c>
      <c r="C5110" t="b">
        <v>1</v>
      </c>
      <c r="D5110" s="1">
        <v>42766</v>
      </c>
      <c r="E5110">
        <v>5</v>
      </c>
      <c r="F5110"/>
      <c r="G5110"/>
      <c r="H5110"/>
      <c r="I5110"/>
      <c r="J5110"/>
      <c r="K5110"/>
      <c r="L5110"/>
      <c r="M5110"/>
      <c r="N5110"/>
      <c r="O5110"/>
    </row>
    <row r="5111" spans="1:15" hidden="1" x14ac:dyDescent="0.25">
      <c r="A5111" t="s">
        <v>96</v>
      </c>
      <c r="B5111" t="s">
        <v>115</v>
      </c>
      <c r="C5111" t="b">
        <v>1</v>
      </c>
      <c r="D5111" s="1">
        <v>42766</v>
      </c>
      <c r="E5111">
        <v>5</v>
      </c>
      <c r="F5111"/>
      <c r="G5111"/>
      <c r="H5111"/>
      <c r="I5111"/>
      <c r="J5111"/>
      <c r="K5111"/>
      <c r="L5111"/>
      <c r="M5111"/>
      <c r="N5111"/>
      <c r="O5111"/>
    </row>
    <row r="5112" spans="1:15" hidden="1" x14ac:dyDescent="0.25">
      <c r="A5112" t="s">
        <v>98</v>
      </c>
      <c r="B5112" t="s">
        <v>115</v>
      </c>
      <c r="C5112" t="b">
        <v>1</v>
      </c>
      <c r="D5112" s="1">
        <v>42766</v>
      </c>
      <c r="E5112">
        <v>5</v>
      </c>
      <c r="F5112"/>
      <c r="G5112"/>
      <c r="H5112"/>
      <c r="I5112"/>
      <c r="J5112"/>
      <c r="K5112"/>
      <c r="L5112"/>
      <c r="M5112"/>
      <c r="N5112"/>
      <c r="O5112"/>
    </row>
    <row r="5113" spans="1:15" hidden="1" x14ac:dyDescent="0.25">
      <c r="A5113" t="s">
        <v>97</v>
      </c>
      <c r="B5113" t="s">
        <v>115</v>
      </c>
      <c r="C5113" t="b">
        <v>1</v>
      </c>
      <c r="D5113" s="1">
        <v>42766</v>
      </c>
      <c r="E5113">
        <v>5</v>
      </c>
      <c r="F5113"/>
      <c r="G5113"/>
      <c r="H5113"/>
      <c r="I5113"/>
      <c r="J5113"/>
      <c r="K5113"/>
      <c r="L5113"/>
      <c r="M5113"/>
      <c r="N5113"/>
      <c r="O5113"/>
    </row>
    <row r="5114" spans="1:15" hidden="1" x14ac:dyDescent="0.25">
      <c r="A5114" t="s">
        <v>99</v>
      </c>
      <c r="B5114" t="s">
        <v>114</v>
      </c>
      <c r="C5114" t="b">
        <v>1</v>
      </c>
      <c r="D5114" s="1">
        <v>42766</v>
      </c>
      <c r="E5114">
        <v>27.25</v>
      </c>
      <c r="F5114"/>
      <c r="G5114"/>
      <c r="H5114"/>
      <c r="I5114"/>
      <c r="J5114"/>
      <c r="K5114"/>
      <c r="L5114"/>
      <c r="M5114"/>
      <c r="N5114"/>
      <c r="O5114"/>
    </row>
    <row r="5115" spans="1:15" hidden="1" x14ac:dyDescent="0.25">
      <c r="A5115" t="s">
        <v>100</v>
      </c>
      <c r="B5115" t="s">
        <v>117</v>
      </c>
      <c r="C5115" t="b">
        <v>0</v>
      </c>
      <c r="D5115" s="1">
        <v>42794</v>
      </c>
      <c r="E5115" s="2">
        <v>-59.94</v>
      </c>
      <c r="F5115"/>
      <c r="G5115"/>
      <c r="H5115"/>
      <c r="I5115"/>
      <c r="J5115"/>
      <c r="K5115"/>
      <c r="L5115"/>
      <c r="M5115"/>
      <c r="N5115"/>
      <c r="O5115"/>
    </row>
    <row r="5116" spans="1:15" hidden="1" x14ac:dyDescent="0.25">
      <c r="A5116" t="s">
        <v>104</v>
      </c>
      <c r="B5116" t="s">
        <v>117</v>
      </c>
      <c r="C5116" t="b">
        <v>0</v>
      </c>
      <c r="D5116" s="1">
        <v>42794</v>
      </c>
      <c r="E5116" s="2">
        <v>-5</v>
      </c>
      <c r="F5116"/>
      <c r="G5116"/>
      <c r="H5116"/>
      <c r="I5116"/>
      <c r="J5116"/>
      <c r="K5116"/>
      <c r="L5116"/>
      <c r="M5116"/>
      <c r="N5116"/>
      <c r="O5116"/>
    </row>
    <row r="5117" spans="1:15" hidden="1" x14ac:dyDescent="0.25">
      <c r="A5117" t="s">
        <v>102</v>
      </c>
      <c r="B5117" t="s">
        <v>117</v>
      </c>
      <c r="C5117" t="b">
        <v>0</v>
      </c>
      <c r="D5117" s="1">
        <v>42794</v>
      </c>
      <c r="E5117" s="2">
        <v>-35.950000000000003</v>
      </c>
      <c r="F5117"/>
      <c r="G5117"/>
      <c r="H5117"/>
      <c r="I5117"/>
      <c r="J5117"/>
      <c r="K5117"/>
      <c r="L5117"/>
      <c r="M5117"/>
      <c r="N5117"/>
      <c r="O5117"/>
    </row>
    <row r="5118" spans="1:15" hidden="1" x14ac:dyDescent="0.25">
      <c r="A5118" t="s">
        <v>103</v>
      </c>
      <c r="B5118" t="s">
        <v>117</v>
      </c>
      <c r="C5118" t="b">
        <v>0</v>
      </c>
      <c r="D5118" s="1">
        <v>42794</v>
      </c>
      <c r="E5118" s="2">
        <v>-9</v>
      </c>
      <c r="F5118"/>
      <c r="G5118"/>
      <c r="H5118"/>
      <c r="I5118"/>
      <c r="J5118"/>
      <c r="K5118"/>
      <c r="L5118"/>
      <c r="M5118"/>
      <c r="N5118"/>
      <c r="O5118"/>
    </row>
    <row r="5119" spans="1:15" hidden="1" x14ac:dyDescent="0.25">
      <c r="A5119" t="s">
        <v>47</v>
      </c>
      <c r="B5119" t="s">
        <v>115</v>
      </c>
      <c r="C5119" t="b">
        <v>1</v>
      </c>
      <c r="D5119" s="1">
        <v>42794</v>
      </c>
      <c r="E5119">
        <v>5</v>
      </c>
      <c r="F5119"/>
      <c r="G5119"/>
      <c r="H5119"/>
      <c r="I5119"/>
      <c r="J5119"/>
      <c r="K5119"/>
      <c r="L5119"/>
      <c r="M5119"/>
      <c r="N5119"/>
      <c r="O5119"/>
    </row>
    <row r="5120" spans="1:15" hidden="1" x14ac:dyDescent="0.25">
      <c r="A5120" t="s">
        <v>43</v>
      </c>
      <c r="B5120" t="s">
        <v>115</v>
      </c>
      <c r="C5120" t="b">
        <v>1</v>
      </c>
      <c r="D5120" s="1">
        <v>42794</v>
      </c>
      <c r="E5120">
        <v>5</v>
      </c>
      <c r="F5120"/>
      <c r="G5120"/>
      <c r="H5120"/>
      <c r="I5120"/>
      <c r="J5120"/>
      <c r="K5120"/>
      <c r="L5120"/>
      <c r="M5120"/>
      <c r="N5120"/>
      <c r="O5120"/>
    </row>
    <row r="5121" spans="1:15" hidden="1" x14ac:dyDescent="0.25">
      <c r="A5121" t="s">
        <v>48</v>
      </c>
      <c r="B5121" t="s">
        <v>115</v>
      </c>
      <c r="C5121" t="b">
        <v>1</v>
      </c>
      <c r="D5121" s="1">
        <v>42794</v>
      </c>
      <c r="E5121">
        <v>5</v>
      </c>
      <c r="F5121"/>
      <c r="G5121"/>
      <c r="H5121"/>
      <c r="I5121"/>
      <c r="J5121"/>
      <c r="K5121"/>
      <c r="L5121"/>
      <c r="M5121"/>
      <c r="N5121"/>
      <c r="O5121"/>
    </row>
    <row r="5122" spans="1:15" hidden="1" x14ac:dyDescent="0.25">
      <c r="A5122" t="s">
        <v>49</v>
      </c>
      <c r="B5122" t="s">
        <v>115</v>
      </c>
      <c r="C5122" t="b">
        <v>1</v>
      </c>
      <c r="D5122" s="1">
        <v>42794</v>
      </c>
      <c r="E5122">
        <v>5</v>
      </c>
      <c r="F5122"/>
      <c r="G5122"/>
      <c r="H5122"/>
      <c r="I5122"/>
      <c r="J5122"/>
      <c r="K5122"/>
      <c r="L5122"/>
      <c r="M5122"/>
      <c r="N5122"/>
      <c r="O5122"/>
    </row>
    <row r="5123" spans="1:15" hidden="1" x14ac:dyDescent="0.25">
      <c r="A5123" t="s">
        <v>50</v>
      </c>
      <c r="B5123" t="s">
        <v>115</v>
      </c>
      <c r="C5123" t="b">
        <v>1</v>
      </c>
      <c r="D5123" s="1">
        <v>42794</v>
      </c>
      <c r="E5123">
        <v>5</v>
      </c>
      <c r="F5123"/>
      <c r="G5123"/>
      <c r="H5123"/>
      <c r="I5123"/>
      <c r="J5123"/>
      <c r="K5123"/>
      <c r="L5123"/>
      <c r="M5123"/>
      <c r="N5123"/>
      <c r="O5123"/>
    </row>
    <row r="5124" spans="1:15" hidden="1" x14ac:dyDescent="0.25">
      <c r="A5124" t="s">
        <v>51</v>
      </c>
      <c r="B5124" t="s">
        <v>115</v>
      </c>
      <c r="C5124" t="b">
        <v>1</v>
      </c>
      <c r="D5124" s="1">
        <v>42794</v>
      </c>
      <c r="E5124">
        <v>5</v>
      </c>
      <c r="F5124"/>
      <c r="G5124"/>
      <c r="H5124"/>
      <c r="I5124"/>
      <c r="J5124"/>
      <c r="K5124"/>
      <c r="L5124"/>
      <c r="M5124"/>
      <c r="N5124"/>
      <c r="O5124"/>
    </row>
    <row r="5125" spans="1:15" hidden="1" x14ac:dyDescent="0.25">
      <c r="A5125" t="s">
        <v>52</v>
      </c>
      <c r="B5125" t="s">
        <v>115</v>
      </c>
      <c r="C5125" t="b">
        <v>1</v>
      </c>
      <c r="D5125" s="1">
        <v>42794</v>
      </c>
      <c r="E5125">
        <v>5</v>
      </c>
      <c r="F5125"/>
      <c r="G5125"/>
      <c r="H5125"/>
      <c r="I5125"/>
      <c r="J5125"/>
      <c r="K5125"/>
      <c r="L5125"/>
      <c r="M5125"/>
      <c r="N5125"/>
      <c r="O5125"/>
    </row>
    <row r="5126" spans="1:15" hidden="1" x14ac:dyDescent="0.25">
      <c r="A5126" t="s">
        <v>54</v>
      </c>
      <c r="B5126" t="s">
        <v>115</v>
      </c>
      <c r="C5126" t="b">
        <v>1</v>
      </c>
      <c r="D5126" s="1">
        <v>42794</v>
      </c>
      <c r="E5126">
        <v>5</v>
      </c>
      <c r="F5126"/>
      <c r="G5126"/>
      <c r="H5126"/>
      <c r="I5126"/>
      <c r="J5126"/>
      <c r="K5126"/>
      <c r="L5126"/>
      <c r="M5126"/>
      <c r="N5126"/>
      <c r="O5126"/>
    </row>
    <row r="5127" spans="1:15" hidden="1" x14ac:dyDescent="0.25">
      <c r="A5127" t="s">
        <v>55</v>
      </c>
      <c r="B5127" t="s">
        <v>115</v>
      </c>
      <c r="C5127" t="b">
        <v>1</v>
      </c>
      <c r="D5127" s="1">
        <v>42794</v>
      </c>
      <c r="E5127">
        <v>5</v>
      </c>
      <c r="F5127"/>
      <c r="G5127"/>
      <c r="H5127"/>
      <c r="I5127"/>
      <c r="J5127"/>
      <c r="K5127"/>
      <c r="L5127"/>
      <c r="M5127"/>
      <c r="N5127"/>
      <c r="O5127"/>
    </row>
    <row r="5128" spans="1:15" hidden="1" x14ac:dyDescent="0.25">
      <c r="A5128" t="s">
        <v>58</v>
      </c>
      <c r="B5128" t="s">
        <v>115</v>
      </c>
      <c r="C5128" t="b">
        <v>1</v>
      </c>
      <c r="D5128" s="1">
        <v>42794</v>
      </c>
      <c r="E5128">
        <v>5</v>
      </c>
      <c r="F5128"/>
      <c r="G5128"/>
      <c r="H5128"/>
      <c r="I5128"/>
      <c r="J5128"/>
      <c r="K5128"/>
      <c r="L5128"/>
      <c r="M5128"/>
      <c r="N5128"/>
      <c r="O5128"/>
    </row>
    <row r="5129" spans="1:15" hidden="1" x14ac:dyDescent="0.25">
      <c r="A5129" t="s">
        <v>65</v>
      </c>
      <c r="B5129" t="s">
        <v>115</v>
      </c>
      <c r="C5129" t="b">
        <v>1</v>
      </c>
      <c r="D5129" s="1">
        <v>42794</v>
      </c>
      <c r="E5129">
        <v>5</v>
      </c>
      <c r="F5129"/>
      <c r="G5129"/>
      <c r="H5129"/>
      <c r="I5129"/>
      <c r="J5129"/>
      <c r="K5129"/>
      <c r="L5129"/>
      <c r="M5129"/>
      <c r="N5129"/>
      <c r="O5129"/>
    </row>
    <row r="5130" spans="1:15" hidden="1" x14ac:dyDescent="0.25">
      <c r="A5130" t="s">
        <v>66</v>
      </c>
      <c r="B5130" t="s">
        <v>115</v>
      </c>
      <c r="C5130" t="b">
        <v>0</v>
      </c>
      <c r="D5130" s="1">
        <v>42794</v>
      </c>
      <c r="E5130">
        <v>0</v>
      </c>
      <c r="F5130"/>
      <c r="G5130"/>
      <c r="H5130"/>
      <c r="I5130"/>
      <c r="J5130"/>
      <c r="K5130"/>
      <c r="L5130"/>
      <c r="M5130"/>
      <c r="N5130"/>
      <c r="O5130"/>
    </row>
    <row r="5131" spans="1:15" hidden="1" x14ac:dyDescent="0.25">
      <c r="A5131" t="s">
        <v>68</v>
      </c>
      <c r="B5131" t="s">
        <v>115</v>
      </c>
      <c r="C5131" t="b">
        <v>1</v>
      </c>
      <c r="D5131" s="1">
        <v>42794</v>
      </c>
      <c r="E5131">
        <v>5</v>
      </c>
      <c r="F5131"/>
      <c r="G5131"/>
      <c r="H5131"/>
      <c r="I5131"/>
      <c r="J5131"/>
      <c r="K5131"/>
      <c r="L5131"/>
      <c r="M5131"/>
      <c r="N5131"/>
      <c r="O5131"/>
    </row>
    <row r="5132" spans="1:15" hidden="1" x14ac:dyDescent="0.25">
      <c r="A5132" t="s">
        <v>69</v>
      </c>
      <c r="B5132" t="s">
        <v>115</v>
      </c>
      <c r="C5132" t="b">
        <v>1</v>
      </c>
      <c r="D5132" s="1">
        <v>42794</v>
      </c>
      <c r="E5132">
        <v>5</v>
      </c>
      <c r="F5132"/>
      <c r="G5132"/>
      <c r="H5132"/>
      <c r="I5132"/>
      <c r="J5132"/>
      <c r="K5132"/>
      <c r="L5132"/>
      <c r="M5132"/>
      <c r="N5132"/>
      <c r="O5132"/>
    </row>
    <row r="5133" spans="1:15" hidden="1" x14ac:dyDescent="0.25">
      <c r="A5133" t="s">
        <v>75</v>
      </c>
      <c r="B5133" t="s">
        <v>115</v>
      </c>
      <c r="C5133" t="b">
        <v>1</v>
      </c>
      <c r="D5133" s="1">
        <v>42794</v>
      </c>
      <c r="E5133">
        <v>5</v>
      </c>
      <c r="F5133"/>
      <c r="G5133"/>
      <c r="H5133"/>
      <c r="I5133"/>
      <c r="J5133"/>
      <c r="K5133"/>
      <c r="L5133"/>
      <c r="M5133"/>
      <c r="N5133"/>
      <c r="O5133"/>
    </row>
    <row r="5134" spans="1:15" hidden="1" x14ac:dyDescent="0.25">
      <c r="A5134" t="s">
        <v>76</v>
      </c>
      <c r="B5134" t="s">
        <v>115</v>
      </c>
      <c r="C5134" t="b">
        <v>1</v>
      </c>
      <c r="D5134" s="1">
        <v>42794</v>
      </c>
      <c r="E5134">
        <v>1E-3</v>
      </c>
      <c r="F5134"/>
      <c r="G5134"/>
      <c r="H5134"/>
      <c r="I5134"/>
      <c r="J5134"/>
      <c r="K5134"/>
      <c r="L5134"/>
      <c r="M5134"/>
      <c r="N5134"/>
      <c r="O5134"/>
    </row>
    <row r="5135" spans="1:15" hidden="1" x14ac:dyDescent="0.25">
      <c r="A5135" t="s">
        <v>82</v>
      </c>
      <c r="B5135" t="s">
        <v>115</v>
      </c>
      <c r="C5135" t="b">
        <v>1</v>
      </c>
      <c r="D5135" s="1">
        <v>42794</v>
      </c>
      <c r="E5135">
        <v>5</v>
      </c>
      <c r="F5135"/>
      <c r="G5135"/>
      <c r="H5135"/>
      <c r="I5135"/>
      <c r="J5135"/>
      <c r="K5135"/>
      <c r="L5135"/>
      <c r="M5135"/>
      <c r="N5135"/>
      <c r="O5135"/>
    </row>
    <row r="5136" spans="1:15" hidden="1" x14ac:dyDescent="0.25">
      <c r="A5136" t="s">
        <v>84</v>
      </c>
      <c r="B5136" t="s">
        <v>115</v>
      </c>
      <c r="C5136" t="b">
        <v>1</v>
      </c>
      <c r="D5136" s="1">
        <v>42794</v>
      </c>
      <c r="E5136">
        <v>5</v>
      </c>
      <c r="F5136"/>
      <c r="G5136"/>
      <c r="H5136"/>
      <c r="I5136"/>
      <c r="J5136"/>
      <c r="K5136"/>
      <c r="L5136"/>
      <c r="M5136"/>
      <c r="N5136"/>
      <c r="O5136"/>
    </row>
    <row r="5137" spans="1:15" hidden="1" x14ac:dyDescent="0.25">
      <c r="A5137" t="s">
        <v>88</v>
      </c>
      <c r="B5137" t="s">
        <v>115</v>
      </c>
      <c r="C5137" t="b">
        <v>1</v>
      </c>
      <c r="D5137" s="1">
        <v>42794</v>
      </c>
      <c r="E5137">
        <v>5</v>
      </c>
      <c r="F5137"/>
      <c r="G5137"/>
      <c r="H5137"/>
      <c r="I5137"/>
      <c r="J5137"/>
      <c r="K5137"/>
      <c r="L5137"/>
      <c r="M5137"/>
      <c r="N5137"/>
      <c r="O5137"/>
    </row>
    <row r="5138" spans="1:15" hidden="1" x14ac:dyDescent="0.25">
      <c r="A5138" t="s">
        <v>87</v>
      </c>
      <c r="B5138" t="s">
        <v>115</v>
      </c>
      <c r="C5138" t="b">
        <v>1</v>
      </c>
      <c r="D5138" s="1">
        <v>42794</v>
      </c>
      <c r="E5138">
        <v>5</v>
      </c>
      <c r="F5138"/>
      <c r="G5138"/>
      <c r="H5138"/>
      <c r="I5138"/>
      <c r="J5138"/>
      <c r="K5138"/>
      <c r="L5138"/>
      <c r="M5138"/>
      <c r="N5138"/>
      <c r="O5138"/>
    </row>
    <row r="5139" spans="1:15" hidden="1" x14ac:dyDescent="0.25">
      <c r="A5139" t="s">
        <v>94</v>
      </c>
      <c r="B5139" t="s">
        <v>115</v>
      </c>
      <c r="C5139" t="b">
        <v>1</v>
      </c>
      <c r="D5139" s="1">
        <v>42794</v>
      </c>
      <c r="E5139">
        <v>5</v>
      </c>
      <c r="F5139"/>
      <c r="G5139"/>
      <c r="H5139"/>
      <c r="I5139"/>
      <c r="J5139"/>
      <c r="K5139"/>
      <c r="L5139"/>
      <c r="M5139"/>
      <c r="N5139"/>
      <c r="O5139"/>
    </row>
    <row r="5140" spans="1:15" hidden="1" x14ac:dyDescent="0.25">
      <c r="A5140" t="s">
        <v>96</v>
      </c>
      <c r="B5140" t="s">
        <v>115</v>
      </c>
      <c r="C5140" t="b">
        <v>1</v>
      </c>
      <c r="D5140" s="1">
        <v>42794</v>
      </c>
      <c r="E5140">
        <v>5</v>
      </c>
      <c r="F5140"/>
      <c r="G5140"/>
      <c r="H5140"/>
      <c r="I5140"/>
      <c r="J5140"/>
      <c r="K5140"/>
      <c r="L5140"/>
      <c r="M5140"/>
      <c r="N5140"/>
      <c r="O5140"/>
    </row>
    <row r="5141" spans="1:15" hidden="1" x14ac:dyDescent="0.25">
      <c r="A5141" t="s">
        <v>98</v>
      </c>
      <c r="B5141" t="s">
        <v>115</v>
      </c>
      <c r="C5141" t="b">
        <v>1</v>
      </c>
      <c r="D5141" s="1">
        <v>42794</v>
      </c>
      <c r="E5141">
        <v>5</v>
      </c>
      <c r="F5141"/>
      <c r="G5141"/>
      <c r="H5141"/>
      <c r="I5141"/>
      <c r="J5141"/>
      <c r="K5141"/>
      <c r="L5141"/>
      <c r="M5141"/>
      <c r="N5141"/>
      <c r="O5141"/>
    </row>
    <row r="5142" spans="1:15" hidden="1" x14ac:dyDescent="0.25">
      <c r="A5142" t="s">
        <v>97</v>
      </c>
      <c r="B5142" t="s">
        <v>115</v>
      </c>
      <c r="C5142" t="b">
        <v>1</v>
      </c>
      <c r="D5142" s="1">
        <v>42794</v>
      </c>
      <c r="E5142">
        <v>5</v>
      </c>
      <c r="F5142"/>
      <c r="G5142"/>
      <c r="H5142"/>
      <c r="I5142"/>
      <c r="J5142"/>
      <c r="K5142"/>
      <c r="L5142"/>
      <c r="M5142"/>
      <c r="N5142"/>
      <c r="O5142"/>
    </row>
    <row r="5143" spans="1:15" hidden="1" x14ac:dyDescent="0.25">
      <c r="A5143" t="s">
        <v>99</v>
      </c>
      <c r="B5143" t="s">
        <v>114</v>
      </c>
      <c r="C5143" t="b">
        <v>1</v>
      </c>
      <c r="D5143" s="1">
        <v>42794</v>
      </c>
      <c r="E5143">
        <v>25.6</v>
      </c>
      <c r="F5143"/>
      <c r="G5143"/>
      <c r="H5143"/>
      <c r="I5143"/>
      <c r="J5143"/>
      <c r="K5143"/>
      <c r="L5143"/>
      <c r="M5143"/>
      <c r="N5143"/>
      <c r="O5143"/>
    </row>
    <row r="5144" spans="1:15" hidden="1" x14ac:dyDescent="0.25">
      <c r="A5144" t="s">
        <v>100</v>
      </c>
      <c r="B5144" t="s">
        <v>117</v>
      </c>
      <c r="C5144" t="b">
        <v>0</v>
      </c>
      <c r="D5144" s="1">
        <v>42825</v>
      </c>
      <c r="E5144" s="2">
        <v>-59.94</v>
      </c>
      <c r="F5144"/>
      <c r="G5144"/>
      <c r="H5144"/>
      <c r="I5144"/>
      <c r="J5144"/>
      <c r="K5144"/>
      <c r="L5144"/>
      <c r="M5144"/>
      <c r="N5144"/>
      <c r="O5144"/>
    </row>
    <row r="5145" spans="1:15" hidden="1" x14ac:dyDescent="0.25">
      <c r="A5145" t="s">
        <v>104</v>
      </c>
      <c r="B5145" t="s">
        <v>117</v>
      </c>
      <c r="C5145" t="b">
        <v>0</v>
      </c>
      <c r="D5145" s="1">
        <v>42825</v>
      </c>
      <c r="E5145" s="2">
        <v>-10</v>
      </c>
      <c r="F5145"/>
      <c r="G5145"/>
      <c r="H5145"/>
      <c r="I5145"/>
      <c r="J5145"/>
      <c r="K5145"/>
      <c r="L5145"/>
      <c r="M5145"/>
      <c r="N5145"/>
      <c r="O5145"/>
    </row>
    <row r="5146" spans="1:15" hidden="1" x14ac:dyDescent="0.25">
      <c r="A5146" t="s">
        <v>102</v>
      </c>
      <c r="B5146" t="s">
        <v>117</v>
      </c>
      <c r="C5146" t="b">
        <v>0</v>
      </c>
      <c r="D5146" s="1">
        <v>42825</v>
      </c>
      <c r="E5146" s="2">
        <v>-35.950000000000003</v>
      </c>
      <c r="F5146"/>
      <c r="G5146"/>
      <c r="H5146"/>
      <c r="I5146"/>
      <c r="J5146"/>
      <c r="K5146"/>
      <c r="L5146"/>
      <c r="M5146"/>
      <c r="N5146"/>
      <c r="O5146"/>
    </row>
    <row r="5147" spans="1:15" hidden="1" x14ac:dyDescent="0.25">
      <c r="A5147" t="s">
        <v>47</v>
      </c>
      <c r="B5147" t="s">
        <v>115</v>
      </c>
      <c r="C5147" t="b">
        <v>1</v>
      </c>
      <c r="D5147" s="1">
        <v>42825</v>
      </c>
      <c r="E5147">
        <v>5</v>
      </c>
      <c r="F5147"/>
      <c r="G5147"/>
      <c r="H5147"/>
      <c r="I5147"/>
      <c r="J5147"/>
      <c r="K5147"/>
      <c r="L5147"/>
      <c r="M5147"/>
      <c r="N5147"/>
      <c r="O5147"/>
    </row>
    <row r="5148" spans="1:15" hidden="1" x14ac:dyDescent="0.25">
      <c r="A5148" t="s">
        <v>43</v>
      </c>
      <c r="B5148" t="s">
        <v>115</v>
      </c>
      <c r="C5148" t="b">
        <v>1</v>
      </c>
      <c r="D5148" s="1">
        <v>42825</v>
      </c>
      <c r="E5148">
        <v>5</v>
      </c>
      <c r="F5148"/>
      <c r="G5148"/>
      <c r="H5148"/>
      <c r="I5148"/>
      <c r="J5148"/>
      <c r="K5148"/>
      <c r="L5148"/>
      <c r="M5148"/>
      <c r="N5148"/>
      <c r="O5148"/>
    </row>
    <row r="5149" spans="1:15" hidden="1" x14ac:dyDescent="0.25">
      <c r="A5149" t="s">
        <v>48</v>
      </c>
      <c r="B5149" t="s">
        <v>115</v>
      </c>
      <c r="C5149" t="b">
        <v>1</v>
      </c>
      <c r="D5149" s="1">
        <v>42825</v>
      </c>
      <c r="E5149">
        <v>5</v>
      </c>
      <c r="F5149"/>
      <c r="G5149"/>
      <c r="H5149"/>
      <c r="I5149"/>
      <c r="J5149"/>
      <c r="K5149"/>
      <c r="L5149"/>
      <c r="M5149"/>
      <c r="N5149"/>
      <c r="O5149"/>
    </row>
    <row r="5150" spans="1:15" hidden="1" x14ac:dyDescent="0.25">
      <c r="A5150" t="s">
        <v>49</v>
      </c>
      <c r="B5150" t="s">
        <v>115</v>
      </c>
      <c r="C5150" t="b">
        <v>1</v>
      </c>
      <c r="D5150" s="1">
        <v>42825</v>
      </c>
      <c r="E5150">
        <v>5</v>
      </c>
      <c r="F5150"/>
      <c r="G5150"/>
      <c r="H5150"/>
      <c r="I5150"/>
      <c r="J5150"/>
      <c r="K5150"/>
      <c r="L5150"/>
      <c r="M5150"/>
      <c r="N5150"/>
      <c r="O5150"/>
    </row>
    <row r="5151" spans="1:15" hidden="1" x14ac:dyDescent="0.25">
      <c r="A5151" t="s">
        <v>50</v>
      </c>
      <c r="B5151" t="s">
        <v>115</v>
      </c>
      <c r="C5151" t="b">
        <v>1</v>
      </c>
      <c r="D5151" s="1">
        <v>42825</v>
      </c>
      <c r="E5151">
        <v>5</v>
      </c>
      <c r="F5151"/>
      <c r="G5151"/>
      <c r="H5151"/>
      <c r="I5151"/>
      <c r="J5151"/>
      <c r="K5151"/>
      <c r="L5151"/>
      <c r="M5151"/>
      <c r="N5151"/>
      <c r="O5151"/>
    </row>
    <row r="5152" spans="1:15" hidden="1" x14ac:dyDescent="0.25">
      <c r="A5152" t="s">
        <v>51</v>
      </c>
      <c r="B5152" t="s">
        <v>115</v>
      </c>
      <c r="C5152" t="b">
        <v>1</v>
      </c>
      <c r="D5152" s="1">
        <v>42825</v>
      </c>
      <c r="E5152">
        <v>5</v>
      </c>
      <c r="F5152"/>
      <c r="G5152"/>
      <c r="H5152"/>
      <c r="I5152"/>
      <c r="J5152"/>
      <c r="K5152"/>
      <c r="L5152"/>
      <c r="M5152"/>
      <c r="N5152"/>
      <c r="O5152"/>
    </row>
    <row r="5153" spans="1:15" hidden="1" x14ac:dyDescent="0.25">
      <c r="A5153" t="s">
        <v>52</v>
      </c>
      <c r="B5153" t="s">
        <v>115</v>
      </c>
      <c r="C5153" t="b">
        <v>1</v>
      </c>
      <c r="D5153" s="1">
        <v>42825</v>
      </c>
      <c r="E5153">
        <v>5</v>
      </c>
      <c r="F5153"/>
      <c r="G5153"/>
      <c r="H5153"/>
      <c r="I5153"/>
      <c r="J5153"/>
      <c r="K5153"/>
      <c r="L5153"/>
      <c r="M5153"/>
      <c r="N5153"/>
      <c r="O5153"/>
    </row>
    <row r="5154" spans="1:15" hidden="1" x14ac:dyDescent="0.25">
      <c r="A5154" t="s">
        <v>54</v>
      </c>
      <c r="B5154" t="s">
        <v>115</v>
      </c>
      <c r="C5154" t="b">
        <v>1</v>
      </c>
      <c r="D5154" s="1">
        <v>42825</v>
      </c>
      <c r="E5154">
        <v>5</v>
      </c>
      <c r="F5154"/>
      <c r="G5154"/>
      <c r="H5154"/>
      <c r="I5154"/>
      <c r="J5154"/>
      <c r="K5154"/>
      <c r="L5154"/>
      <c r="M5154"/>
      <c r="N5154"/>
      <c r="O5154"/>
    </row>
    <row r="5155" spans="1:15" hidden="1" x14ac:dyDescent="0.25">
      <c r="A5155" t="s">
        <v>55</v>
      </c>
      <c r="B5155" t="s">
        <v>115</v>
      </c>
      <c r="C5155" t="b">
        <v>1</v>
      </c>
      <c r="D5155" s="1">
        <v>42825</v>
      </c>
      <c r="E5155">
        <v>5</v>
      </c>
      <c r="F5155"/>
      <c r="G5155"/>
      <c r="H5155"/>
      <c r="I5155"/>
      <c r="J5155"/>
      <c r="K5155"/>
      <c r="L5155"/>
      <c r="M5155"/>
      <c r="N5155"/>
      <c r="O5155"/>
    </row>
    <row r="5156" spans="1:15" hidden="1" x14ac:dyDescent="0.25">
      <c r="A5156" t="s">
        <v>58</v>
      </c>
      <c r="B5156" t="s">
        <v>115</v>
      </c>
      <c r="C5156" t="b">
        <v>1</v>
      </c>
      <c r="D5156" s="1">
        <v>42825</v>
      </c>
      <c r="E5156">
        <v>5</v>
      </c>
      <c r="F5156"/>
      <c r="G5156"/>
      <c r="H5156"/>
      <c r="I5156"/>
      <c r="J5156"/>
      <c r="K5156"/>
      <c r="L5156"/>
      <c r="M5156"/>
      <c r="N5156"/>
      <c r="O5156"/>
    </row>
    <row r="5157" spans="1:15" hidden="1" x14ac:dyDescent="0.25">
      <c r="A5157" t="s">
        <v>65</v>
      </c>
      <c r="B5157" t="s">
        <v>115</v>
      </c>
      <c r="C5157" t="b">
        <v>1</v>
      </c>
      <c r="D5157" s="1">
        <v>42825</v>
      </c>
      <c r="E5157">
        <v>5</v>
      </c>
      <c r="F5157"/>
      <c r="G5157"/>
      <c r="H5157"/>
      <c r="I5157"/>
      <c r="J5157"/>
      <c r="K5157"/>
      <c r="L5157"/>
      <c r="M5157"/>
      <c r="N5157"/>
      <c r="O5157"/>
    </row>
    <row r="5158" spans="1:15" hidden="1" x14ac:dyDescent="0.25">
      <c r="A5158" t="s">
        <v>66</v>
      </c>
      <c r="B5158" t="s">
        <v>115</v>
      </c>
      <c r="C5158" t="b">
        <v>1</v>
      </c>
      <c r="D5158" s="1">
        <v>42825</v>
      </c>
      <c r="E5158">
        <v>5</v>
      </c>
      <c r="F5158"/>
      <c r="G5158"/>
      <c r="H5158"/>
      <c r="I5158"/>
      <c r="J5158"/>
      <c r="K5158"/>
      <c r="L5158"/>
      <c r="M5158"/>
      <c r="N5158"/>
      <c r="O5158"/>
    </row>
    <row r="5159" spans="1:15" hidden="1" x14ac:dyDescent="0.25">
      <c r="A5159" t="s">
        <v>68</v>
      </c>
      <c r="B5159" t="s">
        <v>115</v>
      </c>
      <c r="C5159" t="b">
        <v>1</v>
      </c>
      <c r="D5159" s="1">
        <v>42825</v>
      </c>
      <c r="E5159">
        <v>5</v>
      </c>
      <c r="F5159"/>
      <c r="G5159"/>
      <c r="H5159"/>
      <c r="I5159"/>
      <c r="J5159"/>
      <c r="K5159"/>
      <c r="L5159"/>
      <c r="M5159"/>
      <c r="N5159"/>
      <c r="O5159"/>
    </row>
    <row r="5160" spans="1:15" hidden="1" x14ac:dyDescent="0.25">
      <c r="A5160" t="s">
        <v>69</v>
      </c>
      <c r="B5160" t="s">
        <v>115</v>
      </c>
      <c r="C5160" t="b">
        <v>1</v>
      </c>
      <c r="D5160" s="1">
        <v>42825</v>
      </c>
      <c r="E5160">
        <v>5</v>
      </c>
      <c r="F5160"/>
      <c r="G5160"/>
      <c r="H5160"/>
      <c r="I5160"/>
      <c r="J5160"/>
      <c r="K5160"/>
      <c r="L5160"/>
      <c r="M5160"/>
      <c r="N5160"/>
      <c r="O5160"/>
    </row>
    <row r="5161" spans="1:15" hidden="1" x14ac:dyDescent="0.25">
      <c r="A5161" t="s">
        <v>75</v>
      </c>
      <c r="B5161" t="s">
        <v>115</v>
      </c>
      <c r="C5161" t="b">
        <v>1</v>
      </c>
      <c r="D5161" s="1">
        <v>42825</v>
      </c>
      <c r="E5161">
        <v>5</v>
      </c>
      <c r="F5161"/>
      <c r="G5161"/>
      <c r="H5161"/>
      <c r="I5161"/>
      <c r="J5161"/>
      <c r="K5161"/>
      <c r="L5161"/>
      <c r="M5161"/>
      <c r="N5161"/>
      <c r="O5161"/>
    </row>
    <row r="5162" spans="1:15" hidden="1" x14ac:dyDescent="0.25">
      <c r="A5162" t="s">
        <v>76</v>
      </c>
      <c r="B5162" t="s">
        <v>115</v>
      </c>
      <c r="C5162" t="b">
        <v>1</v>
      </c>
      <c r="D5162" s="1">
        <v>42825</v>
      </c>
      <c r="E5162">
        <v>1E-3</v>
      </c>
      <c r="F5162"/>
      <c r="G5162"/>
      <c r="H5162"/>
      <c r="I5162"/>
      <c r="J5162"/>
      <c r="K5162"/>
      <c r="L5162"/>
      <c r="M5162"/>
      <c r="N5162"/>
      <c r="O5162"/>
    </row>
    <row r="5163" spans="1:15" hidden="1" x14ac:dyDescent="0.25">
      <c r="A5163" t="s">
        <v>82</v>
      </c>
      <c r="B5163" t="s">
        <v>115</v>
      </c>
      <c r="C5163" t="b">
        <v>1</v>
      </c>
      <c r="D5163" s="1">
        <v>42825</v>
      </c>
      <c r="E5163">
        <v>5</v>
      </c>
      <c r="F5163"/>
      <c r="G5163"/>
      <c r="H5163"/>
      <c r="I5163"/>
      <c r="J5163"/>
      <c r="K5163"/>
      <c r="L5163"/>
      <c r="M5163"/>
      <c r="N5163"/>
      <c r="O5163"/>
    </row>
    <row r="5164" spans="1:15" hidden="1" x14ac:dyDescent="0.25">
      <c r="A5164" t="s">
        <v>84</v>
      </c>
      <c r="B5164" t="s">
        <v>115</v>
      </c>
      <c r="C5164" t="b">
        <v>1</v>
      </c>
      <c r="D5164" s="1">
        <v>42825</v>
      </c>
      <c r="E5164">
        <v>5</v>
      </c>
      <c r="F5164"/>
      <c r="G5164"/>
      <c r="H5164"/>
      <c r="I5164"/>
      <c r="J5164"/>
      <c r="K5164"/>
      <c r="L5164"/>
      <c r="M5164"/>
      <c r="N5164"/>
      <c r="O5164"/>
    </row>
    <row r="5165" spans="1:15" hidden="1" x14ac:dyDescent="0.25">
      <c r="A5165" t="s">
        <v>88</v>
      </c>
      <c r="B5165" t="s">
        <v>115</v>
      </c>
      <c r="C5165" t="b">
        <v>1</v>
      </c>
      <c r="D5165" s="1">
        <v>42825</v>
      </c>
      <c r="E5165">
        <v>5</v>
      </c>
      <c r="F5165"/>
      <c r="G5165"/>
      <c r="H5165"/>
      <c r="I5165"/>
      <c r="J5165"/>
      <c r="K5165"/>
      <c r="L5165"/>
      <c r="M5165"/>
      <c r="N5165"/>
      <c r="O5165"/>
    </row>
    <row r="5166" spans="1:15" hidden="1" x14ac:dyDescent="0.25">
      <c r="A5166" t="s">
        <v>87</v>
      </c>
      <c r="B5166" t="s">
        <v>115</v>
      </c>
      <c r="C5166" t="b">
        <v>1</v>
      </c>
      <c r="D5166" s="1">
        <v>42825</v>
      </c>
      <c r="E5166">
        <v>5</v>
      </c>
      <c r="F5166"/>
      <c r="G5166"/>
      <c r="H5166"/>
      <c r="I5166"/>
      <c r="J5166"/>
      <c r="K5166"/>
      <c r="L5166"/>
      <c r="M5166"/>
      <c r="N5166"/>
      <c r="O5166"/>
    </row>
    <row r="5167" spans="1:15" hidden="1" x14ac:dyDescent="0.25">
      <c r="A5167" t="s">
        <v>94</v>
      </c>
      <c r="B5167" t="s">
        <v>115</v>
      </c>
      <c r="C5167" t="b">
        <v>1</v>
      </c>
      <c r="D5167" s="1">
        <v>42825</v>
      </c>
      <c r="E5167">
        <v>5</v>
      </c>
      <c r="F5167"/>
      <c r="G5167"/>
      <c r="H5167"/>
      <c r="I5167"/>
      <c r="J5167"/>
      <c r="K5167"/>
      <c r="L5167"/>
      <c r="M5167"/>
      <c r="N5167"/>
      <c r="O5167"/>
    </row>
    <row r="5168" spans="1:15" hidden="1" x14ac:dyDescent="0.25">
      <c r="A5168" t="s">
        <v>96</v>
      </c>
      <c r="B5168" t="s">
        <v>115</v>
      </c>
      <c r="C5168" t="b">
        <v>1</v>
      </c>
      <c r="D5168" s="1">
        <v>42825</v>
      </c>
      <c r="E5168">
        <v>5</v>
      </c>
      <c r="F5168"/>
      <c r="G5168"/>
      <c r="H5168"/>
      <c r="I5168"/>
      <c r="J5168"/>
      <c r="K5168"/>
      <c r="L5168"/>
      <c r="M5168"/>
      <c r="N5168"/>
      <c r="O5168"/>
    </row>
    <row r="5169" spans="1:15" hidden="1" x14ac:dyDescent="0.25">
      <c r="A5169" t="s">
        <v>98</v>
      </c>
      <c r="B5169" t="s">
        <v>115</v>
      </c>
      <c r="C5169" t="b">
        <v>1</v>
      </c>
      <c r="D5169" s="1">
        <v>42825</v>
      </c>
      <c r="E5169">
        <v>5</v>
      </c>
      <c r="F5169"/>
      <c r="G5169"/>
      <c r="H5169"/>
      <c r="I5169"/>
      <c r="J5169"/>
      <c r="K5169"/>
      <c r="L5169"/>
      <c r="M5169"/>
      <c r="N5169"/>
      <c r="O5169"/>
    </row>
    <row r="5170" spans="1:15" hidden="1" x14ac:dyDescent="0.25">
      <c r="A5170" t="s">
        <v>97</v>
      </c>
      <c r="B5170" t="s">
        <v>115</v>
      </c>
      <c r="C5170" t="b">
        <v>1</v>
      </c>
      <c r="D5170" s="1">
        <v>42825</v>
      </c>
      <c r="E5170">
        <v>5</v>
      </c>
      <c r="F5170"/>
      <c r="G5170"/>
      <c r="H5170"/>
      <c r="I5170"/>
      <c r="J5170"/>
      <c r="K5170"/>
      <c r="L5170"/>
      <c r="M5170"/>
      <c r="N5170"/>
      <c r="O5170"/>
    </row>
    <row r="5171" spans="1:15" hidden="1" x14ac:dyDescent="0.25">
      <c r="A5171" t="s">
        <v>99</v>
      </c>
      <c r="B5171" t="s">
        <v>114</v>
      </c>
      <c r="C5171" t="b">
        <v>1</v>
      </c>
      <c r="D5171" s="1">
        <v>42825</v>
      </c>
      <c r="E5171">
        <v>34.130000000000003</v>
      </c>
      <c r="F5171"/>
      <c r="G5171"/>
      <c r="H5171"/>
      <c r="I5171"/>
      <c r="J5171"/>
      <c r="K5171"/>
      <c r="L5171"/>
      <c r="M5171"/>
      <c r="N5171"/>
      <c r="O5171"/>
    </row>
    <row r="5172" spans="1:15" hidden="1" x14ac:dyDescent="0.25">
      <c r="A5172" t="s">
        <v>100</v>
      </c>
      <c r="B5172" t="s">
        <v>117</v>
      </c>
      <c r="C5172" t="b">
        <v>0</v>
      </c>
      <c r="D5172" s="1">
        <v>42855</v>
      </c>
      <c r="E5172" s="2">
        <v>-59.94</v>
      </c>
      <c r="F5172"/>
      <c r="G5172"/>
      <c r="H5172"/>
      <c r="I5172"/>
      <c r="J5172"/>
      <c r="K5172"/>
      <c r="L5172"/>
      <c r="M5172"/>
      <c r="N5172"/>
      <c r="O5172"/>
    </row>
    <row r="5173" spans="1:15" hidden="1" x14ac:dyDescent="0.25">
      <c r="A5173" t="s">
        <v>104</v>
      </c>
      <c r="B5173" t="s">
        <v>117</v>
      </c>
      <c r="C5173" t="b">
        <v>0</v>
      </c>
      <c r="D5173" s="1">
        <v>42855</v>
      </c>
      <c r="E5173" s="2">
        <v>-10</v>
      </c>
      <c r="F5173"/>
      <c r="G5173"/>
      <c r="H5173"/>
      <c r="I5173"/>
      <c r="J5173"/>
      <c r="K5173"/>
      <c r="L5173"/>
      <c r="M5173"/>
      <c r="N5173"/>
      <c r="O5173"/>
    </row>
    <row r="5174" spans="1:15" hidden="1" x14ac:dyDescent="0.25">
      <c r="A5174" t="s">
        <v>102</v>
      </c>
      <c r="B5174" t="s">
        <v>117</v>
      </c>
      <c r="C5174" t="b">
        <v>0</v>
      </c>
      <c r="D5174" s="1">
        <v>42855</v>
      </c>
      <c r="E5174" s="2">
        <v>-49.93</v>
      </c>
      <c r="F5174"/>
      <c r="G5174"/>
      <c r="H5174"/>
      <c r="I5174"/>
      <c r="J5174"/>
      <c r="K5174"/>
      <c r="L5174"/>
      <c r="M5174"/>
      <c r="N5174"/>
      <c r="O5174"/>
    </row>
    <row r="5175" spans="1:15" hidden="1" x14ac:dyDescent="0.25">
      <c r="A5175" t="s">
        <v>103</v>
      </c>
      <c r="B5175" t="s">
        <v>117</v>
      </c>
      <c r="C5175" t="b">
        <v>0</v>
      </c>
      <c r="D5175" s="1">
        <v>42855</v>
      </c>
      <c r="E5175" s="2">
        <v>-21.490000000000002</v>
      </c>
      <c r="F5175"/>
      <c r="G5175"/>
      <c r="H5175"/>
      <c r="I5175"/>
      <c r="J5175"/>
      <c r="K5175"/>
      <c r="L5175"/>
      <c r="M5175"/>
      <c r="N5175"/>
      <c r="O5175"/>
    </row>
    <row r="5176" spans="1:15" hidden="1" x14ac:dyDescent="0.25">
      <c r="A5176" t="s">
        <v>101</v>
      </c>
      <c r="B5176" t="s">
        <v>117</v>
      </c>
      <c r="C5176" t="b">
        <v>0</v>
      </c>
      <c r="D5176" s="1">
        <v>42855</v>
      </c>
      <c r="E5176" s="2">
        <v>-5.29</v>
      </c>
      <c r="F5176"/>
      <c r="G5176"/>
      <c r="H5176"/>
      <c r="I5176"/>
      <c r="J5176"/>
      <c r="K5176"/>
      <c r="L5176"/>
      <c r="M5176"/>
      <c r="N5176"/>
      <c r="O5176"/>
    </row>
    <row r="5177" spans="1:15" hidden="1" x14ac:dyDescent="0.25">
      <c r="A5177" t="s">
        <v>47</v>
      </c>
      <c r="B5177" t="s">
        <v>115</v>
      </c>
      <c r="C5177" t="b">
        <v>1</v>
      </c>
      <c r="D5177" s="1">
        <v>42855</v>
      </c>
      <c r="E5177">
        <v>5</v>
      </c>
      <c r="F5177"/>
      <c r="G5177"/>
      <c r="H5177"/>
      <c r="I5177"/>
      <c r="J5177"/>
      <c r="K5177"/>
      <c r="L5177"/>
      <c r="M5177"/>
      <c r="N5177"/>
      <c r="O5177"/>
    </row>
    <row r="5178" spans="1:15" hidden="1" x14ac:dyDescent="0.25">
      <c r="A5178" t="s">
        <v>43</v>
      </c>
      <c r="B5178" t="s">
        <v>115</v>
      </c>
      <c r="C5178" t="b">
        <v>1</v>
      </c>
      <c r="D5178" s="1">
        <v>42855</v>
      </c>
      <c r="E5178">
        <v>5</v>
      </c>
      <c r="F5178"/>
      <c r="G5178"/>
      <c r="H5178"/>
      <c r="I5178"/>
      <c r="J5178"/>
      <c r="K5178"/>
      <c r="L5178"/>
      <c r="M5178"/>
      <c r="N5178"/>
      <c r="O5178"/>
    </row>
    <row r="5179" spans="1:15" hidden="1" x14ac:dyDescent="0.25">
      <c r="A5179" t="s">
        <v>48</v>
      </c>
      <c r="B5179" t="s">
        <v>115</v>
      </c>
      <c r="C5179" t="b">
        <v>0</v>
      </c>
      <c r="D5179" s="1">
        <v>42855</v>
      </c>
      <c r="E5179">
        <v>0</v>
      </c>
      <c r="F5179"/>
      <c r="G5179"/>
      <c r="H5179"/>
      <c r="I5179"/>
      <c r="J5179"/>
      <c r="K5179"/>
      <c r="L5179"/>
      <c r="M5179"/>
      <c r="N5179"/>
      <c r="O5179"/>
    </row>
    <row r="5180" spans="1:15" hidden="1" x14ac:dyDescent="0.25">
      <c r="A5180" t="s">
        <v>49</v>
      </c>
      <c r="B5180" t="s">
        <v>115</v>
      </c>
      <c r="C5180" t="b">
        <v>1</v>
      </c>
      <c r="D5180" s="1">
        <v>42855</v>
      </c>
      <c r="E5180">
        <v>5</v>
      </c>
      <c r="F5180"/>
      <c r="G5180"/>
      <c r="H5180"/>
      <c r="I5180"/>
      <c r="J5180"/>
      <c r="K5180"/>
      <c r="L5180"/>
      <c r="M5180"/>
      <c r="N5180"/>
      <c r="O5180"/>
    </row>
    <row r="5181" spans="1:15" hidden="1" x14ac:dyDescent="0.25">
      <c r="A5181" t="s">
        <v>50</v>
      </c>
      <c r="B5181" t="s">
        <v>115</v>
      </c>
      <c r="C5181" t="b">
        <v>1</v>
      </c>
      <c r="D5181" s="1">
        <v>42855</v>
      </c>
      <c r="E5181">
        <v>5</v>
      </c>
      <c r="F5181"/>
      <c r="G5181"/>
      <c r="H5181"/>
      <c r="I5181"/>
      <c r="J5181"/>
      <c r="K5181"/>
      <c r="L5181"/>
      <c r="M5181"/>
      <c r="N5181"/>
      <c r="O5181"/>
    </row>
    <row r="5182" spans="1:15" hidden="1" x14ac:dyDescent="0.25">
      <c r="A5182" t="s">
        <v>51</v>
      </c>
      <c r="B5182" t="s">
        <v>115</v>
      </c>
      <c r="C5182" t="b">
        <v>1</v>
      </c>
      <c r="D5182" s="1">
        <v>42855</v>
      </c>
      <c r="E5182">
        <v>5</v>
      </c>
      <c r="F5182"/>
      <c r="G5182"/>
      <c r="H5182"/>
      <c r="I5182"/>
      <c r="J5182"/>
      <c r="K5182"/>
      <c r="L5182"/>
      <c r="M5182"/>
      <c r="N5182"/>
      <c r="O5182"/>
    </row>
    <row r="5183" spans="1:15" hidden="1" x14ac:dyDescent="0.25">
      <c r="A5183" t="s">
        <v>52</v>
      </c>
      <c r="B5183" t="s">
        <v>115</v>
      </c>
      <c r="C5183" t="b">
        <v>1</v>
      </c>
      <c r="D5183" s="1">
        <v>42855</v>
      </c>
      <c r="E5183">
        <v>5</v>
      </c>
      <c r="F5183"/>
      <c r="G5183"/>
      <c r="H5183"/>
      <c r="I5183"/>
      <c r="J5183"/>
      <c r="K5183"/>
      <c r="L5183"/>
      <c r="M5183"/>
      <c r="N5183"/>
      <c r="O5183"/>
    </row>
    <row r="5184" spans="1:15" hidden="1" x14ac:dyDescent="0.25">
      <c r="A5184" t="s">
        <v>54</v>
      </c>
      <c r="B5184" t="s">
        <v>115</v>
      </c>
      <c r="C5184" t="b">
        <v>1</v>
      </c>
      <c r="D5184" s="1">
        <v>42855</v>
      </c>
      <c r="E5184">
        <v>5</v>
      </c>
      <c r="F5184"/>
      <c r="G5184"/>
      <c r="H5184"/>
      <c r="I5184"/>
      <c r="J5184"/>
      <c r="K5184"/>
      <c r="L5184"/>
      <c r="M5184"/>
      <c r="N5184"/>
      <c r="O5184"/>
    </row>
    <row r="5185" spans="1:15" hidden="1" x14ac:dyDescent="0.25">
      <c r="A5185" t="s">
        <v>55</v>
      </c>
      <c r="B5185" t="s">
        <v>115</v>
      </c>
      <c r="C5185" t="b">
        <v>1</v>
      </c>
      <c r="D5185" s="1">
        <v>42855</v>
      </c>
      <c r="E5185">
        <v>5</v>
      </c>
      <c r="F5185"/>
      <c r="G5185"/>
      <c r="H5185"/>
      <c r="I5185"/>
      <c r="J5185"/>
      <c r="K5185"/>
      <c r="L5185"/>
      <c r="M5185"/>
      <c r="N5185"/>
      <c r="O5185"/>
    </row>
    <row r="5186" spans="1:15" hidden="1" x14ac:dyDescent="0.25">
      <c r="A5186" t="s">
        <v>58</v>
      </c>
      <c r="B5186" t="s">
        <v>115</v>
      </c>
      <c r="C5186" t="b">
        <v>1</v>
      </c>
      <c r="D5186" s="1">
        <v>42855</v>
      </c>
      <c r="E5186">
        <v>5</v>
      </c>
      <c r="F5186"/>
      <c r="G5186"/>
      <c r="H5186"/>
      <c r="I5186"/>
      <c r="J5186"/>
      <c r="K5186"/>
      <c r="L5186"/>
      <c r="M5186"/>
      <c r="N5186"/>
      <c r="O5186"/>
    </row>
    <row r="5187" spans="1:15" hidden="1" x14ac:dyDescent="0.25">
      <c r="A5187" t="s">
        <v>65</v>
      </c>
      <c r="B5187" t="s">
        <v>115</v>
      </c>
      <c r="C5187" t="b">
        <v>1</v>
      </c>
      <c r="D5187" s="1">
        <v>42855</v>
      </c>
      <c r="E5187">
        <v>5</v>
      </c>
      <c r="F5187"/>
      <c r="G5187"/>
      <c r="H5187"/>
      <c r="I5187"/>
      <c r="J5187"/>
      <c r="K5187"/>
      <c r="L5187"/>
      <c r="M5187"/>
      <c r="N5187"/>
      <c r="O5187"/>
    </row>
    <row r="5188" spans="1:15" hidden="1" x14ac:dyDescent="0.25">
      <c r="A5188" t="s">
        <v>66</v>
      </c>
      <c r="B5188" t="s">
        <v>115</v>
      </c>
      <c r="C5188" t="b">
        <v>1</v>
      </c>
      <c r="D5188" s="1">
        <v>42855</v>
      </c>
      <c r="E5188">
        <v>5</v>
      </c>
      <c r="F5188"/>
      <c r="G5188"/>
      <c r="H5188"/>
      <c r="I5188"/>
      <c r="J5188"/>
      <c r="K5188"/>
      <c r="L5188"/>
      <c r="M5188"/>
      <c r="N5188"/>
      <c r="O5188"/>
    </row>
    <row r="5189" spans="1:15" hidden="1" x14ac:dyDescent="0.25">
      <c r="A5189" t="s">
        <v>68</v>
      </c>
      <c r="B5189" t="s">
        <v>115</v>
      </c>
      <c r="C5189" t="b">
        <v>1</v>
      </c>
      <c r="D5189" s="1">
        <v>42855</v>
      </c>
      <c r="E5189">
        <v>5</v>
      </c>
      <c r="F5189"/>
      <c r="G5189"/>
      <c r="H5189"/>
      <c r="I5189"/>
      <c r="J5189"/>
      <c r="K5189"/>
      <c r="L5189"/>
      <c r="M5189"/>
      <c r="N5189"/>
      <c r="O5189"/>
    </row>
    <row r="5190" spans="1:15" hidden="1" x14ac:dyDescent="0.25">
      <c r="A5190" t="s">
        <v>69</v>
      </c>
      <c r="B5190" t="s">
        <v>115</v>
      </c>
      <c r="C5190" t="b">
        <v>1</v>
      </c>
      <c r="D5190" s="1">
        <v>42855</v>
      </c>
      <c r="E5190">
        <v>5</v>
      </c>
      <c r="F5190"/>
      <c r="G5190"/>
      <c r="H5190"/>
      <c r="I5190"/>
      <c r="J5190"/>
      <c r="K5190"/>
      <c r="L5190"/>
      <c r="M5190"/>
      <c r="N5190"/>
      <c r="O5190"/>
    </row>
    <row r="5191" spans="1:15" hidden="1" x14ac:dyDescent="0.25">
      <c r="A5191" t="s">
        <v>75</v>
      </c>
      <c r="B5191" t="s">
        <v>115</v>
      </c>
      <c r="C5191" t="b">
        <v>1</v>
      </c>
      <c r="D5191" s="1">
        <v>42855</v>
      </c>
      <c r="E5191">
        <v>5</v>
      </c>
      <c r="F5191"/>
      <c r="G5191"/>
      <c r="H5191"/>
      <c r="I5191"/>
      <c r="J5191"/>
      <c r="K5191"/>
      <c r="L5191"/>
      <c r="M5191"/>
      <c r="N5191"/>
      <c r="O5191"/>
    </row>
    <row r="5192" spans="1:15" hidden="1" x14ac:dyDescent="0.25">
      <c r="A5192" t="s">
        <v>76</v>
      </c>
      <c r="B5192" t="s">
        <v>115</v>
      </c>
      <c r="C5192" t="b">
        <v>1</v>
      </c>
      <c r="D5192" s="1">
        <v>42855</v>
      </c>
      <c r="E5192">
        <v>1E-3</v>
      </c>
      <c r="F5192"/>
      <c r="G5192"/>
      <c r="H5192"/>
      <c r="I5192"/>
      <c r="J5192"/>
      <c r="K5192"/>
      <c r="L5192"/>
      <c r="M5192"/>
      <c r="N5192"/>
      <c r="O5192"/>
    </row>
    <row r="5193" spans="1:15" hidden="1" x14ac:dyDescent="0.25">
      <c r="A5193" t="s">
        <v>82</v>
      </c>
      <c r="B5193" t="s">
        <v>115</v>
      </c>
      <c r="C5193" t="b">
        <v>1</v>
      </c>
      <c r="D5193" s="1">
        <v>42855</v>
      </c>
      <c r="E5193">
        <v>5</v>
      </c>
      <c r="F5193"/>
      <c r="G5193"/>
      <c r="H5193"/>
      <c r="I5193"/>
      <c r="J5193"/>
      <c r="K5193"/>
      <c r="L5193"/>
      <c r="M5193"/>
      <c r="N5193"/>
      <c r="O5193"/>
    </row>
    <row r="5194" spans="1:15" hidden="1" x14ac:dyDescent="0.25">
      <c r="A5194" t="s">
        <v>84</v>
      </c>
      <c r="B5194" t="s">
        <v>115</v>
      </c>
      <c r="C5194" t="b">
        <v>1</v>
      </c>
      <c r="D5194" s="1">
        <v>42855</v>
      </c>
      <c r="E5194">
        <v>5</v>
      </c>
      <c r="F5194"/>
      <c r="G5194"/>
      <c r="H5194"/>
      <c r="I5194"/>
      <c r="J5194"/>
      <c r="K5194"/>
      <c r="L5194"/>
      <c r="M5194"/>
      <c r="N5194"/>
      <c r="O5194"/>
    </row>
    <row r="5195" spans="1:15" hidden="1" x14ac:dyDescent="0.25">
      <c r="A5195" t="s">
        <v>88</v>
      </c>
      <c r="B5195" t="s">
        <v>115</v>
      </c>
      <c r="C5195" t="b">
        <v>1</v>
      </c>
      <c r="D5195" s="1">
        <v>42855</v>
      </c>
      <c r="E5195">
        <v>5</v>
      </c>
      <c r="F5195"/>
      <c r="G5195"/>
      <c r="H5195"/>
      <c r="I5195"/>
      <c r="J5195"/>
      <c r="K5195"/>
      <c r="L5195"/>
      <c r="M5195"/>
      <c r="N5195"/>
      <c r="O5195"/>
    </row>
    <row r="5196" spans="1:15" hidden="1" x14ac:dyDescent="0.25">
      <c r="A5196" t="s">
        <v>87</v>
      </c>
      <c r="B5196" t="s">
        <v>115</v>
      </c>
      <c r="C5196" t="b">
        <v>1</v>
      </c>
      <c r="D5196" s="1">
        <v>42855</v>
      </c>
      <c r="E5196">
        <v>5</v>
      </c>
      <c r="F5196"/>
      <c r="G5196"/>
      <c r="H5196"/>
      <c r="I5196"/>
      <c r="J5196"/>
      <c r="K5196"/>
      <c r="L5196"/>
      <c r="M5196"/>
      <c r="N5196"/>
      <c r="O5196"/>
    </row>
    <row r="5197" spans="1:15" hidden="1" x14ac:dyDescent="0.25">
      <c r="A5197" t="s">
        <v>94</v>
      </c>
      <c r="B5197" t="s">
        <v>115</v>
      </c>
      <c r="C5197" t="b">
        <v>1</v>
      </c>
      <c r="D5197" s="1">
        <v>42855</v>
      </c>
      <c r="E5197">
        <v>5</v>
      </c>
      <c r="F5197"/>
      <c r="G5197"/>
      <c r="H5197"/>
      <c r="I5197"/>
      <c r="J5197"/>
      <c r="K5197"/>
      <c r="L5197"/>
      <c r="M5197"/>
      <c r="N5197"/>
      <c r="O5197"/>
    </row>
    <row r="5198" spans="1:15" hidden="1" x14ac:dyDescent="0.25">
      <c r="A5198" t="s">
        <v>96</v>
      </c>
      <c r="B5198" t="s">
        <v>115</v>
      </c>
      <c r="C5198" t="b">
        <v>1</v>
      </c>
      <c r="D5198" s="1">
        <v>42855</v>
      </c>
      <c r="E5198">
        <v>5</v>
      </c>
      <c r="F5198"/>
      <c r="G5198"/>
      <c r="H5198"/>
      <c r="I5198"/>
      <c r="J5198"/>
      <c r="K5198"/>
      <c r="L5198"/>
      <c r="M5198"/>
      <c r="N5198"/>
      <c r="O5198"/>
    </row>
    <row r="5199" spans="1:15" hidden="1" x14ac:dyDescent="0.25">
      <c r="A5199" t="s">
        <v>98</v>
      </c>
      <c r="B5199" t="s">
        <v>115</v>
      </c>
      <c r="C5199" t="b">
        <v>1</v>
      </c>
      <c r="D5199" s="1">
        <v>42855</v>
      </c>
      <c r="E5199">
        <v>5</v>
      </c>
      <c r="F5199"/>
      <c r="G5199"/>
      <c r="H5199"/>
      <c r="I5199"/>
      <c r="J5199"/>
      <c r="K5199"/>
      <c r="L5199"/>
      <c r="M5199"/>
      <c r="N5199"/>
      <c r="O5199"/>
    </row>
    <row r="5200" spans="1:15" hidden="1" x14ac:dyDescent="0.25">
      <c r="A5200" t="s">
        <v>97</v>
      </c>
      <c r="B5200" t="s">
        <v>115</v>
      </c>
      <c r="C5200" t="b">
        <v>1</v>
      </c>
      <c r="D5200" s="1">
        <v>42855</v>
      </c>
      <c r="E5200">
        <v>5</v>
      </c>
      <c r="F5200"/>
      <c r="G5200"/>
      <c r="H5200"/>
      <c r="I5200"/>
      <c r="J5200"/>
      <c r="K5200"/>
      <c r="L5200"/>
      <c r="M5200"/>
      <c r="N5200"/>
      <c r="O5200"/>
    </row>
    <row r="5201" spans="1:15" hidden="1" x14ac:dyDescent="0.25">
      <c r="A5201" t="s">
        <v>99</v>
      </c>
      <c r="B5201" t="s">
        <v>114</v>
      </c>
      <c r="C5201" t="b">
        <v>1</v>
      </c>
      <c r="D5201" s="1">
        <v>42855</v>
      </c>
      <c r="E5201">
        <v>19.760000000000002</v>
      </c>
      <c r="F5201"/>
      <c r="G5201"/>
      <c r="H5201"/>
      <c r="I5201"/>
      <c r="J5201"/>
      <c r="K5201"/>
      <c r="L5201"/>
      <c r="M5201"/>
      <c r="N5201"/>
      <c r="O5201"/>
    </row>
    <row r="5202" spans="1:15" hidden="1" x14ac:dyDescent="0.25">
      <c r="A5202" t="s">
        <v>100</v>
      </c>
      <c r="B5202" t="s">
        <v>117</v>
      </c>
      <c r="C5202" t="b">
        <v>0</v>
      </c>
      <c r="D5202" s="1">
        <v>42886</v>
      </c>
      <c r="E5202" s="2">
        <v>-87.92</v>
      </c>
      <c r="F5202"/>
      <c r="G5202"/>
      <c r="H5202"/>
      <c r="I5202"/>
      <c r="J5202"/>
      <c r="K5202"/>
      <c r="L5202"/>
      <c r="M5202"/>
      <c r="N5202"/>
      <c r="O5202"/>
    </row>
    <row r="5203" spans="1:15" hidden="1" x14ac:dyDescent="0.25">
      <c r="A5203" t="s">
        <v>104</v>
      </c>
      <c r="B5203" t="s">
        <v>117</v>
      </c>
      <c r="C5203" t="b">
        <v>0</v>
      </c>
      <c r="D5203" s="1">
        <v>42886</v>
      </c>
      <c r="E5203" s="2">
        <v>-10</v>
      </c>
      <c r="F5203"/>
      <c r="G5203"/>
      <c r="H5203"/>
      <c r="I5203"/>
      <c r="J5203"/>
      <c r="K5203"/>
      <c r="L5203"/>
      <c r="M5203"/>
      <c r="N5203"/>
      <c r="O5203"/>
    </row>
    <row r="5204" spans="1:15" hidden="1" x14ac:dyDescent="0.25">
      <c r="A5204" t="s">
        <v>102</v>
      </c>
      <c r="B5204" t="s">
        <v>117</v>
      </c>
      <c r="C5204" t="b">
        <v>0</v>
      </c>
      <c r="D5204" s="1">
        <v>42886</v>
      </c>
      <c r="E5204" s="2">
        <v>-43.94</v>
      </c>
      <c r="F5204"/>
      <c r="G5204"/>
      <c r="H5204"/>
      <c r="I5204"/>
      <c r="J5204"/>
      <c r="K5204"/>
      <c r="L5204"/>
      <c r="M5204"/>
      <c r="N5204"/>
      <c r="O5204"/>
    </row>
    <row r="5205" spans="1:15" hidden="1" x14ac:dyDescent="0.25">
      <c r="A5205" t="s">
        <v>47</v>
      </c>
      <c r="B5205" t="s">
        <v>115</v>
      </c>
      <c r="C5205" t="b">
        <v>1</v>
      </c>
      <c r="D5205" s="1">
        <v>42886</v>
      </c>
      <c r="E5205">
        <v>5</v>
      </c>
      <c r="F5205"/>
      <c r="G5205"/>
      <c r="H5205"/>
      <c r="I5205"/>
      <c r="J5205"/>
      <c r="K5205"/>
      <c r="L5205"/>
      <c r="M5205"/>
      <c r="N5205"/>
      <c r="O5205"/>
    </row>
    <row r="5206" spans="1:15" hidden="1" x14ac:dyDescent="0.25">
      <c r="A5206" t="s">
        <v>43</v>
      </c>
      <c r="B5206" t="s">
        <v>115</v>
      </c>
      <c r="C5206" t="b">
        <v>1</v>
      </c>
      <c r="D5206" s="1">
        <v>42886</v>
      </c>
      <c r="E5206">
        <v>5</v>
      </c>
      <c r="F5206"/>
      <c r="G5206"/>
      <c r="H5206"/>
      <c r="I5206"/>
      <c r="J5206"/>
      <c r="K5206"/>
      <c r="L5206"/>
      <c r="M5206"/>
      <c r="N5206"/>
      <c r="O5206"/>
    </row>
    <row r="5207" spans="1:15" hidden="1" x14ac:dyDescent="0.25">
      <c r="A5207" t="s">
        <v>48</v>
      </c>
      <c r="B5207" t="s">
        <v>115</v>
      </c>
      <c r="C5207" t="b">
        <v>0</v>
      </c>
      <c r="D5207" s="1">
        <v>42886</v>
      </c>
      <c r="E5207">
        <v>0</v>
      </c>
      <c r="F5207"/>
      <c r="G5207"/>
      <c r="H5207"/>
      <c r="I5207"/>
      <c r="J5207"/>
      <c r="K5207"/>
      <c r="L5207"/>
      <c r="M5207"/>
      <c r="N5207"/>
      <c r="O5207"/>
    </row>
    <row r="5208" spans="1:15" hidden="1" x14ac:dyDescent="0.25">
      <c r="A5208" t="s">
        <v>49</v>
      </c>
      <c r="B5208" t="s">
        <v>115</v>
      </c>
      <c r="C5208" t="b">
        <v>1</v>
      </c>
      <c r="D5208" s="1">
        <v>42886</v>
      </c>
      <c r="E5208">
        <v>5</v>
      </c>
      <c r="F5208"/>
      <c r="G5208"/>
      <c r="H5208"/>
      <c r="I5208"/>
      <c r="J5208"/>
      <c r="K5208"/>
      <c r="L5208"/>
      <c r="M5208"/>
      <c r="N5208"/>
      <c r="O5208"/>
    </row>
    <row r="5209" spans="1:15" hidden="1" x14ac:dyDescent="0.25">
      <c r="A5209" t="s">
        <v>50</v>
      </c>
      <c r="B5209" t="s">
        <v>115</v>
      </c>
      <c r="C5209" t="b">
        <v>1</v>
      </c>
      <c r="D5209" s="1">
        <v>42886</v>
      </c>
      <c r="E5209">
        <v>5</v>
      </c>
      <c r="F5209"/>
      <c r="G5209"/>
      <c r="H5209"/>
      <c r="I5209"/>
      <c r="J5209"/>
      <c r="K5209"/>
      <c r="L5209"/>
      <c r="M5209"/>
      <c r="N5209"/>
      <c r="O5209"/>
    </row>
    <row r="5210" spans="1:15" hidden="1" x14ac:dyDescent="0.25">
      <c r="A5210" t="s">
        <v>51</v>
      </c>
      <c r="B5210" t="s">
        <v>115</v>
      </c>
      <c r="C5210" t="b">
        <v>1</v>
      </c>
      <c r="D5210" s="1">
        <v>42886</v>
      </c>
      <c r="E5210">
        <v>5</v>
      </c>
      <c r="F5210"/>
      <c r="G5210"/>
      <c r="H5210"/>
      <c r="I5210"/>
      <c r="J5210"/>
      <c r="K5210"/>
      <c r="L5210"/>
      <c r="M5210"/>
      <c r="N5210"/>
      <c r="O5210"/>
    </row>
    <row r="5211" spans="1:15" hidden="1" x14ac:dyDescent="0.25">
      <c r="A5211" t="s">
        <v>52</v>
      </c>
      <c r="B5211" t="s">
        <v>115</v>
      </c>
      <c r="C5211" t="b">
        <v>1</v>
      </c>
      <c r="D5211" s="1">
        <v>42886</v>
      </c>
      <c r="E5211">
        <v>5</v>
      </c>
      <c r="F5211"/>
      <c r="G5211"/>
      <c r="H5211"/>
      <c r="I5211"/>
      <c r="J5211"/>
      <c r="K5211"/>
      <c r="L5211"/>
      <c r="M5211"/>
      <c r="N5211"/>
      <c r="O5211"/>
    </row>
    <row r="5212" spans="1:15" hidden="1" x14ac:dyDescent="0.25">
      <c r="A5212" t="s">
        <v>54</v>
      </c>
      <c r="B5212" t="s">
        <v>115</v>
      </c>
      <c r="C5212" t="b">
        <v>1</v>
      </c>
      <c r="D5212" s="1">
        <v>42886</v>
      </c>
      <c r="E5212">
        <v>5</v>
      </c>
      <c r="F5212"/>
      <c r="G5212"/>
      <c r="H5212"/>
      <c r="I5212"/>
      <c r="J5212"/>
      <c r="K5212"/>
      <c r="L5212"/>
      <c r="M5212"/>
      <c r="N5212"/>
      <c r="O5212"/>
    </row>
    <row r="5213" spans="1:15" hidden="1" x14ac:dyDescent="0.25">
      <c r="A5213" t="s">
        <v>55</v>
      </c>
      <c r="B5213" t="s">
        <v>115</v>
      </c>
      <c r="C5213" t="b">
        <v>1</v>
      </c>
      <c r="D5213" s="1">
        <v>42886</v>
      </c>
      <c r="E5213">
        <v>5</v>
      </c>
      <c r="F5213"/>
      <c r="G5213"/>
      <c r="H5213"/>
      <c r="I5213"/>
      <c r="J5213"/>
      <c r="K5213"/>
      <c r="L5213"/>
      <c r="M5213"/>
      <c r="N5213"/>
      <c r="O5213"/>
    </row>
    <row r="5214" spans="1:15" hidden="1" x14ac:dyDescent="0.25">
      <c r="A5214" t="s">
        <v>58</v>
      </c>
      <c r="B5214" t="s">
        <v>115</v>
      </c>
      <c r="C5214" t="b">
        <v>1</v>
      </c>
      <c r="D5214" s="1">
        <v>42886</v>
      </c>
      <c r="E5214">
        <v>5</v>
      </c>
      <c r="F5214"/>
      <c r="G5214"/>
      <c r="H5214"/>
      <c r="I5214"/>
      <c r="J5214"/>
      <c r="K5214"/>
      <c r="L5214"/>
      <c r="M5214"/>
      <c r="N5214"/>
      <c r="O5214"/>
    </row>
    <row r="5215" spans="1:15" hidden="1" x14ac:dyDescent="0.25">
      <c r="A5215" t="s">
        <v>65</v>
      </c>
      <c r="B5215" t="s">
        <v>115</v>
      </c>
      <c r="C5215" t="b">
        <v>1</v>
      </c>
      <c r="D5215" s="1">
        <v>42886</v>
      </c>
      <c r="E5215">
        <v>5</v>
      </c>
      <c r="F5215"/>
      <c r="G5215"/>
      <c r="H5215"/>
      <c r="I5215"/>
      <c r="J5215"/>
      <c r="K5215"/>
      <c r="L5215"/>
      <c r="M5215"/>
      <c r="N5215"/>
      <c r="O5215"/>
    </row>
    <row r="5216" spans="1:15" hidden="1" x14ac:dyDescent="0.25">
      <c r="A5216" t="s">
        <v>66</v>
      </c>
      <c r="B5216" t="s">
        <v>115</v>
      </c>
      <c r="C5216" t="b">
        <v>1</v>
      </c>
      <c r="D5216" s="1">
        <v>42886</v>
      </c>
      <c r="E5216">
        <v>5</v>
      </c>
      <c r="F5216"/>
      <c r="G5216"/>
      <c r="H5216"/>
      <c r="I5216"/>
      <c r="J5216"/>
      <c r="K5216"/>
      <c r="L5216"/>
      <c r="M5216"/>
      <c r="N5216"/>
      <c r="O5216"/>
    </row>
    <row r="5217" spans="1:15" hidden="1" x14ac:dyDescent="0.25">
      <c r="A5217" t="s">
        <v>68</v>
      </c>
      <c r="B5217" t="s">
        <v>115</v>
      </c>
      <c r="C5217" t="b">
        <v>1</v>
      </c>
      <c r="D5217" s="1">
        <v>42886</v>
      </c>
      <c r="E5217">
        <v>5</v>
      </c>
      <c r="F5217"/>
      <c r="G5217"/>
      <c r="H5217"/>
      <c r="I5217"/>
      <c r="J5217"/>
      <c r="K5217"/>
      <c r="L5217"/>
      <c r="M5217"/>
      <c r="N5217"/>
      <c r="O5217"/>
    </row>
    <row r="5218" spans="1:15" hidden="1" x14ac:dyDescent="0.25">
      <c r="A5218" t="s">
        <v>69</v>
      </c>
      <c r="B5218" t="s">
        <v>115</v>
      </c>
      <c r="C5218" t="b">
        <v>1</v>
      </c>
      <c r="D5218" s="1">
        <v>42886</v>
      </c>
      <c r="E5218">
        <v>0</v>
      </c>
      <c r="F5218"/>
      <c r="G5218"/>
      <c r="H5218"/>
      <c r="I5218"/>
      <c r="J5218"/>
      <c r="K5218"/>
      <c r="L5218"/>
      <c r="M5218"/>
      <c r="N5218"/>
      <c r="O5218"/>
    </row>
    <row r="5219" spans="1:15" hidden="1" x14ac:dyDescent="0.25">
      <c r="A5219" t="s">
        <v>75</v>
      </c>
      <c r="B5219" t="s">
        <v>115</v>
      </c>
      <c r="C5219" t="b">
        <v>1</v>
      </c>
      <c r="D5219" s="1">
        <v>42886</v>
      </c>
      <c r="E5219">
        <v>5</v>
      </c>
      <c r="F5219"/>
      <c r="G5219"/>
      <c r="H5219"/>
      <c r="I5219"/>
      <c r="J5219"/>
      <c r="K5219"/>
      <c r="L5219"/>
      <c r="M5219"/>
      <c r="N5219"/>
      <c r="O5219"/>
    </row>
    <row r="5220" spans="1:15" hidden="1" x14ac:dyDescent="0.25">
      <c r="A5220" t="s">
        <v>76</v>
      </c>
      <c r="B5220" t="s">
        <v>115</v>
      </c>
      <c r="C5220" t="b">
        <v>1</v>
      </c>
      <c r="D5220" s="1">
        <v>42886</v>
      </c>
      <c r="E5220">
        <v>1E-3</v>
      </c>
      <c r="F5220"/>
      <c r="G5220"/>
      <c r="H5220"/>
      <c r="I5220"/>
      <c r="J5220"/>
      <c r="K5220"/>
      <c r="L5220"/>
      <c r="M5220"/>
      <c r="N5220"/>
      <c r="O5220"/>
    </row>
    <row r="5221" spans="1:15" hidden="1" x14ac:dyDescent="0.25">
      <c r="A5221" t="s">
        <v>82</v>
      </c>
      <c r="B5221" t="s">
        <v>115</v>
      </c>
      <c r="C5221" t="b">
        <v>1</v>
      </c>
      <c r="D5221" s="1">
        <v>42886</v>
      </c>
      <c r="E5221">
        <v>5</v>
      </c>
      <c r="F5221"/>
      <c r="G5221"/>
      <c r="H5221"/>
      <c r="I5221"/>
      <c r="J5221"/>
      <c r="K5221"/>
      <c r="L5221"/>
      <c r="M5221"/>
      <c r="N5221"/>
      <c r="O5221"/>
    </row>
    <row r="5222" spans="1:15" hidden="1" x14ac:dyDescent="0.25">
      <c r="A5222" t="s">
        <v>84</v>
      </c>
      <c r="B5222" t="s">
        <v>115</v>
      </c>
      <c r="C5222" t="b">
        <v>1</v>
      </c>
      <c r="D5222" s="1">
        <v>42886</v>
      </c>
      <c r="E5222">
        <v>5</v>
      </c>
      <c r="F5222"/>
      <c r="G5222"/>
      <c r="H5222"/>
      <c r="I5222"/>
      <c r="J5222"/>
      <c r="K5222"/>
      <c r="L5222"/>
      <c r="M5222"/>
      <c r="N5222"/>
      <c r="O5222"/>
    </row>
    <row r="5223" spans="1:15" hidden="1" x14ac:dyDescent="0.25">
      <c r="A5223" t="s">
        <v>88</v>
      </c>
      <c r="B5223" t="s">
        <v>115</v>
      </c>
      <c r="C5223" t="b">
        <v>1</v>
      </c>
      <c r="D5223" s="1">
        <v>42886</v>
      </c>
      <c r="E5223">
        <v>5</v>
      </c>
      <c r="F5223"/>
      <c r="G5223"/>
      <c r="H5223"/>
      <c r="I5223"/>
      <c r="J5223"/>
      <c r="K5223"/>
      <c r="L5223"/>
      <c r="M5223"/>
      <c r="N5223"/>
      <c r="O5223"/>
    </row>
    <row r="5224" spans="1:15" hidden="1" x14ac:dyDescent="0.25">
      <c r="A5224" t="s">
        <v>87</v>
      </c>
      <c r="B5224" t="s">
        <v>115</v>
      </c>
      <c r="C5224" t="b">
        <v>1</v>
      </c>
      <c r="D5224" s="1">
        <v>42886</v>
      </c>
      <c r="E5224">
        <v>5</v>
      </c>
      <c r="F5224"/>
      <c r="G5224"/>
      <c r="H5224"/>
      <c r="I5224"/>
      <c r="J5224"/>
      <c r="K5224"/>
      <c r="L5224"/>
      <c r="M5224"/>
      <c r="N5224"/>
      <c r="O5224"/>
    </row>
    <row r="5225" spans="1:15" hidden="1" x14ac:dyDescent="0.25">
      <c r="A5225" t="s">
        <v>93</v>
      </c>
      <c r="B5225" t="s">
        <v>115</v>
      </c>
      <c r="C5225" t="b">
        <v>1</v>
      </c>
      <c r="D5225" s="1">
        <v>42886</v>
      </c>
      <c r="E5225">
        <v>5</v>
      </c>
      <c r="F5225"/>
      <c r="G5225"/>
      <c r="H5225"/>
      <c r="I5225"/>
      <c r="J5225"/>
      <c r="K5225"/>
      <c r="L5225"/>
      <c r="M5225"/>
      <c r="N5225"/>
      <c r="O5225"/>
    </row>
    <row r="5226" spans="1:15" hidden="1" x14ac:dyDescent="0.25">
      <c r="A5226" t="s">
        <v>94</v>
      </c>
      <c r="B5226" t="s">
        <v>115</v>
      </c>
      <c r="C5226" t="b">
        <v>1</v>
      </c>
      <c r="D5226" s="1">
        <v>42886</v>
      </c>
      <c r="E5226">
        <v>5</v>
      </c>
      <c r="F5226"/>
      <c r="G5226"/>
      <c r="H5226"/>
      <c r="I5226"/>
      <c r="J5226"/>
      <c r="K5226"/>
      <c r="L5226"/>
      <c r="M5226"/>
      <c r="N5226"/>
      <c r="O5226"/>
    </row>
    <row r="5227" spans="1:15" hidden="1" x14ac:dyDescent="0.25">
      <c r="A5227" t="s">
        <v>96</v>
      </c>
      <c r="B5227" t="s">
        <v>115</v>
      </c>
      <c r="C5227" t="b">
        <v>1</v>
      </c>
      <c r="D5227" s="1">
        <v>42886</v>
      </c>
      <c r="E5227">
        <v>5</v>
      </c>
      <c r="F5227"/>
      <c r="G5227"/>
      <c r="H5227"/>
      <c r="I5227"/>
      <c r="J5227"/>
      <c r="K5227"/>
      <c r="L5227"/>
      <c r="M5227"/>
      <c r="N5227"/>
      <c r="O5227"/>
    </row>
    <row r="5228" spans="1:15" hidden="1" x14ac:dyDescent="0.25">
      <c r="A5228" t="s">
        <v>98</v>
      </c>
      <c r="B5228" t="s">
        <v>115</v>
      </c>
      <c r="C5228" t="b">
        <v>1</v>
      </c>
      <c r="D5228" s="1">
        <v>42886</v>
      </c>
      <c r="E5228">
        <v>5</v>
      </c>
      <c r="F5228"/>
      <c r="G5228"/>
      <c r="H5228"/>
      <c r="I5228"/>
      <c r="J5228"/>
      <c r="K5228"/>
      <c r="L5228"/>
      <c r="M5228"/>
      <c r="N5228"/>
      <c r="O5228"/>
    </row>
    <row r="5229" spans="1:15" hidden="1" x14ac:dyDescent="0.25">
      <c r="A5229" t="s">
        <v>97</v>
      </c>
      <c r="B5229" t="s">
        <v>115</v>
      </c>
      <c r="C5229" t="b">
        <v>1</v>
      </c>
      <c r="D5229" s="1">
        <v>42886</v>
      </c>
      <c r="E5229">
        <v>5</v>
      </c>
      <c r="F5229"/>
      <c r="G5229"/>
      <c r="H5229"/>
      <c r="I5229"/>
      <c r="J5229"/>
      <c r="K5229"/>
      <c r="L5229"/>
      <c r="M5229"/>
      <c r="N5229"/>
      <c r="O5229"/>
    </row>
    <row r="5230" spans="1:15" hidden="1" x14ac:dyDescent="0.25">
      <c r="A5230" t="s">
        <v>99</v>
      </c>
      <c r="B5230" t="s">
        <v>114</v>
      </c>
      <c r="C5230" t="b">
        <v>1</v>
      </c>
      <c r="D5230" s="1">
        <v>42886</v>
      </c>
      <c r="E5230">
        <v>21.400000000000002</v>
      </c>
      <c r="F5230"/>
      <c r="G5230"/>
      <c r="H5230"/>
      <c r="I5230"/>
      <c r="J5230"/>
      <c r="K5230"/>
      <c r="L5230"/>
      <c r="M5230"/>
      <c r="N5230"/>
      <c r="O5230"/>
    </row>
    <row r="5231" spans="1:15" hidden="1" x14ac:dyDescent="0.25">
      <c r="A5231" t="s">
        <v>100</v>
      </c>
      <c r="B5231" t="s">
        <v>117</v>
      </c>
      <c r="C5231" t="b">
        <v>0</v>
      </c>
      <c r="D5231" s="1">
        <v>42916</v>
      </c>
      <c r="E5231" s="2">
        <v>-65.34</v>
      </c>
      <c r="F5231"/>
      <c r="G5231"/>
      <c r="H5231"/>
      <c r="I5231"/>
      <c r="J5231"/>
      <c r="K5231"/>
      <c r="L5231"/>
      <c r="M5231"/>
      <c r="N5231"/>
      <c r="O5231"/>
    </row>
    <row r="5232" spans="1:15" hidden="1" x14ac:dyDescent="0.25">
      <c r="A5232" t="s">
        <v>104</v>
      </c>
      <c r="B5232" t="s">
        <v>117</v>
      </c>
      <c r="C5232" t="b">
        <v>0</v>
      </c>
      <c r="D5232" s="1">
        <v>42916</v>
      </c>
      <c r="E5232" s="2">
        <v>-10</v>
      </c>
      <c r="F5232"/>
      <c r="G5232"/>
      <c r="H5232"/>
      <c r="I5232"/>
      <c r="J5232"/>
      <c r="K5232"/>
      <c r="L5232"/>
      <c r="M5232"/>
      <c r="N5232"/>
      <c r="O5232"/>
    </row>
    <row r="5233" spans="1:15" hidden="1" x14ac:dyDescent="0.25">
      <c r="A5233" t="s">
        <v>102</v>
      </c>
      <c r="B5233" t="s">
        <v>117</v>
      </c>
      <c r="C5233" t="b">
        <v>0</v>
      </c>
      <c r="D5233" s="1">
        <v>42916</v>
      </c>
      <c r="E5233" s="2">
        <v>-43.94</v>
      </c>
      <c r="F5233"/>
      <c r="G5233"/>
      <c r="H5233"/>
      <c r="I5233"/>
      <c r="J5233"/>
      <c r="K5233"/>
      <c r="L5233"/>
      <c r="M5233"/>
      <c r="N5233"/>
      <c r="O5233"/>
    </row>
    <row r="5234" spans="1:15" hidden="1" x14ac:dyDescent="0.25">
      <c r="A5234" t="s">
        <v>103</v>
      </c>
      <c r="B5234" t="s">
        <v>117</v>
      </c>
      <c r="C5234" t="b">
        <v>0</v>
      </c>
      <c r="D5234" s="1">
        <v>42916</v>
      </c>
      <c r="E5234" s="2">
        <v>-2.4900000000000002</v>
      </c>
      <c r="F5234"/>
      <c r="G5234"/>
      <c r="H5234"/>
      <c r="I5234"/>
      <c r="J5234"/>
      <c r="K5234"/>
      <c r="L5234"/>
      <c r="M5234"/>
      <c r="N5234"/>
      <c r="O5234"/>
    </row>
    <row r="5235" spans="1:15" hidden="1" x14ac:dyDescent="0.25">
      <c r="A5235" t="s">
        <v>47</v>
      </c>
      <c r="B5235" t="s">
        <v>115</v>
      </c>
      <c r="C5235" t="b">
        <v>1</v>
      </c>
      <c r="D5235" s="1">
        <v>42916</v>
      </c>
      <c r="E5235">
        <v>5</v>
      </c>
      <c r="F5235"/>
      <c r="G5235"/>
      <c r="H5235"/>
      <c r="I5235"/>
      <c r="J5235"/>
      <c r="K5235"/>
      <c r="L5235"/>
      <c r="M5235"/>
      <c r="N5235"/>
      <c r="O5235"/>
    </row>
    <row r="5236" spans="1:15" hidden="1" x14ac:dyDescent="0.25">
      <c r="A5236" t="s">
        <v>43</v>
      </c>
      <c r="B5236" t="s">
        <v>115</v>
      </c>
      <c r="C5236" t="b">
        <v>1</v>
      </c>
      <c r="D5236" s="1">
        <v>42916</v>
      </c>
      <c r="E5236">
        <v>5</v>
      </c>
      <c r="F5236"/>
      <c r="G5236"/>
      <c r="H5236"/>
      <c r="I5236"/>
      <c r="J5236"/>
      <c r="K5236"/>
      <c r="L5236"/>
      <c r="M5236"/>
      <c r="N5236"/>
      <c r="O5236"/>
    </row>
    <row r="5237" spans="1:15" hidden="1" x14ac:dyDescent="0.25">
      <c r="A5237" t="s">
        <v>48</v>
      </c>
      <c r="B5237" t="s">
        <v>115</v>
      </c>
      <c r="C5237" t="b">
        <v>0</v>
      </c>
      <c r="D5237" s="1">
        <v>42916</v>
      </c>
      <c r="E5237">
        <v>0</v>
      </c>
      <c r="F5237"/>
      <c r="G5237"/>
      <c r="H5237"/>
      <c r="I5237"/>
      <c r="J5237"/>
      <c r="K5237"/>
      <c r="L5237"/>
      <c r="M5237"/>
      <c r="N5237"/>
      <c r="O5237"/>
    </row>
    <row r="5238" spans="1:15" hidden="1" x14ac:dyDescent="0.25">
      <c r="A5238" t="s">
        <v>49</v>
      </c>
      <c r="B5238" t="s">
        <v>115</v>
      </c>
      <c r="C5238" t="b">
        <v>1</v>
      </c>
      <c r="D5238" s="1">
        <v>42916</v>
      </c>
      <c r="E5238">
        <v>5</v>
      </c>
      <c r="F5238"/>
      <c r="G5238"/>
      <c r="H5238"/>
      <c r="I5238"/>
      <c r="J5238"/>
      <c r="K5238"/>
      <c r="L5238"/>
      <c r="M5238"/>
      <c r="N5238"/>
      <c r="O5238"/>
    </row>
    <row r="5239" spans="1:15" hidden="1" x14ac:dyDescent="0.25">
      <c r="A5239" t="s">
        <v>50</v>
      </c>
      <c r="B5239" t="s">
        <v>115</v>
      </c>
      <c r="C5239" t="b">
        <v>1</v>
      </c>
      <c r="D5239" s="1">
        <v>42916</v>
      </c>
      <c r="E5239">
        <v>5</v>
      </c>
      <c r="F5239"/>
      <c r="G5239"/>
      <c r="H5239"/>
      <c r="I5239"/>
      <c r="J5239"/>
      <c r="K5239"/>
      <c r="L5239"/>
      <c r="M5239"/>
      <c r="N5239"/>
      <c r="O5239"/>
    </row>
    <row r="5240" spans="1:15" hidden="1" x14ac:dyDescent="0.25">
      <c r="A5240" t="s">
        <v>51</v>
      </c>
      <c r="B5240" t="s">
        <v>115</v>
      </c>
      <c r="C5240" t="b">
        <v>1</v>
      </c>
      <c r="D5240" s="1">
        <v>42916</v>
      </c>
      <c r="E5240">
        <v>5</v>
      </c>
      <c r="F5240"/>
      <c r="G5240"/>
      <c r="H5240"/>
      <c r="I5240"/>
      <c r="J5240"/>
      <c r="K5240"/>
      <c r="L5240"/>
      <c r="M5240"/>
      <c r="N5240"/>
      <c r="O5240"/>
    </row>
    <row r="5241" spans="1:15" hidden="1" x14ac:dyDescent="0.25">
      <c r="A5241" t="s">
        <v>52</v>
      </c>
      <c r="B5241" t="s">
        <v>115</v>
      </c>
      <c r="C5241" t="b">
        <v>1</v>
      </c>
      <c r="D5241" s="1">
        <v>42916</v>
      </c>
      <c r="E5241">
        <v>5</v>
      </c>
      <c r="F5241"/>
      <c r="G5241"/>
      <c r="H5241"/>
      <c r="I5241"/>
      <c r="J5241"/>
      <c r="K5241"/>
      <c r="L5241"/>
      <c r="M5241"/>
      <c r="N5241"/>
      <c r="O5241"/>
    </row>
    <row r="5242" spans="1:15" hidden="1" x14ac:dyDescent="0.25">
      <c r="A5242" t="s">
        <v>54</v>
      </c>
      <c r="B5242" t="s">
        <v>115</v>
      </c>
      <c r="C5242" t="b">
        <v>1</v>
      </c>
      <c r="D5242" s="1">
        <v>42916</v>
      </c>
      <c r="E5242">
        <v>5</v>
      </c>
      <c r="F5242"/>
      <c r="G5242"/>
      <c r="H5242"/>
      <c r="I5242"/>
      <c r="J5242"/>
      <c r="K5242"/>
      <c r="L5242"/>
      <c r="M5242"/>
      <c r="N5242"/>
      <c r="O5242"/>
    </row>
    <row r="5243" spans="1:15" hidden="1" x14ac:dyDescent="0.25">
      <c r="A5243" t="s">
        <v>55</v>
      </c>
      <c r="B5243" t="s">
        <v>115</v>
      </c>
      <c r="C5243" t="b">
        <v>1</v>
      </c>
      <c r="D5243" s="1">
        <v>42916</v>
      </c>
      <c r="E5243">
        <v>5</v>
      </c>
      <c r="F5243"/>
      <c r="G5243"/>
      <c r="H5243"/>
      <c r="I5243"/>
      <c r="J5243"/>
      <c r="K5243"/>
      <c r="L5243"/>
      <c r="M5243"/>
      <c r="N5243"/>
      <c r="O5243"/>
    </row>
    <row r="5244" spans="1:15" hidden="1" x14ac:dyDescent="0.25">
      <c r="A5244" t="s">
        <v>58</v>
      </c>
      <c r="B5244" t="s">
        <v>115</v>
      </c>
      <c r="C5244" t="b">
        <v>1</v>
      </c>
      <c r="D5244" s="1">
        <v>42916</v>
      </c>
      <c r="E5244">
        <v>5</v>
      </c>
      <c r="F5244"/>
      <c r="G5244"/>
      <c r="H5244"/>
      <c r="I5244"/>
      <c r="J5244"/>
      <c r="K5244"/>
      <c r="L5244"/>
      <c r="M5244"/>
      <c r="N5244"/>
      <c r="O5244"/>
    </row>
    <row r="5245" spans="1:15" hidden="1" x14ac:dyDescent="0.25">
      <c r="A5245" t="s">
        <v>65</v>
      </c>
      <c r="B5245" t="s">
        <v>115</v>
      </c>
      <c r="C5245" t="b">
        <v>1</v>
      </c>
      <c r="D5245" s="1">
        <v>42916</v>
      </c>
      <c r="E5245">
        <v>5</v>
      </c>
      <c r="F5245"/>
      <c r="G5245"/>
      <c r="H5245"/>
      <c r="I5245"/>
      <c r="J5245"/>
      <c r="K5245"/>
      <c r="L5245"/>
      <c r="M5245"/>
      <c r="N5245"/>
      <c r="O5245"/>
    </row>
    <row r="5246" spans="1:15" hidden="1" x14ac:dyDescent="0.25">
      <c r="A5246" t="s">
        <v>66</v>
      </c>
      <c r="B5246" t="s">
        <v>115</v>
      </c>
      <c r="C5246" t="b">
        <v>1</v>
      </c>
      <c r="D5246" s="1">
        <v>42916</v>
      </c>
      <c r="E5246">
        <v>5</v>
      </c>
      <c r="F5246"/>
      <c r="G5246"/>
      <c r="H5246"/>
      <c r="I5246"/>
      <c r="J5246"/>
      <c r="K5246"/>
      <c r="L5246"/>
      <c r="M5246"/>
      <c r="N5246"/>
      <c r="O5246"/>
    </row>
    <row r="5247" spans="1:15" hidden="1" x14ac:dyDescent="0.25">
      <c r="A5247" t="s">
        <v>68</v>
      </c>
      <c r="B5247" t="s">
        <v>115</v>
      </c>
      <c r="C5247" t="b">
        <v>1</v>
      </c>
      <c r="D5247" s="1">
        <v>42916</v>
      </c>
      <c r="E5247">
        <v>5</v>
      </c>
      <c r="F5247"/>
      <c r="G5247"/>
      <c r="H5247"/>
      <c r="I5247"/>
      <c r="J5247"/>
      <c r="K5247"/>
      <c r="L5247"/>
      <c r="M5247"/>
      <c r="N5247"/>
      <c r="O5247"/>
    </row>
    <row r="5248" spans="1:15" hidden="1" x14ac:dyDescent="0.25">
      <c r="A5248" t="s">
        <v>69</v>
      </c>
      <c r="B5248" t="s">
        <v>115</v>
      </c>
      <c r="C5248" t="b">
        <v>1</v>
      </c>
      <c r="D5248" s="1">
        <v>42916</v>
      </c>
      <c r="E5248">
        <v>5</v>
      </c>
      <c r="F5248"/>
      <c r="G5248"/>
      <c r="H5248"/>
      <c r="I5248"/>
      <c r="J5248"/>
      <c r="K5248"/>
      <c r="L5248"/>
      <c r="M5248"/>
      <c r="N5248"/>
      <c r="O5248"/>
    </row>
    <row r="5249" spans="1:15" hidden="1" x14ac:dyDescent="0.25">
      <c r="A5249" t="s">
        <v>75</v>
      </c>
      <c r="B5249" t="s">
        <v>115</v>
      </c>
      <c r="C5249" t="b">
        <v>1</v>
      </c>
      <c r="D5249" s="1">
        <v>42916</v>
      </c>
      <c r="E5249">
        <v>5</v>
      </c>
      <c r="F5249"/>
      <c r="G5249"/>
      <c r="H5249"/>
      <c r="I5249"/>
      <c r="J5249"/>
      <c r="K5249"/>
      <c r="L5249"/>
      <c r="M5249"/>
      <c r="N5249"/>
      <c r="O5249"/>
    </row>
    <row r="5250" spans="1:15" hidden="1" x14ac:dyDescent="0.25">
      <c r="A5250" t="s">
        <v>76</v>
      </c>
      <c r="B5250" t="s">
        <v>115</v>
      </c>
      <c r="C5250" t="b">
        <v>1</v>
      </c>
      <c r="D5250" s="1">
        <v>42916</v>
      </c>
      <c r="E5250">
        <v>1E-3</v>
      </c>
      <c r="F5250"/>
      <c r="G5250"/>
      <c r="H5250"/>
      <c r="I5250"/>
      <c r="J5250"/>
      <c r="K5250"/>
      <c r="L5250"/>
      <c r="M5250"/>
      <c r="N5250"/>
      <c r="O5250"/>
    </row>
    <row r="5251" spans="1:15" hidden="1" x14ac:dyDescent="0.25">
      <c r="A5251" t="s">
        <v>82</v>
      </c>
      <c r="B5251" t="s">
        <v>115</v>
      </c>
      <c r="C5251" t="b">
        <v>1</v>
      </c>
      <c r="D5251" s="1">
        <v>42916</v>
      </c>
      <c r="E5251">
        <v>5</v>
      </c>
      <c r="F5251"/>
      <c r="G5251"/>
      <c r="H5251"/>
      <c r="I5251"/>
      <c r="J5251"/>
      <c r="K5251"/>
      <c r="L5251"/>
      <c r="M5251"/>
      <c r="N5251"/>
      <c r="O5251"/>
    </row>
    <row r="5252" spans="1:15" hidden="1" x14ac:dyDescent="0.25">
      <c r="A5252" t="s">
        <v>84</v>
      </c>
      <c r="B5252" t="s">
        <v>115</v>
      </c>
      <c r="C5252" t="b">
        <v>1</v>
      </c>
      <c r="D5252" s="1">
        <v>42916</v>
      </c>
      <c r="E5252">
        <v>5</v>
      </c>
      <c r="F5252"/>
      <c r="G5252"/>
      <c r="H5252"/>
      <c r="I5252"/>
      <c r="J5252"/>
      <c r="K5252"/>
      <c r="L5252"/>
      <c r="M5252"/>
      <c r="N5252"/>
      <c r="O5252"/>
    </row>
    <row r="5253" spans="1:15" hidden="1" x14ac:dyDescent="0.25">
      <c r="A5253" t="s">
        <v>88</v>
      </c>
      <c r="B5253" t="s">
        <v>115</v>
      </c>
      <c r="C5253" t="b">
        <v>1</v>
      </c>
      <c r="D5253" s="1">
        <v>42916</v>
      </c>
      <c r="E5253">
        <v>5</v>
      </c>
      <c r="F5253"/>
      <c r="G5253"/>
      <c r="H5253"/>
      <c r="I5253"/>
      <c r="J5253"/>
      <c r="K5253"/>
      <c r="L5253"/>
      <c r="M5253"/>
      <c r="N5253"/>
      <c r="O5253"/>
    </row>
    <row r="5254" spans="1:15" hidden="1" x14ac:dyDescent="0.25">
      <c r="A5254" t="s">
        <v>87</v>
      </c>
      <c r="B5254" t="s">
        <v>115</v>
      </c>
      <c r="C5254" t="b">
        <v>1</v>
      </c>
      <c r="D5254" s="1">
        <v>42916</v>
      </c>
      <c r="E5254">
        <v>5</v>
      </c>
      <c r="F5254"/>
      <c r="G5254"/>
      <c r="H5254"/>
      <c r="I5254"/>
      <c r="J5254"/>
      <c r="K5254"/>
      <c r="L5254"/>
      <c r="M5254"/>
      <c r="N5254"/>
      <c r="O5254"/>
    </row>
    <row r="5255" spans="1:15" hidden="1" x14ac:dyDescent="0.25">
      <c r="A5255" t="s">
        <v>93</v>
      </c>
      <c r="B5255" t="s">
        <v>115</v>
      </c>
      <c r="C5255" t="b">
        <v>1</v>
      </c>
      <c r="D5255" s="1">
        <v>42916</v>
      </c>
      <c r="E5255">
        <v>5</v>
      </c>
      <c r="F5255"/>
      <c r="G5255"/>
      <c r="H5255"/>
      <c r="I5255"/>
      <c r="J5255"/>
      <c r="K5255"/>
      <c r="L5255"/>
      <c r="M5255"/>
      <c r="N5255"/>
      <c r="O5255"/>
    </row>
    <row r="5256" spans="1:15" hidden="1" x14ac:dyDescent="0.25">
      <c r="A5256" t="s">
        <v>94</v>
      </c>
      <c r="B5256" t="s">
        <v>115</v>
      </c>
      <c r="C5256" t="b">
        <v>1</v>
      </c>
      <c r="D5256" s="1">
        <v>42916</v>
      </c>
      <c r="E5256">
        <v>5</v>
      </c>
      <c r="F5256"/>
      <c r="G5256"/>
      <c r="H5256"/>
      <c r="I5256"/>
      <c r="J5256"/>
      <c r="K5256"/>
      <c r="L5256"/>
      <c r="M5256"/>
      <c r="N5256"/>
      <c r="O5256"/>
    </row>
    <row r="5257" spans="1:15" hidden="1" x14ac:dyDescent="0.25">
      <c r="A5257" t="s">
        <v>96</v>
      </c>
      <c r="B5257" t="s">
        <v>115</v>
      </c>
      <c r="C5257" t="b">
        <v>1</v>
      </c>
      <c r="D5257" s="1">
        <v>42916</v>
      </c>
      <c r="E5257">
        <v>5</v>
      </c>
      <c r="F5257"/>
      <c r="G5257"/>
      <c r="H5257"/>
      <c r="I5257"/>
      <c r="J5257"/>
      <c r="K5257"/>
      <c r="L5257"/>
      <c r="M5257"/>
      <c r="N5257"/>
      <c r="O5257"/>
    </row>
    <row r="5258" spans="1:15" hidden="1" x14ac:dyDescent="0.25">
      <c r="A5258" t="s">
        <v>98</v>
      </c>
      <c r="B5258" t="s">
        <v>115</v>
      </c>
      <c r="C5258" t="b">
        <v>1</v>
      </c>
      <c r="D5258" s="1">
        <v>42916</v>
      </c>
      <c r="E5258">
        <v>5</v>
      </c>
      <c r="F5258"/>
      <c r="G5258"/>
      <c r="H5258"/>
      <c r="I5258"/>
      <c r="J5258"/>
      <c r="K5258"/>
      <c r="L5258"/>
      <c r="M5258"/>
      <c r="N5258"/>
      <c r="O5258"/>
    </row>
    <row r="5259" spans="1:15" hidden="1" x14ac:dyDescent="0.25">
      <c r="A5259" t="s">
        <v>97</v>
      </c>
      <c r="B5259" t="s">
        <v>115</v>
      </c>
      <c r="C5259" t="b">
        <v>1</v>
      </c>
      <c r="D5259" s="1">
        <v>42916</v>
      </c>
      <c r="E5259">
        <v>5</v>
      </c>
      <c r="F5259"/>
      <c r="G5259"/>
      <c r="H5259"/>
      <c r="I5259"/>
      <c r="J5259"/>
      <c r="K5259"/>
      <c r="L5259"/>
      <c r="M5259"/>
      <c r="N5259"/>
      <c r="O5259"/>
    </row>
    <row r="5260" spans="1:15" hidden="1" x14ac:dyDescent="0.25">
      <c r="A5260" t="s">
        <v>99</v>
      </c>
      <c r="B5260" t="s">
        <v>114</v>
      </c>
      <c r="C5260" t="b">
        <v>1</v>
      </c>
      <c r="D5260" s="1">
        <v>42916</v>
      </c>
      <c r="E5260">
        <v>16.650000000000002</v>
      </c>
      <c r="F5260"/>
      <c r="G5260"/>
      <c r="H5260"/>
      <c r="I5260"/>
      <c r="J5260"/>
      <c r="K5260"/>
      <c r="L5260"/>
      <c r="M5260"/>
      <c r="N5260"/>
      <c r="O5260"/>
    </row>
    <row r="5261" spans="1:15" hidden="1" x14ac:dyDescent="0.25">
      <c r="A5261" t="s">
        <v>100</v>
      </c>
      <c r="B5261" t="s">
        <v>117</v>
      </c>
      <c r="C5261" t="b">
        <v>0</v>
      </c>
      <c r="D5261" s="1">
        <v>42947</v>
      </c>
      <c r="E5261" s="2">
        <v>-48.39</v>
      </c>
      <c r="F5261"/>
      <c r="G5261"/>
      <c r="H5261"/>
      <c r="I5261"/>
      <c r="J5261"/>
      <c r="K5261"/>
      <c r="L5261"/>
      <c r="M5261"/>
      <c r="N5261"/>
      <c r="O5261"/>
    </row>
    <row r="5262" spans="1:15" hidden="1" x14ac:dyDescent="0.25">
      <c r="A5262" t="s">
        <v>104</v>
      </c>
      <c r="B5262" t="s">
        <v>117</v>
      </c>
      <c r="C5262" t="b">
        <v>0</v>
      </c>
      <c r="D5262" s="1">
        <v>42947</v>
      </c>
      <c r="E5262" s="2">
        <v>-10</v>
      </c>
      <c r="F5262"/>
      <c r="G5262"/>
      <c r="H5262"/>
      <c r="I5262"/>
      <c r="J5262"/>
      <c r="K5262"/>
      <c r="L5262"/>
      <c r="M5262"/>
      <c r="N5262"/>
      <c r="O5262"/>
    </row>
    <row r="5263" spans="1:15" hidden="1" x14ac:dyDescent="0.25">
      <c r="A5263" t="s">
        <v>102</v>
      </c>
      <c r="B5263" t="s">
        <v>117</v>
      </c>
      <c r="C5263" t="b">
        <v>0</v>
      </c>
      <c r="D5263" s="1">
        <v>42947</v>
      </c>
      <c r="E5263" s="2">
        <v>-55.92</v>
      </c>
      <c r="F5263"/>
      <c r="G5263"/>
      <c r="H5263"/>
      <c r="I5263"/>
      <c r="J5263"/>
      <c r="K5263"/>
      <c r="L5263"/>
      <c r="M5263"/>
      <c r="N5263"/>
      <c r="O5263"/>
    </row>
    <row r="5264" spans="1:15" hidden="1" x14ac:dyDescent="0.25">
      <c r="A5264" t="s">
        <v>103</v>
      </c>
      <c r="B5264" t="s">
        <v>117</v>
      </c>
      <c r="C5264" t="b">
        <v>0</v>
      </c>
      <c r="D5264" s="1">
        <v>42947</v>
      </c>
      <c r="E5264" s="2">
        <v>-2.4900000000000002</v>
      </c>
      <c r="F5264"/>
      <c r="G5264"/>
      <c r="H5264"/>
      <c r="I5264"/>
      <c r="J5264"/>
      <c r="K5264"/>
      <c r="L5264"/>
      <c r="M5264"/>
      <c r="N5264"/>
      <c r="O5264"/>
    </row>
    <row r="5265" spans="1:15" hidden="1" x14ac:dyDescent="0.25">
      <c r="A5265" t="s">
        <v>101</v>
      </c>
      <c r="B5265" t="s">
        <v>117</v>
      </c>
      <c r="C5265" t="b">
        <v>0</v>
      </c>
      <c r="D5265" s="1">
        <v>42947</v>
      </c>
      <c r="E5265" s="2">
        <v>-9.49</v>
      </c>
      <c r="F5265"/>
      <c r="G5265"/>
      <c r="H5265"/>
      <c r="I5265"/>
      <c r="J5265"/>
      <c r="K5265"/>
      <c r="L5265"/>
      <c r="M5265"/>
      <c r="N5265"/>
      <c r="O5265"/>
    </row>
    <row r="5266" spans="1:15" hidden="1" x14ac:dyDescent="0.25">
      <c r="A5266" t="s">
        <v>47</v>
      </c>
      <c r="B5266" t="s">
        <v>115</v>
      </c>
      <c r="C5266" t="b">
        <v>1</v>
      </c>
      <c r="D5266" s="1">
        <v>42947</v>
      </c>
      <c r="E5266">
        <v>5</v>
      </c>
      <c r="F5266"/>
      <c r="G5266"/>
      <c r="H5266"/>
      <c r="I5266"/>
      <c r="J5266"/>
      <c r="K5266"/>
      <c r="L5266"/>
      <c r="M5266"/>
      <c r="N5266"/>
      <c r="O5266"/>
    </row>
    <row r="5267" spans="1:15" hidden="1" x14ac:dyDescent="0.25">
      <c r="A5267" t="s">
        <v>43</v>
      </c>
      <c r="B5267" t="s">
        <v>115</v>
      </c>
      <c r="C5267" t="b">
        <v>1</v>
      </c>
      <c r="D5267" s="1">
        <v>42947</v>
      </c>
      <c r="E5267">
        <v>5</v>
      </c>
      <c r="F5267"/>
      <c r="G5267"/>
      <c r="H5267"/>
      <c r="I5267"/>
      <c r="J5267"/>
      <c r="K5267"/>
      <c r="L5267"/>
      <c r="M5267"/>
      <c r="N5267"/>
      <c r="O5267"/>
    </row>
    <row r="5268" spans="1:15" hidden="1" x14ac:dyDescent="0.25">
      <c r="A5268" t="s">
        <v>48</v>
      </c>
      <c r="B5268" t="s">
        <v>115</v>
      </c>
      <c r="C5268" t="b">
        <v>0</v>
      </c>
      <c r="D5268" s="1">
        <v>42947</v>
      </c>
      <c r="E5268">
        <v>0</v>
      </c>
      <c r="F5268"/>
      <c r="G5268"/>
      <c r="H5268"/>
      <c r="I5268"/>
      <c r="J5268"/>
      <c r="K5268"/>
      <c r="L5268"/>
      <c r="M5268"/>
      <c r="N5268"/>
      <c r="O5268"/>
    </row>
    <row r="5269" spans="1:15" hidden="1" x14ac:dyDescent="0.25">
      <c r="A5269" t="s">
        <v>49</v>
      </c>
      <c r="B5269" t="s">
        <v>115</v>
      </c>
      <c r="C5269" t="b">
        <v>1</v>
      </c>
      <c r="D5269" s="1">
        <v>42947</v>
      </c>
      <c r="E5269">
        <v>5</v>
      </c>
      <c r="F5269"/>
      <c r="G5269"/>
      <c r="H5269"/>
      <c r="I5269"/>
      <c r="J5269"/>
      <c r="K5269"/>
      <c r="L5269"/>
      <c r="M5269"/>
      <c r="N5269"/>
      <c r="O5269"/>
    </row>
    <row r="5270" spans="1:15" hidden="1" x14ac:dyDescent="0.25">
      <c r="A5270" t="s">
        <v>50</v>
      </c>
      <c r="B5270" t="s">
        <v>115</v>
      </c>
      <c r="C5270" t="b">
        <v>1</v>
      </c>
      <c r="D5270" s="1">
        <v>42947</v>
      </c>
      <c r="E5270">
        <v>5</v>
      </c>
      <c r="F5270"/>
      <c r="G5270"/>
      <c r="H5270"/>
      <c r="I5270"/>
      <c r="J5270"/>
      <c r="K5270"/>
      <c r="L5270"/>
      <c r="M5270"/>
      <c r="N5270"/>
      <c r="O5270"/>
    </row>
    <row r="5271" spans="1:15" hidden="1" x14ac:dyDescent="0.25">
      <c r="A5271" t="s">
        <v>51</v>
      </c>
      <c r="B5271" t="s">
        <v>115</v>
      </c>
      <c r="C5271" t="b">
        <v>1</v>
      </c>
      <c r="D5271" s="1">
        <v>42947</v>
      </c>
      <c r="E5271">
        <v>5</v>
      </c>
      <c r="F5271"/>
      <c r="G5271"/>
      <c r="H5271"/>
      <c r="I5271"/>
      <c r="J5271"/>
      <c r="K5271"/>
      <c r="L5271"/>
      <c r="M5271"/>
      <c r="N5271"/>
      <c r="O5271"/>
    </row>
    <row r="5272" spans="1:15" hidden="1" x14ac:dyDescent="0.25">
      <c r="A5272" t="s">
        <v>52</v>
      </c>
      <c r="B5272" t="s">
        <v>115</v>
      </c>
      <c r="C5272" t="b">
        <v>1</v>
      </c>
      <c r="D5272" s="1">
        <v>42947</v>
      </c>
      <c r="E5272">
        <v>5</v>
      </c>
      <c r="F5272"/>
      <c r="G5272"/>
      <c r="H5272"/>
      <c r="I5272"/>
      <c r="J5272"/>
      <c r="K5272"/>
      <c r="L5272"/>
      <c r="M5272"/>
      <c r="N5272"/>
      <c r="O5272"/>
    </row>
    <row r="5273" spans="1:15" hidden="1" x14ac:dyDescent="0.25">
      <c r="A5273" t="s">
        <v>54</v>
      </c>
      <c r="B5273" t="s">
        <v>115</v>
      </c>
      <c r="C5273" t="b">
        <v>1</v>
      </c>
      <c r="D5273" s="1">
        <v>42947</v>
      </c>
      <c r="E5273">
        <v>5</v>
      </c>
      <c r="F5273"/>
      <c r="G5273"/>
      <c r="H5273"/>
      <c r="I5273"/>
      <c r="J5273"/>
      <c r="K5273"/>
      <c r="L5273"/>
      <c r="M5273"/>
      <c r="N5273"/>
      <c r="O5273"/>
    </row>
    <row r="5274" spans="1:15" hidden="1" x14ac:dyDescent="0.25">
      <c r="A5274" t="s">
        <v>55</v>
      </c>
      <c r="B5274" t="s">
        <v>115</v>
      </c>
      <c r="C5274" t="b">
        <v>1</v>
      </c>
      <c r="D5274" s="1">
        <v>42947</v>
      </c>
      <c r="E5274">
        <v>5</v>
      </c>
      <c r="F5274"/>
      <c r="G5274"/>
      <c r="H5274"/>
      <c r="I5274"/>
      <c r="J5274"/>
      <c r="K5274"/>
      <c r="L5274"/>
      <c r="M5274"/>
      <c r="N5274"/>
      <c r="O5274"/>
    </row>
    <row r="5275" spans="1:15" hidden="1" x14ac:dyDescent="0.25">
      <c r="A5275" t="s">
        <v>58</v>
      </c>
      <c r="B5275" t="s">
        <v>115</v>
      </c>
      <c r="C5275" t="b">
        <v>1</v>
      </c>
      <c r="D5275" s="1">
        <v>42947</v>
      </c>
      <c r="E5275">
        <v>5</v>
      </c>
      <c r="F5275"/>
      <c r="G5275"/>
      <c r="H5275"/>
      <c r="I5275"/>
      <c r="J5275"/>
      <c r="K5275"/>
      <c r="L5275"/>
      <c r="M5275"/>
      <c r="N5275"/>
      <c r="O5275"/>
    </row>
    <row r="5276" spans="1:15" hidden="1" x14ac:dyDescent="0.25">
      <c r="A5276" t="s">
        <v>65</v>
      </c>
      <c r="B5276" t="s">
        <v>115</v>
      </c>
      <c r="C5276" t="b">
        <v>1</v>
      </c>
      <c r="D5276" s="1">
        <v>42947</v>
      </c>
      <c r="E5276">
        <v>5</v>
      </c>
      <c r="F5276"/>
      <c r="G5276"/>
      <c r="H5276"/>
      <c r="I5276"/>
      <c r="J5276"/>
      <c r="K5276"/>
      <c r="L5276"/>
      <c r="M5276"/>
      <c r="N5276"/>
      <c r="O5276"/>
    </row>
    <row r="5277" spans="1:15" hidden="1" x14ac:dyDescent="0.25">
      <c r="A5277" t="s">
        <v>66</v>
      </c>
      <c r="B5277" t="s">
        <v>115</v>
      </c>
      <c r="C5277" t="b">
        <v>1</v>
      </c>
      <c r="D5277" s="1">
        <v>42947</v>
      </c>
      <c r="E5277">
        <v>5</v>
      </c>
      <c r="F5277"/>
      <c r="G5277"/>
      <c r="H5277"/>
      <c r="I5277"/>
      <c r="J5277"/>
      <c r="K5277"/>
      <c r="L5277"/>
      <c r="M5277"/>
      <c r="N5277"/>
      <c r="O5277"/>
    </row>
    <row r="5278" spans="1:15" hidden="1" x14ac:dyDescent="0.25">
      <c r="A5278" t="s">
        <v>68</v>
      </c>
      <c r="B5278" t="s">
        <v>115</v>
      </c>
      <c r="C5278" t="b">
        <v>1</v>
      </c>
      <c r="D5278" s="1">
        <v>42947</v>
      </c>
      <c r="E5278">
        <v>5</v>
      </c>
      <c r="F5278"/>
      <c r="G5278"/>
      <c r="H5278"/>
      <c r="I5278"/>
      <c r="J5278"/>
      <c r="K5278"/>
      <c r="L5278"/>
      <c r="M5278"/>
      <c r="N5278"/>
      <c r="O5278"/>
    </row>
    <row r="5279" spans="1:15" hidden="1" x14ac:dyDescent="0.25">
      <c r="A5279" t="s">
        <v>69</v>
      </c>
      <c r="B5279" t="s">
        <v>115</v>
      </c>
      <c r="C5279" t="b">
        <v>1</v>
      </c>
      <c r="D5279" s="1">
        <v>42947</v>
      </c>
      <c r="E5279">
        <v>5</v>
      </c>
      <c r="F5279"/>
      <c r="G5279"/>
      <c r="H5279"/>
      <c r="I5279"/>
      <c r="J5279"/>
      <c r="K5279"/>
      <c r="L5279"/>
      <c r="M5279"/>
      <c r="N5279"/>
      <c r="O5279"/>
    </row>
    <row r="5280" spans="1:15" hidden="1" x14ac:dyDescent="0.25">
      <c r="A5280" t="s">
        <v>75</v>
      </c>
      <c r="B5280" t="s">
        <v>115</v>
      </c>
      <c r="C5280" t="b">
        <v>1</v>
      </c>
      <c r="D5280" s="1">
        <v>42947</v>
      </c>
      <c r="E5280">
        <v>5</v>
      </c>
      <c r="F5280"/>
      <c r="G5280"/>
      <c r="H5280"/>
      <c r="I5280"/>
      <c r="J5280"/>
      <c r="K5280"/>
      <c r="L5280"/>
      <c r="M5280"/>
      <c r="N5280"/>
      <c r="O5280"/>
    </row>
    <row r="5281" spans="1:15" hidden="1" x14ac:dyDescent="0.25">
      <c r="A5281" t="s">
        <v>76</v>
      </c>
      <c r="B5281" t="s">
        <v>115</v>
      </c>
      <c r="C5281" t="b">
        <v>1</v>
      </c>
      <c r="D5281" s="1">
        <v>42947</v>
      </c>
      <c r="E5281">
        <v>1E-3</v>
      </c>
      <c r="F5281"/>
      <c r="G5281"/>
      <c r="H5281"/>
      <c r="I5281"/>
      <c r="J5281"/>
      <c r="K5281"/>
      <c r="L5281"/>
      <c r="M5281"/>
      <c r="N5281"/>
      <c r="O5281"/>
    </row>
    <row r="5282" spans="1:15" hidden="1" x14ac:dyDescent="0.25">
      <c r="A5282" t="s">
        <v>82</v>
      </c>
      <c r="B5282" t="s">
        <v>115</v>
      </c>
      <c r="C5282" t="b">
        <v>1</v>
      </c>
      <c r="D5282" s="1">
        <v>42947</v>
      </c>
      <c r="E5282">
        <v>5</v>
      </c>
      <c r="F5282"/>
      <c r="G5282"/>
      <c r="H5282"/>
      <c r="I5282"/>
      <c r="J5282"/>
      <c r="K5282"/>
      <c r="L5282"/>
      <c r="M5282"/>
      <c r="N5282"/>
      <c r="O5282"/>
    </row>
    <row r="5283" spans="1:15" hidden="1" x14ac:dyDescent="0.25">
      <c r="A5283" t="s">
        <v>84</v>
      </c>
      <c r="B5283" t="s">
        <v>115</v>
      </c>
      <c r="C5283" t="b">
        <v>1</v>
      </c>
      <c r="D5283" s="1">
        <v>42947</v>
      </c>
      <c r="E5283">
        <v>5</v>
      </c>
      <c r="F5283"/>
      <c r="G5283"/>
      <c r="H5283"/>
      <c r="I5283"/>
      <c r="J5283"/>
      <c r="K5283"/>
      <c r="L5283"/>
      <c r="M5283"/>
      <c r="N5283"/>
      <c r="O5283"/>
    </row>
    <row r="5284" spans="1:15" hidden="1" x14ac:dyDescent="0.25">
      <c r="A5284" t="s">
        <v>88</v>
      </c>
      <c r="B5284" t="s">
        <v>115</v>
      </c>
      <c r="C5284" t="b">
        <v>1</v>
      </c>
      <c r="D5284" s="1">
        <v>42947</v>
      </c>
      <c r="E5284">
        <v>5</v>
      </c>
      <c r="F5284"/>
      <c r="G5284"/>
      <c r="H5284"/>
      <c r="I5284"/>
      <c r="J5284"/>
      <c r="K5284"/>
      <c r="L5284"/>
      <c r="M5284"/>
      <c r="N5284"/>
      <c r="O5284"/>
    </row>
    <row r="5285" spans="1:15" hidden="1" x14ac:dyDescent="0.25">
      <c r="A5285" t="s">
        <v>87</v>
      </c>
      <c r="B5285" t="s">
        <v>115</v>
      </c>
      <c r="C5285" t="b">
        <v>1</v>
      </c>
      <c r="D5285" s="1">
        <v>42947</v>
      </c>
      <c r="E5285">
        <v>5</v>
      </c>
      <c r="F5285"/>
      <c r="G5285"/>
      <c r="H5285"/>
      <c r="I5285"/>
      <c r="J5285"/>
      <c r="K5285"/>
      <c r="L5285"/>
      <c r="M5285"/>
      <c r="N5285"/>
      <c r="O5285"/>
    </row>
    <row r="5286" spans="1:15" hidden="1" x14ac:dyDescent="0.25">
      <c r="A5286" t="s">
        <v>93</v>
      </c>
      <c r="B5286" t="s">
        <v>115</v>
      </c>
      <c r="C5286" t="b">
        <v>1</v>
      </c>
      <c r="D5286" s="1">
        <v>42947</v>
      </c>
      <c r="E5286">
        <v>5</v>
      </c>
      <c r="F5286"/>
      <c r="G5286"/>
      <c r="H5286"/>
      <c r="I5286"/>
      <c r="J5286"/>
      <c r="K5286"/>
      <c r="L5286"/>
      <c r="M5286"/>
      <c r="N5286"/>
      <c r="O5286"/>
    </row>
    <row r="5287" spans="1:15" hidden="1" x14ac:dyDescent="0.25">
      <c r="A5287" t="s">
        <v>94</v>
      </c>
      <c r="B5287" t="s">
        <v>115</v>
      </c>
      <c r="C5287" t="b">
        <v>1</v>
      </c>
      <c r="D5287" s="1">
        <v>42947</v>
      </c>
      <c r="E5287">
        <v>5</v>
      </c>
      <c r="F5287"/>
      <c r="G5287"/>
      <c r="H5287"/>
      <c r="I5287"/>
      <c r="J5287"/>
      <c r="K5287"/>
      <c r="L5287"/>
      <c r="M5287"/>
      <c r="N5287"/>
      <c r="O5287"/>
    </row>
    <row r="5288" spans="1:15" hidden="1" x14ac:dyDescent="0.25">
      <c r="A5288" t="s">
        <v>96</v>
      </c>
      <c r="B5288" t="s">
        <v>115</v>
      </c>
      <c r="C5288" t="b">
        <v>1</v>
      </c>
      <c r="D5288" s="1">
        <v>42947</v>
      </c>
      <c r="E5288">
        <v>5</v>
      </c>
      <c r="F5288"/>
      <c r="G5288"/>
      <c r="H5288"/>
      <c r="I5288"/>
      <c r="J5288"/>
      <c r="K5288"/>
      <c r="L5288"/>
      <c r="M5288"/>
      <c r="N5288"/>
      <c r="O5288"/>
    </row>
    <row r="5289" spans="1:15" hidden="1" x14ac:dyDescent="0.25">
      <c r="A5289" t="s">
        <v>98</v>
      </c>
      <c r="B5289" t="s">
        <v>115</v>
      </c>
      <c r="C5289" t="b">
        <v>1</v>
      </c>
      <c r="D5289" s="1">
        <v>42947</v>
      </c>
      <c r="E5289">
        <v>5</v>
      </c>
      <c r="F5289"/>
      <c r="G5289"/>
      <c r="H5289"/>
      <c r="I5289"/>
      <c r="J5289"/>
      <c r="K5289"/>
      <c r="L5289"/>
      <c r="M5289"/>
      <c r="N5289"/>
      <c r="O5289"/>
    </row>
    <row r="5290" spans="1:15" hidden="1" x14ac:dyDescent="0.25">
      <c r="A5290" t="s">
        <v>97</v>
      </c>
      <c r="B5290" t="s">
        <v>115</v>
      </c>
      <c r="C5290" t="b">
        <v>1</v>
      </c>
      <c r="D5290" s="1">
        <v>42947</v>
      </c>
      <c r="E5290">
        <v>5</v>
      </c>
      <c r="F5290"/>
      <c r="G5290"/>
      <c r="H5290"/>
      <c r="I5290"/>
      <c r="J5290"/>
      <c r="K5290"/>
      <c r="L5290"/>
      <c r="M5290"/>
      <c r="N5290"/>
      <c r="O5290"/>
    </row>
    <row r="5291" spans="1:15" hidden="1" x14ac:dyDescent="0.25">
      <c r="A5291" t="s">
        <v>99</v>
      </c>
      <c r="B5291" t="s">
        <v>114</v>
      </c>
      <c r="C5291" t="b">
        <v>1</v>
      </c>
      <c r="D5291" s="1">
        <v>42947</v>
      </c>
      <c r="E5291">
        <v>37.919999999999995</v>
      </c>
      <c r="F5291"/>
      <c r="G5291"/>
      <c r="H5291"/>
      <c r="I5291"/>
      <c r="J5291"/>
      <c r="K5291"/>
      <c r="L5291"/>
      <c r="M5291"/>
      <c r="N5291"/>
      <c r="O5291"/>
    </row>
    <row r="5292" spans="1:15" hidden="1" x14ac:dyDescent="0.25">
      <c r="A5292" t="s">
        <v>100</v>
      </c>
      <c r="B5292" t="s">
        <v>117</v>
      </c>
      <c r="C5292" t="b">
        <v>0</v>
      </c>
      <c r="D5292" s="1">
        <v>42978</v>
      </c>
      <c r="E5292" s="2">
        <v>-59.94</v>
      </c>
      <c r="F5292"/>
      <c r="G5292"/>
      <c r="H5292"/>
      <c r="I5292"/>
      <c r="J5292"/>
      <c r="K5292"/>
      <c r="L5292"/>
      <c r="M5292"/>
      <c r="N5292"/>
      <c r="O5292"/>
    </row>
    <row r="5293" spans="1:15" hidden="1" x14ac:dyDescent="0.25">
      <c r="A5293" t="s">
        <v>104</v>
      </c>
      <c r="B5293" t="s">
        <v>117</v>
      </c>
      <c r="C5293" t="b">
        <v>0</v>
      </c>
      <c r="D5293" s="1">
        <v>42978</v>
      </c>
      <c r="E5293" s="2">
        <v>-10</v>
      </c>
      <c r="F5293"/>
      <c r="G5293"/>
      <c r="H5293"/>
      <c r="I5293"/>
      <c r="J5293"/>
      <c r="K5293"/>
      <c r="L5293"/>
      <c r="M5293"/>
      <c r="N5293"/>
      <c r="O5293"/>
    </row>
    <row r="5294" spans="1:15" hidden="1" x14ac:dyDescent="0.25">
      <c r="A5294" t="s">
        <v>102</v>
      </c>
      <c r="B5294" t="s">
        <v>117</v>
      </c>
      <c r="C5294" t="b">
        <v>0</v>
      </c>
      <c r="D5294" s="1">
        <v>42978</v>
      </c>
      <c r="E5294" s="2">
        <v>-45.94</v>
      </c>
      <c r="F5294"/>
      <c r="G5294"/>
      <c r="H5294"/>
      <c r="I5294"/>
      <c r="J5294"/>
      <c r="K5294"/>
      <c r="L5294"/>
      <c r="M5294"/>
      <c r="N5294"/>
      <c r="O5294"/>
    </row>
    <row r="5295" spans="1:15" hidden="1" x14ac:dyDescent="0.25">
      <c r="A5295" t="s">
        <v>103</v>
      </c>
      <c r="B5295" t="s">
        <v>117</v>
      </c>
      <c r="C5295" t="b">
        <v>0</v>
      </c>
      <c r="D5295" s="1">
        <v>42978</v>
      </c>
      <c r="E5295" s="2">
        <v>-1.95</v>
      </c>
      <c r="F5295"/>
      <c r="G5295"/>
      <c r="H5295"/>
      <c r="I5295"/>
      <c r="J5295"/>
      <c r="K5295"/>
      <c r="L5295"/>
      <c r="M5295"/>
      <c r="N5295"/>
      <c r="O5295"/>
    </row>
    <row r="5296" spans="1:15" hidden="1" x14ac:dyDescent="0.25">
      <c r="A5296" t="s">
        <v>47</v>
      </c>
      <c r="B5296" t="s">
        <v>115</v>
      </c>
      <c r="C5296" t="b">
        <v>1</v>
      </c>
      <c r="D5296" s="1">
        <v>42978</v>
      </c>
      <c r="E5296">
        <v>5</v>
      </c>
      <c r="F5296"/>
      <c r="G5296"/>
      <c r="H5296"/>
      <c r="I5296"/>
      <c r="J5296"/>
      <c r="K5296"/>
      <c r="L5296"/>
      <c r="M5296"/>
      <c r="N5296"/>
      <c r="O5296"/>
    </row>
    <row r="5297" spans="1:15" hidden="1" x14ac:dyDescent="0.25">
      <c r="A5297" t="s">
        <v>43</v>
      </c>
      <c r="B5297" t="s">
        <v>115</v>
      </c>
      <c r="C5297" t="b">
        <v>1</v>
      </c>
      <c r="D5297" s="1">
        <v>42978</v>
      </c>
      <c r="E5297">
        <v>5</v>
      </c>
      <c r="F5297"/>
      <c r="G5297"/>
      <c r="H5297"/>
      <c r="I5297"/>
      <c r="J5297"/>
      <c r="K5297"/>
      <c r="L5297"/>
      <c r="M5297"/>
      <c r="N5297"/>
      <c r="O5297"/>
    </row>
    <row r="5298" spans="1:15" hidden="1" x14ac:dyDescent="0.25">
      <c r="A5298" t="s">
        <v>48</v>
      </c>
      <c r="B5298" t="s">
        <v>115</v>
      </c>
      <c r="C5298" t="b">
        <v>1</v>
      </c>
      <c r="D5298" s="1">
        <v>42978</v>
      </c>
      <c r="E5298">
        <v>5</v>
      </c>
      <c r="F5298"/>
      <c r="G5298"/>
      <c r="H5298"/>
      <c r="I5298"/>
      <c r="J5298"/>
      <c r="K5298"/>
      <c r="L5298"/>
      <c r="M5298"/>
      <c r="N5298"/>
      <c r="O5298"/>
    </row>
    <row r="5299" spans="1:15" hidden="1" x14ac:dyDescent="0.25">
      <c r="A5299" t="s">
        <v>49</v>
      </c>
      <c r="B5299" t="s">
        <v>115</v>
      </c>
      <c r="C5299" t="b">
        <v>1</v>
      </c>
      <c r="D5299" s="1">
        <v>42978</v>
      </c>
      <c r="E5299">
        <v>5</v>
      </c>
      <c r="F5299"/>
      <c r="G5299"/>
      <c r="H5299"/>
      <c r="I5299"/>
      <c r="J5299"/>
      <c r="K5299"/>
      <c r="L5299"/>
      <c r="M5299"/>
      <c r="N5299"/>
      <c r="O5299"/>
    </row>
    <row r="5300" spans="1:15" hidden="1" x14ac:dyDescent="0.25">
      <c r="A5300" t="s">
        <v>50</v>
      </c>
      <c r="B5300" t="s">
        <v>115</v>
      </c>
      <c r="C5300" t="b">
        <v>1</v>
      </c>
      <c r="D5300" s="1">
        <v>42978</v>
      </c>
      <c r="E5300">
        <v>5</v>
      </c>
      <c r="F5300"/>
      <c r="G5300"/>
      <c r="H5300"/>
      <c r="I5300"/>
      <c r="J5300"/>
      <c r="K5300"/>
      <c r="L5300"/>
      <c r="M5300"/>
      <c r="N5300"/>
      <c r="O5300"/>
    </row>
    <row r="5301" spans="1:15" hidden="1" x14ac:dyDescent="0.25">
      <c r="A5301" t="s">
        <v>51</v>
      </c>
      <c r="B5301" t="s">
        <v>115</v>
      </c>
      <c r="C5301" t="b">
        <v>1</v>
      </c>
      <c r="D5301" s="1">
        <v>42978</v>
      </c>
      <c r="E5301">
        <v>5</v>
      </c>
      <c r="F5301"/>
      <c r="G5301"/>
      <c r="H5301"/>
      <c r="I5301"/>
      <c r="J5301"/>
      <c r="K5301"/>
      <c r="L5301"/>
      <c r="M5301"/>
      <c r="N5301"/>
      <c r="O5301"/>
    </row>
    <row r="5302" spans="1:15" hidden="1" x14ac:dyDescent="0.25">
      <c r="A5302" t="s">
        <v>52</v>
      </c>
      <c r="B5302" t="s">
        <v>115</v>
      </c>
      <c r="C5302" t="b">
        <v>1</v>
      </c>
      <c r="D5302" s="1">
        <v>42978</v>
      </c>
      <c r="E5302">
        <v>5</v>
      </c>
      <c r="F5302"/>
      <c r="G5302"/>
      <c r="H5302"/>
      <c r="I5302"/>
      <c r="J5302"/>
      <c r="K5302"/>
      <c r="L5302"/>
      <c r="M5302"/>
      <c r="N5302"/>
      <c r="O5302"/>
    </row>
    <row r="5303" spans="1:15" hidden="1" x14ac:dyDescent="0.25">
      <c r="A5303" t="s">
        <v>54</v>
      </c>
      <c r="B5303" t="s">
        <v>115</v>
      </c>
      <c r="C5303" t="b">
        <v>1</v>
      </c>
      <c r="D5303" s="1">
        <v>42978</v>
      </c>
      <c r="E5303">
        <v>5</v>
      </c>
      <c r="F5303"/>
      <c r="G5303"/>
      <c r="H5303"/>
      <c r="I5303"/>
      <c r="J5303"/>
      <c r="K5303"/>
      <c r="L5303"/>
      <c r="M5303"/>
      <c r="N5303"/>
      <c r="O5303"/>
    </row>
    <row r="5304" spans="1:15" hidden="1" x14ac:dyDescent="0.25">
      <c r="A5304" t="s">
        <v>55</v>
      </c>
      <c r="B5304" t="s">
        <v>115</v>
      </c>
      <c r="C5304" t="b">
        <v>1</v>
      </c>
      <c r="D5304" s="1">
        <v>42978</v>
      </c>
      <c r="E5304">
        <v>5</v>
      </c>
      <c r="F5304"/>
      <c r="G5304"/>
      <c r="H5304"/>
      <c r="I5304"/>
      <c r="J5304"/>
      <c r="K5304"/>
      <c r="L5304"/>
      <c r="M5304"/>
      <c r="N5304"/>
      <c r="O5304"/>
    </row>
    <row r="5305" spans="1:15" hidden="1" x14ac:dyDescent="0.25">
      <c r="A5305" t="s">
        <v>58</v>
      </c>
      <c r="B5305" t="s">
        <v>115</v>
      </c>
      <c r="C5305" t="b">
        <v>1</v>
      </c>
      <c r="D5305" s="1">
        <v>42978</v>
      </c>
      <c r="E5305">
        <v>5</v>
      </c>
      <c r="F5305"/>
      <c r="G5305"/>
      <c r="H5305"/>
      <c r="I5305"/>
      <c r="J5305"/>
      <c r="K5305"/>
      <c r="L5305"/>
      <c r="M5305"/>
      <c r="N5305"/>
      <c r="O5305"/>
    </row>
    <row r="5306" spans="1:15" hidden="1" x14ac:dyDescent="0.25">
      <c r="A5306" t="s">
        <v>65</v>
      </c>
      <c r="B5306" t="s">
        <v>115</v>
      </c>
      <c r="C5306" t="b">
        <v>1</v>
      </c>
      <c r="D5306" s="1">
        <v>42978</v>
      </c>
      <c r="E5306">
        <v>5</v>
      </c>
      <c r="F5306"/>
      <c r="G5306"/>
      <c r="H5306"/>
      <c r="I5306"/>
      <c r="J5306"/>
      <c r="K5306"/>
      <c r="L5306"/>
      <c r="M5306"/>
      <c r="N5306"/>
      <c r="O5306"/>
    </row>
    <row r="5307" spans="1:15" hidden="1" x14ac:dyDescent="0.25">
      <c r="A5307" t="s">
        <v>66</v>
      </c>
      <c r="B5307" t="s">
        <v>115</v>
      </c>
      <c r="C5307" t="b">
        <v>1</v>
      </c>
      <c r="D5307" s="1">
        <v>42978</v>
      </c>
      <c r="E5307">
        <v>5</v>
      </c>
      <c r="F5307"/>
      <c r="G5307"/>
      <c r="H5307"/>
      <c r="I5307"/>
      <c r="J5307"/>
      <c r="K5307"/>
      <c r="L5307"/>
      <c r="M5307"/>
      <c r="N5307"/>
      <c r="O5307"/>
    </row>
    <row r="5308" spans="1:15" hidden="1" x14ac:dyDescent="0.25">
      <c r="A5308" t="s">
        <v>68</v>
      </c>
      <c r="B5308" t="s">
        <v>115</v>
      </c>
      <c r="C5308" t="b">
        <v>1</v>
      </c>
      <c r="D5308" s="1">
        <v>42978</v>
      </c>
      <c r="E5308">
        <v>5</v>
      </c>
      <c r="F5308"/>
      <c r="G5308"/>
      <c r="H5308"/>
      <c r="I5308"/>
      <c r="J5308"/>
      <c r="K5308"/>
      <c r="L5308"/>
      <c r="M5308"/>
      <c r="N5308"/>
      <c r="O5308"/>
    </row>
    <row r="5309" spans="1:15" hidden="1" x14ac:dyDescent="0.25">
      <c r="A5309" t="s">
        <v>69</v>
      </c>
      <c r="B5309" t="s">
        <v>115</v>
      </c>
      <c r="C5309" t="b">
        <v>1</v>
      </c>
      <c r="D5309" s="1">
        <v>42978</v>
      </c>
      <c r="E5309">
        <v>5</v>
      </c>
      <c r="F5309"/>
      <c r="G5309"/>
      <c r="H5309"/>
      <c r="I5309"/>
      <c r="J5309"/>
      <c r="K5309"/>
      <c r="L5309"/>
      <c r="M5309"/>
      <c r="N5309"/>
      <c r="O5309"/>
    </row>
    <row r="5310" spans="1:15" hidden="1" x14ac:dyDescent="0.25">
      <c r="A5310" t="s">
        <v>75</v>
      </c>
      <c r="B5310" t="s">
        <v>115</v>
      </c>
      <c r="C5310" t="b">
        <v>1</v>
      </c>
      <c r="D5310" s="1">
        <v>42978</v>
      </c>
      <c r="E5310">
        <v>5</v>
      </c>
      <c r="F5310"/>
      <c r="G5310"/>
      <c r="H5310"/>
      <c r="I5310"/>
      <c r="J5310"/>
      <c r="K5310"/>
      <c r="L5310"/>
      <c r="M5310"/>
      <c r="N5310"/>
      <c r="O5310"/>
    </row>
    <row r="5311" spans="1:15" hidden="1" x14ac:dyDescent="0.25">
      <c r="A5311" t="s">
        <v>76</v>
      </c>
      <c r="B5311" t="s">
        <v>115</v>
      </c>
      <c r="C5311" t="b">
        <v>1</v>
      </c>
      <c r="D5311" s="1">
        <v>42978</v>
      </c>
      <c r="E5311">
        <v>1E-3</v>
      </c>
      <c r="F5311"/>
      <c r="G5311"/>
      <c r="H5311"/>
      <c r="I5311"/>
      <c r="J5311"/>
      <c r="K5311"/>
      <c r="L5311"/>
      <c r="M5311"/>
      <c r="N5311"/>
      <c r="O5311"/>
    </row>
    <row r="5312" spans="1:15" hidden="1" x14ac:dyDescent="0.25">
      <c r="A5312" t="s">
        <v>82</v>
      </c>
      <c r="B5312" t="s">
        <v>115</v>
      </c>
      <c r="C5312" t="b">
        <v>1</v>
      </c>
      <c r="D5312" s="1">
        <v>42978</v>
      </c>
      <c r="E5312">
        <v>5</v>
      </c>
      <c r="F5312"/>
      <c r="G5312"/>
      <c r="H5312"/>
      <c r="I5312"/>
      <c r="J5312"/>
      <c r="K5312"/>
      <c r="L5312"/>
      <c r="M5312"/>
      <c r="N5312"/>
      <c r="O5312"/>
    </row>
    <row r="5313" spans="1:15" hidden="1" x14ac:dyDescent="0.25">
      <c r="A5313" t="s">
        <v>84</v>
      </c>
      <c r="B5313" t="s">
        <v>115</v>
      </c>
      <c r="C5313" t="b">
        <v>1</v>
      </c>
      <c r="D5313" s="1">
        <v>42978</v>
      </c>
      <c r="E5313">
        <v>5</v>
      </c>
      <c r="F5313"/>
      <c r="G5313"/>
      <c r="H5313"/>
      <c r="I5313"/>
      <c r="J5313"/>
      <c r="K5313"/>
      <c r="L5313"/>
      <c r="M5313"/>
      <c r="N5313"/>
      <c r="O5313"/>
    </row>
    <row r="5314" spans="1:15" hidden="1" x14ac:dyDescent="0.25">
      <c r="A5314" t="s">
        <v>88</v>
      </c>
      <c r="B5314" t="s">
        <v>115</v>
      </c>
      <c r="C5314" t="b">
        <v>1</v>
      </c>
      <c r="D5314" s="1">
        <v>42978</v>
      </c>
      <c r="E5314">
        <v>5</v>
      </c>
      <c r="F5314"/>
      <c r="G5314"/>
      <c r="H5314"/>
      <c r="I5314"/>
      <c r="J5314"/>
      <c r="K5314"/>
      <c r="L5314"/>
      <c r="M5314"/>
      <c r="N5314"/>
      <c r="O5314"/>
    </row>
    <row r="5315" spans="1:15" hidden="1" x14ac:dyDescent="0.25">
      <c r="A5315" t="s">
        <v>87</v>
      </c>
      <c r="B5315" t="s">
        <v>115</v>
      </c>
      <c r="C5315" t="b">
        <v>1</v>
      </c>
      <c r="D5315" s="1">
        <v>42978</v>
      </c>
      <c r="E5315">
        <v>5</v>
      </c>
      <c r="F5315"/>
      <c r="G5315"/>
      <c r="H5315"/>
      <c r="I5315"/>
      <c r="J5315"/>
      <c r="K5315"/>
      <c r="L5315"/>
      <c r="M5315"/>
      <c r="N5315"/>
      <c r="O5315"/>
    </row>
    <row r="5316" spans="1:15" hidden="1" x14ac:dyDescent="0.25">
      <c r="A5316" t="s">
        <v>93</v>
      </c>
      <c r="B5316" t="s">
        <v>115</v>
      </c>
      <c r="C5316" t="b">
        <v>1</v>
      </c>
      <c r="D5316" s="1">
        <v>42978</v>
      </c>
      <c r="E5316">
        <v>5</v>
      </c>
      <c r="F5316"/>
      <c r="G5316"/>
      <c r="H5316"/>
      <c r="I5316"/>
      <c r="J5316"/>
      <c r="K5316"/>
      <c r="L5316"/>
      <c r="M5316"/>
      <c r="N5316"/>
      <c r="O5316"/>
    </row>
    <row r="5317" spans="1:15" hidden="1" x14ac:dyDescent="0.25">
      <c r="A5317" t="s">
        <v>94</v>
      </c>
      <c r="B5317" t="s">
        <v>115</v>
      </c>
      <c r="C5317" t="b">
        <v>1</v>
      </c>
      <c r="D5317" s="1">
        <v>42978</v>
      </c>
      <c r="E5317">
        <v>5</v>
      </c>
      <c r="F5317"/>
      <c r="G5317"/>
      <c r="H5317"/>
      <c r="I5317"/>
      <c r="J5317"/>
      <c r="K5317"/>
      <c r="L5317"/>
      <c r="M5317"/>
      <c r="N5317"/>
      <c r="O5317"/>
    </row>
    <row r="5318" spans="1:15" hidden="1" x14ac:dyDescent="0.25">
      <c r="A5318" t="s">
        <v>96</v>
      </c>
      <c r="B5318" t="s">
        <v>115</v>
      </c>
      <c r="C5318" t="b">
        <v>1</v>
      </c>
      <c r="D5318" s="1">
        <v>42978</v>
      </c>
      <c r="E5318">
        <v>5</v>
      </c>
      <c r="F5318"/>
      <c r="G5318"/>
      <c r="H5318"/>
      <c r="I5318"/>
      <c r="J5318"/>
      <c r="K5318"/>
      <c r="L5318"/>
      <c r="M5318"/>
      <c r="N5318"/>
      <c r="O5318"/>
    </row>
    <row r="5319" spans="1:15" hidden="1" x14ac:dyDescent="0.25">
      <c r="A5319" t="s">
        <v>98</v>
      </c>
      <c r="B5319" t="s">
        <v>115</v>
      </c>
      <c r="C5319" t="b">
        <v>1</v>
      </c>
      <c r="D5319" s="1">
        <v>42978</v>
      </c>
      <c r="E5319">
        <v>5</v>
      </c>
      <c r="F5319"/>
      <c r="G5319"/>
      <c r="H5319"/>
      <c r="I5319"/>
      <c r="J5319"/>
      <c r="K5319"/>
      <c r="L5319"/>
      <c r="M5319"/>
      <c r="N5319"/>
      <c r="O5319"/>
    </row>
    <row r="5320" spans="1:15" hidden="1" x14ac:dyDescent="0.25">
      <c r="A5320" t="s">
        <v>97</v>
      </c>
      <c r="B5320" t="s">
        <v>115</v>
      </c>
      <c r="C5320" t="b">
        <v>1</v>
      </c>
      <c r="D5320" s="1">
        <v>42978</v>
      </c>
      <c r="E5320">
        <v>5</v>
      </c>
      <c r="F5320"/>
      <c r="G5320"/>
      <c r="H5320"/>
      <c r="I5320"/>
      <c r="J5320"/>
      <c r="K5320"/>
      <c r="L5320"/>
      <c r="M5320"/>
      <c r="N5320"/>
      <c r="O5320"/>
    </row>
    <row r="5321" spans="1:15" hidden="1" x14ac:dyDescent="0.25">
      <c r="A5321" t="s">
        <v>99</v>
      </c>
      <c r="B5321" t="s">
        <v>114</v>
      </c>
      <c r="C5321" t="b">
        <v>1</v>
      </c>
      <c r="D5321" s="1">
        <v>42978</v>
      </c>
      <c r="E5321">
        <v>21.88</v>
      </c>
      <c r="F5321"/>
      <c r="G5321"/>
      <c r="H5321"/>
      <c r="I5321"/>
      <c r="J5321"/>
      <c r="K5321"/>
      <c r="L5321"/>
      <c r="M5321"/>
      <c r="N5321"/>
      <c r="O5321"/>
    </row>
    <row r="5322" spans="1:15" hidden="1" x14ac:dyDescent="0.25">
      <c r="A5322" t="s">
        <v>100</v>
      </c>
      <c r="B5322" t="s">
        <v>117</v>
      </c>
      <c r="C5322" t="b">
        <v>0</v>
      </c>
      <c r="D5322" s="1">
        <v>43008</v>
      </c>
      <c r="E5322" s="2">
        <v>-59.94</v>
      </c>
      <c r="F5322"/>
      <c r="G5322"/>
      <c r="H5322"/>
      <c r="I5322"/>
      <c r="J5322"/>
      <c r="K5322"/>
      <c r="L5322"/>
      <c r="M5322"/>
      <c r="N5322"/>
      <c r="O5322"/>
    </row>
    <row r="5323" spans="1:15" hidden="1" x14ac:dyDescent="0.25">
      <c r="A5323" t="s">
        <v>104</v>
      </c>
      <c r="B5323" t="s">
        <v>117</v>
      </c>
      <c r="C5323" t="b">
        <v>0</v>
      </c>
      <c r="D5323" s="1">
        <v>43008</v>
      </c>
      <c r="E5323" s="2">
        <v>-10</v>
      </c>
      <c r="F5323"/>
      <c r="G5323"/>
      <c r="H5323"/>
      <c r="I5323"/>
      <c r="J5323"/>
      <c r="K5323"/>
      <c r="L5323"/>
      <c r="M5323"/>
      <c r="N5323"/>
      <c r="O5323"/>
    </row>
    <row r="5324" spans="1:15" hidden="1" x14ac:dyDescent="0.25">
      <c r="A5324" t="s">
        <v>102</v>
      </c>
      <c r="B5324" t="s">
        <v>117</v>
      </c>
      <c r="C5324" t="b">
        <v>0</v>
      </c>
      <c r="D5324" s="1">
        <v>43008</v>
      </c>
      <c r="E5324" s="2">
        <v>-43.94</v>
      </c>
      <c r="F5324"/>
      <c r="G5324"/>
      <c r="H5324"/>
      <c r="I5324"/>
      <c r="J5324"/>
      <c r="K5324"/>
      <c r="L5324"/>
      <c r="M5324"/>
      <c r="N5324"/>
      <c r="O5324"/>
    </row>
    <row r="5325" spans="1:15" hidden="1" x14ac:dyDescent="0.25">
      <c r="A5325" t="s">
        <v>103</v>
      </c>
      <c r="B5325" t="s">
        <v>117</v>
      </c>
      <c r="C5325" t="b">
        <v>0</v>
      </c>
      <c r="D5325" s="1">
        <v>43008</v>
      </c>
      <c r="E5325" s="2">
        <v>-1.95</v>
      </c>
      <c r="F5325"/>
      <c r="G5325"/>
      <c r="H5325"/>
      <c r="I5325"/>
      <c r="J5325"/>
      <c r="K5325"/>
      <c r="L5325"/>
      <c r="M5325"/>
      <c r="N5325"/>
      <c r="O5325"/>
    </row>
    <row r="5326" spans="1:15" hidden="1" x14ac:dyDescent="0.25">
      <c r="A5326" t="s">
        <v>47</v>
      </c>
      <c r="B5326" t="s">
        <v>115</v>
      </c>
      <c r="C5326" t="b">
        <v>1</v>
      </c>
      <c r="D5326" s="1">
        <v>43008</v>
      </c>
      <c r="E5326">
        <v>5</v>
      </c>
      <c r="F5326"/>
      <c r="G5326"/>
      <c r="H5326"/>
      <c r="I5326"/>
      <c r="J5326"/>
      <c r="K5326"/>
      <c r="L5326"/>
      <c r="M5326"/>
      <c r="N5326"/>
      <c r="O5326"/>
    </row>
    <row r="5327" spans="1:15" hidden="1" x14ac:dyDescent="0.25">
      <c r="A5327" t="s">
        <v>43</v>
      </c>
      <c r="B5327" t="s">
        <v>115</v>
      </c>
      <c r="C5327" t="b">
        <v>1</v>
      </c>
      <c r="D5327" s="1">
        <v>43008</v>
      </c>
      <c r="E5327">
        <v>5</v>
      </c>
      <c r="F5327"/>
      <c r="G5327"/>
      <c r="H5327"/>
      <c r="I5327"/>
      <c r="J5327"/>
      <c r="K5327"/>
      <c r="L5327"/>
      <c r="M5327"/>
      <c r="N5327"/>
      <c r="O5327"/>
    </row>
    <row r="5328" spans="1:15" hidden="1" x14ac:dyDescent="0.25">
      <c r="A5328" t="s">
        <v>48</v>
      </c>
      <c r="B5328" t="s">
        <v>115</v>
      </c>
      <c r="C5328" t="b">
        <v>1</v>
      </c>
      <c r="D5328" s="1">
        <v>43008</v>
      </c>
      <c r="E5328">
        <v>5</v>
      </c>
      <c r="F5328"/>
      <c r="G5328"/>
      <c r="H5328"/>
      <c r="I5328"/>
      <c r="J5328"/>
      <c r="K5328"/>
      <c r="L5328"/>
      <c r="M5328"/>
      <c r="N5328"/>
      <c r="O5328"/>
    </row>
    <row r="5329" spans="1:15" hidden="1" x14ac:dyDescent="0.25">
      <c r="A5329" t="s">
        <v>49</v>
      </c>
      <c r="B5329" t="s">
        <v>115</v>
      </c>
      <c r="C5329" t="b">
        <v>1</v>
      </c>
      <c r="D5329" s="1">
        <v>43008</v>
      </c>
      <c r="E5329">
        <v>5</v>
      </c>
      <c r="F5329"/>
      <c r="G5329"/>
      <c r="H5329"/>
      <c r="I5329"/>
      <c r="J5329"/>
      <c r="K5329"/>
      <c r="L5329"/>
      <c r="M5329"/>
      <c r="N5329"/>
      <c r="O5329"/>
    </row>
    <row r="5330" spans="1:15" hidden="1" x14ac:dyDescent="0.25">
      <c r="A5330" t="s">
        <v>50</v>
      </c>
      <c r="B5330" t="s">
        <v>115</v>
      </c>
      <c r="C5330" t="b">
        <v>1</v>
      </c>
      <c r="D5330" s="1">
        <v>43008</v>
      </c>
      <c r="E5330">
        <v>5</v>
      </c>
      <c r="F5330"/>
      <c r="G5330"/>
      <c r="H5330"/>
      <c r="I5330"/>
      <c r="J5330"/>
      <c r="K5330"/>
      <c r="L5330"/>
      <c r="M5330"/>
      <c r="N5330"/>
      <c r="O5330"/>
    </row>
    <row r="5331" spans="1:15" hidden="1" x14ac:dyDescent="0.25">
      <c r="A5331" t="s">
        <v>51</v>
      </c>
      <c r="B5331" t="s">
        <v>115</v>
      </c>
      <c r="C5331" t="b">
        <v>1</v>
      </c>
      <c r="D5331" s="1">
        <v>43008</v>
      </c>
      <c r="E5331">
        <v>5</v>
      </c>
      <c r="F5331"/>
      <c r="G5331"/>
      <c r="H5331"/>
      <c r="I5331"/>
      <c r="J5331"/>
      <c r="K5331"/>
      <c r="L5331"/>
      <c r="M5331"/>
      <c r="N5331"/>
      <c r="O5331"/>
    </row>
    <row r="5332" spans="1:15" hidden="1" x14ac:dyDescent="0.25">
      <c r="A5332" t="s">
        <v>52</v>
      </c>
      <c r="B5332" t="s">
        <v>115</v>
      </c>
      <c r="C5332" t="b">
        <v>1</v>
      </c>
      <c r="D5332" s="1">
        <v>43008</v>
      </c>
      <c r="E5332">
        <v>5</v>
      </c>
      <c r="F5332"/>
      <c r="G5332"/>
      <c r="H5332"/>
      <c r="I5332"/>
      <c r="J5332"/>
      <c r="K5332"/>
      <c r="L5332"/>
      <c r="M5332"/>
      <c r="N5332"/>
      <c r="O5332"/>
    </row>
    <row r="5333" spans="1:15" hidden="1" x14ac:dyDescent="0.25">
      <c r="A5333" t="s">
        <v>54</v>
      </c>
      <c r="B5333" t="s">
        <v>115</v>
      </c>
      <c r="C5333" t="b">
        <v>1</v>
      </c>
      <c r="D5333" s="1">
        <v>43008</v>
      </c>
      <c r="E5333">
        <v>5</v>
      </c>
      <c r="F5333"/>
      <c r="G5333"/>
      <c r="H5333"/>
      <c r="I5333"/>
      <c r="J5333"/>
      <c r="K5333"/>
      <c r="L5333"/>
      <c r="M5333"/>
      <c r="N5333"/>
      <c r="O5333"/>
    </row>
    <row r="5334" spans="1:15" hidden="1" x14ac:dyDescent="0.25">
      <c r="A5334" t="s">
        <v>55</v>
      </c>
      <c r="B5334" t="s">
        <v>115</v>
      </c>
      <c r="C5334" t="b">
        <v>1</v>
      </c>
      <c r="D5334" s="1">
        <v>43008</v>
      </c>
      <c r="E5334">
        <v>5</v>
      </c>
      <c r="F5334"/>
      <c r="G5334"/>
      <c r="H5334"/>
      <c r="I5334"/>
      <c r="J5334"/>
      <c r="K5334"/>
      <c r="L5334"/>
      <c r="M5334"/>
      <c r="N5334"/>
      <c r="O5334"/>
    </row>
    <row r="5335" spans="1:15" hidden="1" x14ac:dyDescent="0.25">
      <c r="A5335" t="s">
        <v>58</v>
      </c>
      <c r="B5335" t="s">
        <v>115</v>
      </c>
      <c r="C5335" t="b">
        <v>1</v>
      </c>
      <c r="D5335" s="1">
        <v>43008</v>
      </c>
      <c r="E5335">
        <v>5</v>
      </c>
      <c r="F5335"/>
      <c r="G5335"/>
      <c r="H5335"/>
      <c r="I5335"/>
      <c r="J5335"/>
      <c r="K5335"/>
      <c r="L5335"/>
      <c r="M5335"/>
      <c r="N5335"/>
      <c r="O5335"/>
    </row>
    <row r="5336" spans="1:15" hidden="1" x14ac:dyDescent="0.25">
      <c r="A5336" t="s">
        <v>65</v>
      </c>
      <c r="B5336" t="s">
        <v>115</v>
      </c>
      <c r="C5336" t="b">
        <v>1</v>
      </c>
      <c r="D5336" s="1">
        <v>43008</v>
      </c>
      <c r="E5336">
        <v>5</v>
      </c>
      <c r="F5336"/>
      <c r="G5336"/>
      <c r="H5336"/>
      <c r="I5336"/>
      <c r="J5336"/>
      <c r="K5336"/>
      <c r="L5336"/>
      <c r="M5336"/>
      <c r="N5336"/>
      <c r="O5336"/>
    </row>
    <row r="5337" spans="1:15" hidden="1" x14ac:dyDescent="0.25">
      <c r="A5337" t="s">
        <v>66</v>
      </c>
      <c r="B5337" t="s">
        <v>115</v>
      </c>
      <c r="C5337" t="b">
        <v>1</v>
      </c>
      <c r="D5337" s="1">
        <v>43008</v>
      </c>
      <c r="E5337">
        <v>5</v>
      </c>
      <c r="F5337"/>
      <c r="G5337"/>
      <c r="H5337"/>
      <c r="I5337"/>
      <c r="J5337"/>
      <c r="K5337"/>
      <c r="L5337"/>
      <c r="M5337"/>
      <c r="N5337"/>
      <c r="O5337"/>
    </row>
    <row r="5338" spans="1:15" hidden="1" x14ac:dyDescent="0.25">
      <c r="A5338" t="s">
        <v>68</v>
      </c>
      <c r="B5338" t="s">
        <v>115</v>
      </c>
      <c r="C5338" t="b">
        <v>1</v>
      </c>
      <c r="D5338" s="1">
        <v>43008</v>
      </c>
      <c r="E5338">
        <v>5</v>
      </c>
      <c r="F5338"/>
      <c r="G5338"/>
      <c r="H5338"/>
      <c r="I5338"/>
      <c r="J5338"/>
      <c r="K5338"/>
      <c r="L5338"/>
      <c r="M5338"/>
      <c r="N5338"/>
      <c r="O5338"/>
    </row>
    <row r="5339" spans="1:15" hidden="1" x14ac:dyDescent="0.25">
      <c r="A5339" t="s">
        <v>69</v>
      </c>
      <c r="B5339" t="s">
        <v>115</v>
      </c>
      <c r="C5339" t="b">
        <v>1</v>
      </c>
      <c r="D5339" s="1">
        <v>43008</v>
      </c>
      <c r="E5339">
        <v>5</v>
      </c>
      <c r="F5339"/>
      <c r="G5339"/>
      <c r="H5339"/>
      <c r="I5339"/>
      <c r="J5339"/>
      <c r="K5339"/>
      <c r="L5339"/>
      <c r="M5339"/>
      <c r="N5339"/>
      <c r="O5339"/>
    </row>
    <row r="5340" spans="1:15" hidden="1" x14ac:dyDescent="0.25">
      <c r="A5340" t="s">
        <v>75</v>
      </c>
      <c r="B5340" t="s">
        <v>115</v>
      </c>
      <c r="C5340" t="b">
        <v>1</v>
      </c>
      <c r="D5340" s="1">
        <v>43008</v>
      </c>
      <c r="E5340">
        <v>5</v>
      </c>
      <c r="F5340"/>
      <c r="G5340"/>
      <c r="H5340"/>
      <c r="I5340"/>
      <c r="J5340"/>
      <c r="K5340"/>
      <c r="L5340"/>
      <c r="M5340"/>
      <c r="N5340"/>
      <c r="O5340"/>
    </row>
    <row r="5341" spans="1:15" hidden="1" x14ac:dyDescent="0.25">
      <c r="A5341" t="s">
        <v>76</v>
      </c>
      <c r="B5341" t="s">
        <v>115</v>
      </c>
      <c r="C5341" t="b">
        <v>1</v>
      </c>
      <c r="D5341" s="1">
        <v>43008</v>
      </c>
      <c r="E5341">
        <v>1E-3</v>
      </c>
      <c r="F5341"/>
      <c r="G5341"/>
      <c r="H5341"/>
      <c r="I5341"/>
      <c r="J5341"/>
      <c r="K5341"/>
      <c r="L5341"/>
      <c r="M5341"/>
      <c r="N5341"/>
      <c r="O5341"/>
    </row>
    <row r="5342" spans="1:15" hidden="1" x14ac:dyDescent="0.25">
      <c r="A5342" t="s">
        <v>82</v>
      </c>
      <c r="B5342" t="s">
        <v>115</v>
      </c>
      <c r="C5342" t="b">
        <v>1</v>
      </c>
      <c r="D5342" s="1">
        <v>43008</v>
      </c>
      <c r="E5342">
        <v>5</v>
      </c>
      <c r="F5342"/>
      <c r="G5342"/>
      <c r="H5342"/>
      <c r="I5342"/>
      <c r="J5342"/>
      <c r="K5342"/>
      <c r="L5342"/>
      <c r="M5342"/>
      <c r="N5342"/>
      <c r="O5342"/>
    </row>
    <row r="5343" spans="1:15" hidden="1" x14ac:dyDescent="0.25">
      <c r="A5343" t="s">
        <v>84</v>
      </c>
      <c r="B5343" t="s">
        <v>115</v>
      </c>
      <c r="C5343" t="b">
        <v>1</v>
      </c>
      <c r="D5343" s="1">
        <v>43008</v>
      </c>
      <c r="E5343">
        <v>5</v>
      </c>
      <c r="F5343"/>
      <c r="G5343"/>
      <c r="H5343"/>
      <c r="I5343"/>
      <c r="J5343"/>
      <c r="K5343"/>
      <c r="L5343"/>
      <c r="M5343"/>
      <c r="N5343"/>
      <c r="O5343"/>
    </row>
    <row r="5344" spans="1:15" hidden="1" x14ac:dyDescent="0.25">
      <c r="A5344" t="s">
        <v>88</v>
      </c>
      <c r="B5344" t="s">
        <v>115</v>
      </c>
      <c r="C5344" t="b">
        <v>1</v>
      </c>
      <c r="D5344" s="1">
        <v>43008</v>
      </c>
      <c r="E5344">
        <v>5</v>
      </c>
      <c r="F5344"/>
      <c r="G5344"/>
      <c r="H5344"/>
      <c r="I5344"/>
      <c r="J5344"/>
      <c r="K5344"/>
      <c r="L5344"/>
      <c r="M5344"/>
      <c r="N5344"/>
      <c r="O5344"/>
    </row>
    <row r="5345" spans="1:15" hidden="1" x14ac:dyDescent="0.25">
      <c r="A5345" t="s">
        <v>87</v>
      </c>
      <c r="B5345" t="s">
        <v>115</v>
      </c>
      <c r="C5345" t="b">
        <v>1</v>
      </c>
      <c r="D5345" s="1">
        <v>43008</v>
      </c>
      <c r="E5345">
        <v>5</v>
      </c>
      <c r="F5345"/>
      <c r="G5345"/>
      <c r="H5345"/>
      <c r="I5345"/>
      <c r="J5345"/>
      <c r="K5345"/>
      <c r="L5345"/>
      <c r="M5345"/>
      <c r="N5345"/>
      <c r="O5345"/>
    </row>
    <row r="5346" spans="1:15" hidden="1" x14ac:dyDescent="0.25">
      <c r="A5346" t="s">
        <v>93</v>
      </c>
      <c r="B5346" t="s">
        <v>115</v>
      </c>
      <c r="C5346" t="b">
        <v>1</v>
      </c>
      <c r="D5346" s="1">
        <v>43008</v>
      </c>
      <c r="E5346">
        <v>5</v>
      </c>
      <c r="F5346"/>
      <c r="G5346"/>
      <c r="H5346"/>
      <c r="I5346"/>
      <c r="J5346"/>
      <c r="K5346"/>
      <c r="L5346"/>
      <c r="M5346"/>
      <c r="N5346"/>
      <c r="O5346"/>
    </row>
    <row r="5347" spans="1:15" hidden="1" x14ac:dyDescent="0.25">
      <c r="A5347" t="s">
        <v>94</v>
      </c>
      <c r="B5347" t="s">
        <v>115</v>
      </c>
      <c r="C5347" t="b">
        <v>1</v>
      </c>
      <c r="D5347" s="1">
        <v>43008</v>
      </c>
      <c r="E5347">
        <v>5</v>
      </c>
      <c r="F5347"/>
      <c r="G5347"/>
      <c r="H5347"/>
      <c r="I5347"/>
      <c r="J5347"/>
      <c r="K5347"/>
      <c r="L5347"/>
      <c r="M5347"/>
      <c r="N5347"/>
      <c r="O5347"/>
    </row>
    <row r="5348" spans="1:15" hidden="1" x14ac:dyDescent="0.25">
      <c r="A5348" t="s">
        <v>96</v>
      </c>
      <c r="B5348" t="s">
        <v>115</v>
      </c>
      <c r="C5348" t="b">
        <v>1</v>
      </c>
      <c r="D5348" s="1">
        <v>43008</v>
      </c>
      <c r="E5348">
        <v>5</v>
      </c>
      <c r="F5348"/>
      <c r="G5348"/>
      <c r="H5348"/>
      <c r="I5348"/>
      <c r="J5348"/>
      <c r="K5348"/>
      <c r="L5348"/>
      <c r="M5348"/>
      <c r="N5348"/>
      <c r="O5348"/>
    </row>
    <row r="5349" spans="1:15" hidden="1" x14ac:dyDescent="0.25">
      <c r="A5349" t="s">
        <v>98</v>
      </c>
      <c r="B5349" t="s">
        <v>115</v>
      </c>
      <c r="C5349" t="b">
        <v>1</v>
      </c>
      <c r="D5349" s="1">
        <v>43008</v>
      </c>
      <c r="E5349">
        <v>5</v>
      </c>
      <c r="F5349"/>
      <c r="G5349"/>
      <c r="H5349"/>
      <c r="I5349"/>
      <c r="J5349"/>
      <c r="K5349"/>
      <c r="L5349"/>
      <c r="M5349"/>
      <c r="N5349"/>
      <c r="O5349"/>
    </row>
    <row r="5350" spans="1:15" hidden="1" x14ac:dyDescent="0.25">
      <c r="A5350" t="s">
        <v>97</v>
      </c>
      <c r="B5350" t="s">
        <v>115</v>
      </c>
      <c r="C5350" t="b">
        <v>1</v>
      </c>
      <c r="D5350" s="1">
        <v>43008</v>
      </c>
      <c r="E5350">
        <v>5</v>
      </c>
      <c r="F5350"/>
      <c r="G5350"/>
      <c r="H5350"/>
      <c r="I5350"/>
      <c r="J5350"/>
      <c r="K5350"/>
      <c r="L5350"/>
      <c r="M5350"/>
      <c r="N5350"/>
      <c r="O5350"/>
    </row>
    <row r="5351" spans="1:15" hidden="1" x14ac:dyDescent="0.25">
      <c r="A5351" t="s">
        <v>99</v>
      </c>
      <c r="B5351" t="s">
        <v>114</v>
      </c>
      <c r="C5351" t="b">
        <v>1</v>
      </c>
      <c r="D5351" s="1">
        <v>43008</v>
      </c>
      <c r="E5351">
        <v>22.52</v>
      </c>
      <c r="F5351"/>
      <c r="G5351"/>
      <c r="H5351"/>
      <c r="I5351"/>
      <c r="J5351"/>
      <c r="K5351"/>
      <c r="L5351"/>
      <c r="M5351"/>
      <c r="N5351"/>
      <c r="O5351"/>
    </row>
    <row r="5352" spans="1:15" hidden="1" x14ac:dyDescent="0.25">
      <c r="A5352" t="s">
        <v>100</v>
      </c>
      <c r="B5352" t="s">
        <v>117</v>
      </c>
      <c r="C5352" t="b">
        <v>0</v>
      </c>
      <c r="D5352" s="1">
        <v>43039</v>
      </c>
      <c r="E5352" s="2">
        <v>-59.94</v>
      </c>
      <c r="F5352"/>
      <c r="G5352"/>
      <c r="H5352"/>
      <c r="I5352"/>
      <c r="J5352"/>
      <c r="K5352"/>
      <c r="L5352"/>
      <c r="M5352"/>
      <c r="N5352"/>
      <c r="O5352"/>
    </row>
    <row r="5353" spans="1:15" hidden="1" x14ac:dyDescent="0.25">
      <c r="A5353" t="s">
        <v>104</v>
      </c>
      <c r="B5353" t="s">
        <v>117</v>
      </c>
      <c r="C5353" t="b">
        <v>0</v>
      </c>
      <c r="D5353" s="1">
        <v>43039</v>
      </c>
      <c r="E5353" s="2">
        <v>-5</v>
      </c>
      <c r="F5353"/>
      <c r="G5353"/>
      <c r="H5353"/>
      <c r="I5353"/>
      <c r="J5353"/>
      <c r="K5353"/>
      <c r="L5353"/>
      <c r="M5353"/>
      <c r="N5353"/>
      <c r="O5353"/>
    </row>
    <row r="5354" spans="1:15" hidden="1" x14ac:dyDescent="0.25">
      <c r="A5354" t="s">
        <v>102</v>
      </c>
      <c r="B5354" t="s">
        <v>117</v>
      </c>
      <c r="C5354" t="b">
        <v>0</v>
      </c>
      <c r="D5354" s="1">
        <v>43039</v>
      </c>
      <c r="E5354" s="2">
        <v>-43.94</v>
      </c>
      <c r="F5354"/>
      <c r="G5354"/>
      <c r="H5354"/>
      <c r="I5354"/>
      <c r="J5354"/>
      <c r="K5354"/>
      <c r="L5354"/>
      <c r="M5354"/>
      <c r="N5354"/>
      <c r="O5354"/>
    </row>
    <row r="5355" spans="1:15" hidden="1" x14ac:dyDescent="0.25">
      <c r="A5355" t="s">
        <v>47</v>
      </c>
      <c r="B5355" t="s">
        <v>115</v>
      </c>
      <c r="C5355" t="b">
        <v>1</v>
      </c>
      <c r="D5355" s="1">
        <v>43039</v>
      </c>
      <c r="E5355">
        <v>5</v>
      </c>
      <c r="F5355"/>
      <c r="G5355"/>
      <c r="H5355"/>
      <c r="I5355"/>
      <c r="J5355"/>
      <c r="K5355"/>
      <c r="L5355"/>
      <c r="M5355"/>
      <c r="N5355"/>
      <c r="O5355"/>
    </row>
    <row r="5356" spans="1:15" hidden="1" x14ac:dyDescent="0.25">
      <c r="A5356" t="s">
        <v>43</v>
      </c>
      <c r="B5356" t="s">
        <v>115</v>
      </c>
      <c r="C5356" t="b">
        <v>1</v>
      </c>
      <c r="D5356" s="1">
        <v>43039</v>
      </c>
      <c r="E5356">
        <v>5</v>
      </c>
      <c r="F5356"/>
      <c r="G5356"/>
      <c r="H5356"/>
      <c r="I5356"/>
      <c r="J5356"/>
      <c r="K5356"/>
      <c r="L5356"/>
      <c r="M5356"/>
      <c r="N5356"/>
      <c r="O5356"/>
    </row>
    <row r="5357" spans="1:15" hidden="1" x14ac:dyDescent="0.25">
      <c r="A5357" t="s">
        <v>48</v>
      </c>
      <c r="B5357" t="s">
        <v>115</v>
      </c>
      <c r="C5357" t="b">
        <v>0</v>
      </c>
      <c r="D5357" s="1">
        <v>43039</v>
      </c>
      <c r="E5357">
        <v>0</v>
      </c>
      <c r="F5357"/>
      <c r="G5357"/>
      <c r="H5357"/>
      <c r="I5357"/>
      <c r="J5357"/>
      <c r="K5357"/>
      <c r="L5357"/>
      <c r="M5357"/>
      <c r="N5357"/>
      <c r="O5357"/>
    </row>
    <row r="5358" spans="1:15" hidden="1" x14ac:dyDescent="0.25">
      <c r="A5358" t="s">
        <v>49</v>
      </c>
      <c r="B5358" t="s">
        <v>115</v>
      </c>
      <c r="C5358" t="b">
        <v>1</v>
      </c>
      <c r="D5358" s="1">
        <v>43039</v>
      </c>
      <c r="E5358">
        <v>5</v>
      </c>
      <c r="F5358"/>
      <c r="G5358"/>
      <c r="H5358"/>
      <c r="I5358"/>
      <c r="J5358"/>
      <c r="K5358"/>
      <c r="L5358"/>
      <c r="M5358"/>
      <c r="N5358"/>
      <c r="O5358"/>
    </row>
    <row r="5359" spans="1:15" hidden="1" x14ac:dyDescent="0.25">
      <c r="A5359" t="s">
        <v>50</v>
      </c>
      <c r="B5359" t="s">
        <v>115</v>
      </c>
      <c r="C5359" t="b">
        <v>1</v>
      </c>
      <c r="D5359" s="1">
        <v>43039</v>
      </c>
      <c r="E5359">
        <v>5</v>
      </c>
      <c r="F5359"/>
      <c r="G5359"/>
      <c r="H5359"/>
      <c r="I5359"/>
      <c r="J5359"/>
      <c r="K5359"/>
      <c r="L5359"/>
      <c r="M5359"/>
      <c r="N5359"/>
      <c r="O5359"/>
    </row>
    <row r="5360" spans="1:15" hidden="1" x14ac:dyDescent="0.25">
      <c r="A5360" t="s">
        <v>51</v>
      </c>
      <c r="B5360" t="s">
        <v>115</v>
      </c>
      <c r="C5360" t="b">
        <v>1</v>
      </c>
      <c r="D5360" s="1">
        <v>43039</v>
      </c>
      <c r="E5360">
        <v>5</v>
      </c>
      <c r="F5360"/>
      <c r="G5360"/>
      <c r="H5360"/>
      <c r="I5360"/>
      <c r="J5360"/>
      <c r="K5360"/>
      <c r="L5360"/>
      <c r="M5360"/>
      <c r="N5360"/>
      <c r="O5360"/>
    </row>
    <row r="5361" spans="1:15" hidden="1" x14ac:dyDescent="0.25">
      <c r="A5361" t="s">
        <v>52</v>
      </c>
      <c r="B5361" t="s">
        <v>115</v>
      </c>
      <c r="C5361" t="b">
        <v>1</v>
      </c>
      <c r="D5361" s="1">
        <v>43039</v>
      </c>
      <c r="E5361">
        <v>5</v>
      </c>
      <c r="F5361"/>
      <c r="G5361"/>
      <c r="H5361"/>
      <c r="I5361"/>
      <c r="J5361"/>
      <c r="K5361"/>
      <c r="L5361"/>
      <c r="M5361"/>
      <c r="N5361"/>
      <c r="O5361"/>
    </row>
    <row r="5362" spans="1:15" hidden="1" x14ac:dyDescent="0.25">
      <c r="A5362" t="s">
        <v>54</v>
      </c>
      <c r="B5362" t="s">
        <v>115</v>
      </c>
      <c r="C5362" t="b">
        <v>1</v>
      </c>
      <c r="D5362" s="1">
        <v>43039</v>
      </c>
      <c r="E5362">
        <v>5</v>
      </c>
      <c r="F5362"/>
      <c r="G5362"/>
      <c r="H5362"/>
      <c r="I5362"/>
      <c r="J5362"/>
      <c r="K5362"/>
      <c r="L5362"/>
      <c r="M5362"/>
      <c r="N5362"/>
      <c r="O5362"/>
    </row>
    <row r="5363" spans="1:15" hidden="1" x14ac:dyDescent="0.25">
      <c r="A5363" t="s">
        <v>55</v>
      </c>
      <c r="B5363" t="s">
        <v>115</v>
      </c>
      <c r="C5363" t="b">
        <v>1</v>
      </c>
      <c r="D5363" s="1">
        <v>43039</v>
      </c>
      <c r="E5363">
        <v>5</v>
      </c>
      <c r="F5363"/>
      <c r="G5363"/>
      <c r="H5363"/>
      <c r="I5363"/>
      <c r="J5363"/>
      <c r="K5363"/>
      <c r="L5363"/>
      <c r="M5363"/>
      <c r="N5363"/>
      <c r="O5363"/>
    </row>
    <row r="5364" spans="1:15" hidden="1" x14ac:dyDescent="0.25">
      <c r="A5364" t="s">
        <v>58</v>
      </c>
      <c r="B5364" t="s">
        <v>115</v>
      </c>
      <c r="C5364" t="b">
        <v>1</v>
      </c>
      <c r="D5364" s="1">
        <v>43039</v>
      </c>
      <c r="E5364">
        <v>5</v>
      </c>
      <c r="F5364"/>
      <c r="G5364"/>
      <c r="H5364"/>
      <c r="I5364"/>
      <c r="J5364"/>
      <c r="K5364"/>
      <c r="L5364"/>
      <c r="M5364"/>
      <c r="N5364"/>
      <c r="O5364"/>
    </row>
    <row r="5365" spans="1:15" hidden="1" x14ac:dyDescent="0.25">
      <c r="A5365" t="s">
        <v>65</v>
      </c>
      <c r="B5365" t="s">
        <v>115</v>
      </c>
      <c r="C5365" t="b">
        <v>1</v>
      </c>
      <c r="D5365" s="1">
        <v>43039</v>
      </c>
      <c r="E5365">
        <v>5</v>
      </c>
      <c r="F5365"/>
      <c r="G5365"/>
      <c r="H5365"/>
      <c r="I5365"/>
      <c r="J5365"/>
      <c r="K5365"/>
      <c r="L5365"/>
      <c r="M5365"/>
      <c r="N5365"/>
      <c r="O5365"/>
    </row>
    <row r="5366" spans="1:15" hidden="1" x14ac:dyDescent="0.25">
      <c r="A5366" t="s">
        <v>66</v>
      </c>
      <c r="B5366" t="s">
        <v>115</v>
      </c>
      <c r="C5366" t="b">
        <v>1</v>
      </c>
      <c r="D5366" s="1">
        <v>43039</v>
      </c>
      <c r="E5366">
        <v>5</v>
      </c>
      <c r="F5366"/>
      <c r="G5366"/>
      <c r="H5366"/>
      <c r="I5366"/>
      <c r="J5366"/>
      <c r="K5366"/>
      <c r="L5366"/>
      <c r="M5366"/>
      <c r="N5366"/>
      <c r="O5366"/>
    </row>
    <row r="5367" spans="1:15" hidden="1" x14ac:dyDescent="0.25">
      <c r="A5367" t="s">
        <v>68</v>
      </c>
      <c r="B5367" t="s">
        <v>115</v>
      </c>
      <c r="C5367" t="b">
        <v>1</v>
      </c>
      <c r="D5367" s="1">
        <v>43039</v>
      </c>
      <c r="E5367">
        <v>5</v>
      </c>
      <c r="F5367"/>
      <c r="G5367"/>
      <c r="H5367"/>
      <c r="I5367"/>
      <c r="J5367"/>
      <c r="K5367"/>
      <c r="L5367"/>
      <c r="M5367"/>
      <c r="N5367"/>
      <c r="O5367"/>
    </row>
    <row r="5368" spans="1:15" hidden="1" x14ac:dyDescent="0.25">
      <c r="A5368" t="s">
        <v>69</v>
      </c>
      <c r="B5368" t="s">
        <v>115</v>
      </c>
      <c r="C5368" t="b">
        <v>1</v>
      </c>
      <c r="D5368" s="1">
        <v>43039</v>
      </c>
      <c r="E5368">
        <v>5</v>
      </c>
      <c r="F5368"/>
      <c r="G5368"/>
      <c r="H5368"/>
      <c r="I5368"/>
      <c r="J5368"/>
      <c r="K5368"/>
      <c r="L5368"/>
      <c r="M5368"/>
      <c r="N5368"/>
      <c r="O5368"/>
    </row>
    <row r="5369" spans="1:15" hidden="1" x14ac:dyDescent="0.25">
      <c r="A5369" t="s">
        <v>75</v>
      </c>
      <c r="B5369" t="s">
        <v>115</v>
      </c>
      <c r="C5369" t="b">
        <v>1</v>
      </c>
      <c r="D5369" s="1">
        <v>43039</v>
      </c>
      <c r="E5369">
        <v>5</v>
      </c>
      <c r="F5369"/>
      <c r="G5369"/>
      <c r="H5369"/>
      <c r="I5369"/>
      <c r="J5369"/>
      <c r="K5369"/>
      <c r="L5369"/>
      <c r="M5369"/>
      <c r="N5369"/>
      <c r="O5369"/>
    </row>
    <row r="5370" spans="1:15" hidden="1" x14ac:dyDescent="0.25">
      <c r="A5370" t="s">
        <v>76</v>
      </c>
      <c r="B5370" t="s">
        <v>115</v>
      </c>
      <c r="C5370" t="b">
        <v>1</v>
      </c>
      <c r="D5370" s="1">
        <v>43039</v>
      </c>
      <c r="E5370">
        <v>1E-3</v>
      </c>
      <c r="F5370"/>
      <c r="G5370"/>
      <c r="H5370"/>
      <c r="I5370"/>
      <c r="J5370"/>
      <c r="K5370"/>
      <c r="L5370"/>
      <c r="M5370"/>
      <c r="N5370"/>
      <c r="O5370"/>
    </row>
    <row r="5371" spans="1:15" hidden="1" x14ac:dyDescent="0.25">
      <c r="A5371" t="s">
        <v>82</v>
      </c>
      <c r="B5371" t="s">
        <v>115</v>
      </c>
      <c r="C5371" t="b">
        <v>1</v>
      </c>
      <c r="D5371" s="1">
        <v>43039</v>
      </c>
      <c r="E5371">
        <v>5</v>
      </c>
      <c r="F5371"/>
      <c r="G5371"/>
      <c r="H5371"/>
      <c r="I5371"/>
      <c r="J5371"/>
      <c r="K5371"/>
      <c r="L5371"/>
      <c r="M5371"/>
      <c r="N5371"/>
      <c r="O5371"/>
    </row>
    <row r="5372" spans="1:15" hidden="1" x14ac:dyDescent="0.25">
      <c r="A5372" t="s">
        <v>84</v>
      </c>
      <c r="B5372" t="s">
        <v>115</v>
      </c>
      <c r="C5372" t="b">
        <v>1</v>
      </c>
      <c r="D5372" s="1">
        <v>43039</v>
      </c>
      <c r="E5372">
        <v>5</v>
      </c>
      <c r="F5372"/>
      <c r="G5372"/>
      <c r="H5372"/>
      <c r="I5372"/>
      <c r="J5372"/>
      <c r="K5372"/>
      <c r="L5372"/>
      <c r="M5372"/>
      <c r="N5372"/>
      <c r="O5372"/>
    </row>
    <row r="5373" spans="1:15" hidden="1" x14ac:dyDescent="0.25">
      <c r="A5373" t="s">
        <v>88</v>
      </c>
      <c r="B5373" t="s">
        <v>115</v>
      </c>
      <c r="C5373" t="b">
        <v>1</v>
      </c>
      <c r="D5373" s="1">
        <v>43039</v>
      </c>
      <c r="E5373">
        <v>5</v>
      </c>
      <c r="F5373"/>
      <c r="G5373"/>
      <c r="H5373"/>
      <c r="I5373"/>
      <c r="J5373"/>
      <c r="K5373"/>
      <c r="L5373"/>
      <c r="M5373"/>
      <c r="N5373"/>
      <c r="O5373"/>
    </row>
    <row r="5374" spans="1:15" hidden="1" x14ac:dyDescent="0.25">
      <c r="A5374" t="s">
        <v>87</v>
      </c>
      <c r="B5374" t="s">
        <v>115</v>
      </c>
      <c r="C5374" t="b">
        <v>1</v>
      </c>
      <c r="D5374" s="1">
        <v>43039</v>
      </c>
      <c r="E5374">
        <v>5</v>
      </c>
      <c r="F5374"/>
      <c r="G5374"/>
      <c r="H5374"/>
      <c r="I5374"/>
      <c r="J5374"/>
      <c r="K5374"/>
      <c r="L5374"/>
      <c r="M5374"/>
      <c r="N5374"/>
      <c r="O5374"/>
    </row>
    <row r="5375" spans="1:15" hidden="1" x14ac:dyDescent="0.25">
      <c r="A5375" t="s">
        <v>93</v>
      </c>
      <c r="B5375" t="s">
        <v>115</v>
      </c>
      <c r="C5375" t="b">
        <v>1</v>
      </c>
      <c r="D5375" s="1">
        <v>43039</v>
      </c>
      <c r="E5375">
        <v>5</v>
      </c>
      <c r="F5375"/>
      <c r="G5375"/>
      <c r="H5375"/>
      <c r="I5375"/>
      <c r="J5375"/>
      <c r="K5375"/>
      <c r="L5375"/>
      <c r="M5375"/>
      <c r="N5375"/>
      <c r="O5375"/>
    </row>
    <row r="5376" spans="1:15" hidden="1" x14ac:dyDescent="0.25">
      <c r="A5376" t="s">
        <v>94</v>
      </c>
      <c r="B5376" t="s">
        <v>115</v>
      </c>
      <c r="C5376" t="b">
        <v>1</v>
      </c>
      <c r="D5376" s="1">
        <v>43039</v>
      </c>
      <c r="E5376">
        <v>5</v>
      </c>
      <c r="F5376"/>
      <c r="G5376"/>
      <c r="H5376"/>
      <c r="I5376"/>
      <c r="J5376"/>
      <c r="K5376"/>
      <c r="L5376"/>
      <c r="M5376"/>
      <c r="N5376"/>
      <c r="O5376"/>
    </row>
    <row r="5377" spans="1:15" hidden="1" x14ac:dyDescent="0.25">
      <c r="A5377" t="s">
        <v>96</v>
      </c>
      <c r="B5377" t="s">
        <v>115</v>
      </c>
      <c r="C5377" t="b">
        <v>1</v>
      </c>
      <c r="D5377" s="1">
        <v>43039</v>
      </c>
      <c r="E5377">
        <v>5</v>
      </c>
      <c r="F5377"/>
      <c r="G5377"/>
      <c r="H5377"/>
      <c r="I5377"/>
      <c r="J5377"/>
      <c r="K5377"/>
      <c r="L5377"/>
      <c r="M5377"/>
      <c r="N5377"/>
      <c r="O5377"/>
    </row>
    <row r="5378" spans="1:15" hidden="1" x14ac:dyDescent="0.25">
      <c r="A5378" t="s">
        <v>98</v>
      </c>
      <c r="B5378" t="s">
        <v>115</v>
      </c>
      <c r="C5378" t="b">
        <v>1</v>
      </c>
      <c r="D5378" s="1">
        <v>43039</v>
      </c>
      <c r="E5378">
        <v>5</v>
      </c>
      <c r="F5378"/>
      <c r="G5378"/>
      <c r="H5378"/>
      <c r="I5378"/>
      <c r="J5378"/>
      <c r="K5378"/>
      <c r="L5378"/>
      <c r="M5378"/>
      <c r="N5378"/>
      <c r="O5378"/>
    </row>
    <row r="5379" spans="1:15" hidden="1" x14ac:dyDescent="0.25">
      <c r="A5379" t="s">
        <v>97</v>
      </c>
      <c r="B5379" t="s">
        <v>115</v>
      </c>
      <c r="C5379" t="b">
        <v>1</v>
      </c>
      <c r="D5379" s="1">
        <v>43039</v>
      </c>
      <c r="E5379">
        <v>5</v>
      </c>
      <c r="F5379"/>
      <c r="G5379"/>
      <c r="H5379"/>
      <c r="I5379"/>
      <c r="J5379"/>
      <c r="K5379"/>
      <c r="L5379"/>
      <c r="M5379"/>
      <c r="N5379"/>
      <c r="O5379"/>
    </row>
    <row r="5380" spans="1:15" hidden="1" x14ac:dyDescent="0.25">
      <c r="A5380" t="s">
        <v>99</v>
      </c>
      <c r="B5380" t="s">
        <v>114</v>
      </c>
      <c r="C5380" t="b">
        <v>1</v>
      </c>
      <c r="D5380" s="1">
        <v>43039</v>
      </c>
      <c r="E5380">
        <v>23.77</v>
      </c>
      <c r="F5380"/>
      <c r="G5380"/>
      <c r="H5380"/>
      <c r="I5380"/>
      <c r="J5380"/>
      <c r="K5380"/>
      <c r="L5380"/>
      <c r="M5380"/>
      <c r="N5380"/>
      <c r="O5380"/>
    </row>
    <row r="5381" spans="1:15" hidden="1" x14ac:dyDescent="0.25">
      <c r="A5381" t="s">
        <v>100</v>
      </c>
      <c r="B5381" t="s">
        <v>117</v>
      </c>
      <c r="C5381" t="b">
        <v>0</v>
      </c>
      <c r="D5381" s="1">
        <v>43069</v>
      </c>
      <c r="E5381" s="2">
        <v>-59.94</v>
      </c>
      <c r="F5381"/>
      <c r="G5381"/>
      <c r="H5381"/>
      <c r="I5381"/>
      <c r="J5381"/>
      <c r="K5381"/>
      <c r="L5381"/>
      <c r="M5381"/>
      <c r="N5381"/>
      <c r="O5381"/>
    </row>
    <row r="5382" spans="1:15" hidden="1" x14ac:dyDescent="0.25">
      <c r="A5382" t="s">
        <v>104</v>
      </c>
      <c r="B5382" t="s">
        <v>117</v>
      </c>
      <c r="C5382" t="b">
        <v>0</v>
      </c>
      <c r="D5382" s="1">
        <v>43069</v>
      </c>
      <c r="E5382" s="2">
        <v>-19.18</v>
      </c>
      <c r="F5382"/>
      <c r="G5382"/>
      <c r="H5382"/>
      <c r="I5382"/>
      <c r="J5382"/>
      <c r="K5382"/>
      <c r="L5382"/>
      <c r="M5382"/>
      <c r="N5382"/>
      <c r="O5382"/>
    </row>
    <row r="5383" spans="1:15" hidden="1" x14ac:dyDescent="0.25">
      <c r="A5383" t="s">
        <v>102</v>
      </c>
      <c r="B5383" t="s">
        <v>117</v>
      </c>
      <c r="C5383" t="b">
        <v>0</v>
      </c>
      <c r="D5383" s="1">
        <v>43069</v>
      </c>
      <c r="E5383" s="2">
        <v>-43.94</v>
      </c>
      <c r="F5383"/>
      <c r="G5383"/>
      <c r="H5383"/>
      <c r="I5383"/>
      <c r="J5383"/>
      <c r="K5383"/>
      <c r="L5383"/>
      <c r="M5383"/>
      <c r="N5383"/>
      <c r="O5383"/>
    </row>
    <row r="5384" spans="1:15" hidden="1" x14ac:dyDescent="0.25">
      <c r="A5384" t="s">
        <v>103</v>
      </c>
      <c r="B5384" t="s">
        <v>117</v>
      </c>
      <c r="C5384" t="b">
        <v>0</v>
      </c>
      <c r="D5384" s="1">
        <v>43069</v>
      </c>
      <c r="E5384" s="2">
        <v>-1.95</v>
      </c>
      <c r="F5384"/>
      <c r="G5384"/>
      <c r="H5384"/>
      <c r="I5384"/>
      <c r="J5384"/>
      <c r="K5384"/>
      <c r="L5384"/>
      <c r="M5384"/>
      <c r="N5384"/>
      <c r="O5384"/>
    </row>
    <row r="5385" spans="1:15" hidden="1" x14ac:dyDescent="0.25">
      <c r="A5385" t="s">
        <v>47</v>
      </c>
      <c r="B5385" t="s">
        <v>115</v>
      </c>
      <c r="C5385" t="b">
        <v>1</v>
      </c>
      <c r="D5385" s="1">
        <v>43069</v>
      </c>
      <c r="E5385">
        <v>5</v>
      </c>
      <c r="F5385"/>
      <c r="G5385"/>
      <c r="H5385"/>
      <c r="I5385"/>
      <c r="J5385"/>
      <c r="K5385"/>
      <c r="L5385"/>
      <c r="M5385"/>
      <c r="N5385"/>
      <c r="O5385"/>
    </row>
    <row r="5386" spans="1:15" hidden="1" x14ac:dyDescent="0.25">
      <c r="A5386" t="s">
        <v>43</v>
      </c>
      <c r="B5386" t="s">
        <v>115</v>
      </c>
      <c r="C5386" t="b">
        <v>1</v>
      </c>
      <c r="D5386" s="1">
        <v>43069</v>
      </c>
      <c r="E5386">
        <v>5</v>
      </c>
      <c r="F5386"/>
      <c r="G5386"/>
      <c r="H5386"/>
      <c r="I5386"/>
      <c r="J5386"/>
      <c r="K5386"/>
      <c r="L5386"/>
      <c r="M5386"/>
      <c r="N5386"/>
      <c r="O5386"/>
    </row>
    <row r="5387" spans="1:15" hidden="1" x14ac:dyDescent="0.25">
      <c r="A5387" t="s">
        <v>49</v>
      </c>
      <c r="B5387" t="s">
        <v>115</v>
      </c>
      <c r="C5387" t="b">
        <v>1</v>
      </c>
      <c r="D5387" s="1">
        <v>43069</v>
      </c>
      <c r="E5387">
        <v>5</v>
      </c>
      <c r="F5387"/>
      <c r="G5387"/>
      <c r="H5387"/>
      <c r="I5387"/>
      <c r="J5387"/>
      <c r="K5387"/>
      <c r="L5387"/>
      <c r="M5387"/>
      <c r="N5387"/>
      <c r="O5387"/>
    </row>
    <row r="5388" spans="1:15" hidden="1" x14ac:dyDescent="0.25">
      <c r="A5388" t="s">
        <v>50</v>
      </c>
      <c r="B5388" t="s">
        <v>115</v>
      </c>
      <c r="C5388" t="b">
        <v>1</v>
      </c>
      <c r="D5388" s="1">
        <v>43069</v>
      </c>
      <c r="E5388">
        <v>5</v>
      </c>
      <c r="F5388"/>
      <c r="G5388"/>
      <c r="H5388"/>
      <c r="I5388"/>
      <c r="J5388"/>
      <c r="K5388"/>
      <c r="L5388"/>
      <c r="M5388"/>
      <c r="N5388"/>
      <c r="O5388"/>
    </row>
    <row r="5389" spans="1:15" hidden="1" x14ac:dyDescent="0.25">
      <c r="A5389" t="s">
        <v>51</v>
      </c>
      <c r="B5389" t="s">
        <v>115</v>
      </c>
      <c r="C5389" t="b">
        <v>1</v>
      </c>
      <c r="D5389" s="1">
        <v>43069</v>
      </c>
      <c r="E5389">
        <v>5</v>
      </c>
      <c r="F5389"/>
      <c r="G5389"/>
      <c r="H5389"/>
      <c r="I5389"/>
      <c r="J5389"/>
      <c r="K5389"/>
      <c r="L5389"/>
      <c r="M5389"/>
      <c r="N5389"/>
      <c r="O5389"/>
    </row>
    <row r="5390" spans="1:15" hidden="1" x14ac:dyDescent="0.25">
      <c r="A5390" t="s">
        <v>52</v>
      </c>
      <c r="B5390" t="s">
        <v>115</v>
      </c>
      <c r="C5390" t="b">
        <v>1</v>
      </c>
      <c r="D5390" s="1">
        <v>43069</v>
      </c>
      <c r="E5390">
        <v>5</v>
      </c>
      <c r="F5390"/>
      <c r="G5390"/>
      <c r="H5390"/>
      <c r="I5390"/>
      <c r="J5390"/>
      <c r="K5390"/>
      <c r="L5390"/>
      <c r="M5390"/>
      <c r="N5390"/>
      <c r="O5390"/>
    </row>
    <row r="5391" spans="1:15" hidden="1" x14ac:dyDescent="0.25">
      <c r="A5391" t="s">
        <v>54</v>
      </c>
      <c r="B5391" t="s">
        <v>115</v>
      </c>
      <c r="C5391" t="b">
        <v>1</v>
      </c>
      <c r="D5391" s="1">
        <v>43069</v>
      </c>
      <c r="E5391">
        <v>5</v>
      </c>
      <c r="F5391"/>
      <c r="G5391"/>
      <c r="H5391"/>
      <c r="I5391"/>
      <c r="J5391"/>
      <c r="K5391"/>
      <c r="L5391"/>
      <c r="M5391"/>
      <c r="N5391"/>
      <c r="O5391"/>
    </row>
    <row r="5392" spans="1:15" hidden="1" x14ac:dyDescent="0.25">
      <c r="A5392" t="s">
        <v>55</v>
      </c>
      <c r="B5392" t="s">
        <v>115</v>
      </c>
      <c r="C5392" t="b">
        <v>1</v>
      </c>
      <c r="D5392" s="1">
        <v>43069</v>
      </c>
      <c r="E5392">
        <v>5</v>
      </c>
      <c r="F5392"/>
      <c r="G5392"/>
      <c r="H5392"/>
      <c r="I5392"/>
      <c r="J5392"/>
      <c r="K5392"/>
      <c r="L5392"/>
      <c r="M5392"/>
      <c r="N5392"/>
      <c r="O5392"/>
    </row>
    <row r="5393" spans="1:15" hidden="1" x14ac:dyDescent="0.25">
      <c r="A5393" t="s">
        <v>58</v>
      </c>
      <c r="B5393" t="s">
        <v>115</v>
      </c>
      <c r="C5393" t="b">
        <v>1</v>
      </c>
      <c r="D5393" s="1">
        <v>43069</v>
      </c>
      <c r="E5393">
        <v>5</v>
      </c>
      <c r="F5393"/>
      <c r="G5393"/>
      <c r="H5393"/>
      <c r="I5393"/>
      <c r="J5393"/>
      <c r="K5393"/>
      <c r="L5393"/>
      <c r="M5393"/>
      <c r="N5393"/>
      <c r="O5393"/>
    </row>
    <row r="5394" spans="1:15" hidden="1" x14ac:dyDescent="0.25">
      <c r="A5394" t="s">
        <v>65</v>
      </c>
      <c r="B5394" t="s">
        <v>115</v>
      </c>
      <c r="C5394" t="b">
        <v>1</v>
      </c>
      <c r="D5394" s="1">
        <v>43069</v>
      </c>
      <c r="E5394">
        <v>5</v>
      </c>
      <c r="F5394"/>
      <c r="G5394"/>
      <c r="H5394"/>
      <c r="I5394"/>
      <c r="J5394"/>
      <c r="K5394"/>
      <c r="L5394"/>
      <c r="M5394"/>
      <c r="N5394"/>
      <c r="O5394"/>
    </row>
    <row r="5395" spans="1:15" hidden="1" x14ac:dyDescent="0.25">
      <c r="A5395" t="s">
        <v>66</v>
      </c>
      <c r="B5395" t="s">
        <v>115</v>
      </c>
      <c r="C5395" t="b">
        <v>1</v>
      </c>
      <c r="D5395" s="1">
        <v>43069</v>
      </c>
      <c r="E5395">
        <v>5</v>
      </c>
      <c r="F5395"/>
      <c r="G5395"/>
      <c r="H5395"/>
      <c r="I5395"/>
      <c r="J5395"/>
      <c r="K5395"/>
      <c r="L5395"/>
      <c r="M5395"/>
      <c r="N5395"/>
      <c r="O5395"/>
    </row>
    <row r="5396" spans="1:15" hidden="1" x14ac:dyDescent="0.25">
      <c r="A5396" t="s">
        <v>68</v>
      </c>
      <c r="B5396" t="s">
        <v>115</v>
      </c>
      <c r="C5396" t="b">
        <v>1</v>
      </c>
      <c r="D5396" s="1">
        <v>43069</v>
      </c>
      <c r="E5396">
        <v>5</v>
      </c>
      <c r="F5396"/>
      <c r="G5396"/>
      <c r="H5396"/>
      <c r="I5396"/>
      <c r="J5396"/>
      <c r="K5396"/>
      <c r="L5396"/>
      <c r="M5396"/>
      <c r="N5396"/>
      <c r="O5396"/>
    </row>
    <row r="5397" spans="1:15" hidden="1" x14ac:dyDescent="0.25">
      <c r="A5397" t="s">
        <v>69</v>
      </c>
      <c r="B5397" t="s">
        <v>115</v>
      </c>
      <c r="C5397" t="b">
        <v>1</v>
      </c>
      <c r="D5397" s="1">
        <v>43069</v>
      </c>
      <c r="E5397">
        <v>5</v>
      </c>
      <c r="F5397"/>
      <c r="G5397"/>
      <c r="H5397"/>
      <c r="I5397"/>
      <c r="J5397"/>
      <c r="K5397"/>
      <c r="L5397"/>
      <c r="M5397"/>
      <c r="N5397"/>
      <c r="O5397"/>
    </row>
    <row r="5398" spans="1:15" hidden="1" x14ac:dyDescent="0.25">
      <c r="A5398" t="s">
        <v>75</v>
      </c>
      <c r="B5398" t="s">
        <v>115</v>
      </c>
      <c r="C5398" t="b">
        <v>1</v>
      </c>
      <c r="D5398" s="1">
        <v>43069</v>
      </c>
      <c r="E5398">
        <v>5</v>
      </c>
      <c r="F5398"/>
      <c r="G5398"/>
      <c r="H5398"/>
      <c r="I5398"/>
      <c r="J5398"/>
      <c r="K5398"/>
      <c r="L5398"/>
      <c r="M5398"/>
      <c r="N5398"/>
      <c r="O5398"/>
    </row>
    <row r="5399" spans="1:15" hidden="1" x14ac:dyDescent="0.25">
      <c r="A5399" t="s">
        <v>76</v>
      </c>
      <c r="B5399" t="s">
        <v>115</v>
      </c>
      <c r="C5399" t="b">
        <v>1</v>
      </c>
      <c r="D5399" s="1">
        <v>43069</v>
      </c>
      <c r="E5399">
        <v>1E-3</v>
      </c>
      <c r="F5399"/>
      <c r="G5399"/>
      <c r="H5399"/>
      <c r="I5399"/>
      <c r="J5399"/>
      <c r="K5399"/>
      <c r="L5399"/>
      <c r="M5399"/>
      <c r="N5399"/>
      <c r="O5399"/>
    </row>
    <row r="5400" spans="1:15" hidden="1" x14ac:dyDescent="0.25">
      <c r="A5400" t="s">
        <v>82</v>
      </c>
      <c r="B5400" t="s">
        <v>115</v>
      </c>
      <c r="C5400" t="b">
        <v>1</v>
      </c>
      <c r="D5400" s="1">
        <v>43069</v>
      </c>
      <c r="E5400">
        <v>5</v>
      </c>
      <c r="F5400"/>
      <c r="G5400"/>
      <c r="H5400"/>
      <c r="I5400"/>
      <c r="J5400"/>
      <c r="K5400"/>
      <c r="L5400"/>
      <c r="M5400"/>
      <c r="N5400"/>
      <c r="O5400"/>
    </row>
    <row r="5401" spans="1:15" hidden="1" x14ac:dyDescent="0.25">
      <c r="A5401" t="s">
        <v>84</v>
      </c>
      <c r="B5401" t="s">
        <v>115</v>
      </c>
      <c r="C5401" t="b">
        <v>1</v>
      </c>
      <c r="D5401" s="1">
        <v>43069</v>
      </c>
      <c r="E5401">
        <v>5</v>
      </c>
      <c r="F5401"/>
      <c r="G5401"/>
      <c r="H5401"/>
      <c r="I5401"/>
      <c r="J5401"/>
      <c r="K5401"/>
      <c r="L5401"/>
      <c r="M5401"/>
      <c r="N5401"/>
      <c r="O5401"/>
    </row>
    <row r="5402" spans="1:15" hidden="1" x14ac:dyDescent="0.25">
      <c r="A5402" t="s">
        <v>83</v>
      </c>
      <c r="B5402" t="s">
        <v>115</v>
      </c>
      <c r="C5402" t="b">
        <v>1</v>
      </c>
      <c r="D5402" s="1">
        <v>43069</v>
      </c>
      <c r="E5402">
        <v>5</v>
      </c>
      <c r="F5402"/>
      <c r="G5402"/>
      <c r="H5402"/>
      <c r="I5402"/>
      <c r="J5402"/>
      <c r="K5402"/>
      <c r="L5402"/>
      <c r="M5402"/>
      <c r="N5402"/>
      <c r="O5402"/>
    </row>
    <row r="5403" spans="1:15" hidden="1" x14ac:dyDescent="0.25">
      <c r="A5403" t="s">
        <v>88</v>
      </c>
      <c r="B5403" t="s">
        <v>115</v>
      </c>
      <c r="C5403" t="b">
        <v>1</v>
      </c>
      <c r="D5403" s="1">
        <v>43069</v>
      </c>
      <c r="E5403">
        <v>5</v>
      </c>
      <c r="F5403"/>
      <c r="G5403"/>
      <c r="H5403"/>
      <c r="I5403"/>
      <c r="J5403"/>
      <c r="K5403"/>
      <c r="L5403"/>
      <c r="M5403"/>
      <c r="N5403"/>
      <c r="O5403"/>
    </row>
    <row r="5404" spans="1:15" hidden="1" x14ac:dyDescent="0.25">
      <c r="A5404" t="s">
        <v>87</v>
      </c>
      <c r="B5404" t="s">
        <v>115</v>
      </c>
      <c r="C5404" t="b">
        <v>1</v>
      </c>
      <c r="D5404" s="1">
        <v>43069</v>
      </c>
      <c r="E5404">
        <v>5</v>
      </c>
      <c r="F5404"/>
      <c r="G5404"/>
      <c r="H5404"/>
      <c r="I5404"/>
      <c r="J5404"/>
      <c r="K5404"/>
      <c r="L5404"/>
      <c r="M5404"/>
      <c r="N5404"/>
      <c r="O5404"/>
    </row>
    <row r="5405" spans="1:15" hidden="1" x14ac:dyDescent="0.25">
      <c r="A5405" t="s">
        <v>93</v>
      </c>
      <c r="B5405" t="s">
        <v>115</v>
      </c>
      <c r="C5405" t="b">
        <v>1</v>
      </c>
      <c r="D5405" s="1">
        <v>43069</v>
      </c>
      <c r="E5405">
        <v>5</v>
      </c>
      <c r="F5405"/>
      <c r="G5405"/>
      <c r="H5405"/>
      <c r="I5405"/>
      <c r="J5405"/>
      <c r="K5405"/>
      <c r="L5405"/>
      <c r="M5405"/>
      <c r="N5405"/>
      <c r="O5405"/>
    </row>
    <row r="5406" spans="1:15" hidden="1" x14ac:dyDescent="0.25">
      <c r="A5406" t="s">
        <v>94</v>
      </c>
      <c r="B5406" t="s">
        <v>115</v>
      </c>
      <c r="C5406" t="b">
        <v>1</v>
      </c>
      <c r="D5406" s="1">
        <v>43069</v>
      </c>
      <c r="E5406">
        <v>5</v>
      </c>
      <c r="F5406"/>
      <c r="G5406"/>
      <c r="H5406"/>
      <c r="I5406"/>
      <c r="J5406"/>
      <c r="K5406"/>
      <c r="L5406"/>
      <c r="M5406"/>
      <c r="N5406"/>
      <c r="O5406"/>
    </row>
    <row r="5407" spans="1:15" hidden="1" x14ac:dyDescent="0.25">
      <c r="A5407" t="s">
        <v>96</v>
      </c>
      <c r="B5407" t="s">
        <v>115</v>
      </c>
      <c r="C5407" t="b">
        <v>1</v>
      </c>
      <c r="D5407" s="1">
        <v>43069</v>
      </c>
      <c r="E5407">
        <v>5</v>
      </c>
      <c r="F5407"/>
      <c r="G5407"/>
      <c r="H5407"/>
      <c r="I5407"/>
      <c r="J5407"/>
      <c r="K5407"/>
      <c r="L5407"/>
      <c r="M5407"/>
      <c r="N5407"/>
      <c r="O5407"/>
    </row>
    <row r="5408" spans="1:15" hidden="1" x14ac:dyDescent="0.25">
      <c r="A5408" t="s">
        <v>98</v>
      </c>
      <c r="B5408" t="s">
        <v>115</v>
      </c>
      <c r="C5408" t="b">
        <v>1</v>
      </c>
      <c r="D5408" s="1">
        <v>43069</v>
      </c>
      <c r="E5408">
        <v>5</v>
      </c>
      <c r="F5408"/>
      <c r="G5408"/>
      <c r="H5408"/>
      <c r="I5408"/>
      <c r="J5408"/>
      <c r="K5408"/>
      <c r="L5408"/>
      <c r="M5408"/>
      <c r="N5408"/>
      <c r="O5408"/>
    </row>
    <row r="5409" spans="1:15" hidden="1" x14ac:dyDescent="0.25">
      <c r="A5409" t="s">
        <v>97</v>
      </c>
      <c r="B5409" t="s">
        <v>115</v>
      </c>
      <c r="C5409" t="b">
        <v>1</v>
      </c>
      <c r="D5409" s="1">
        <v>43069</v>
      </c>
      <c r="E5409">
        <v>5</v>
      </c>
      <c r="F5409"/>
      <c r="G5409"/>
      <c r="H5409"/>
      <c r="I5409"/>
      <c r="J5409"/>
      <c r="K5409"/>
      <c r="L5409"/>
      <c r="M5409"/>
      <c r="N5409"/>
      <c r="O5409"/>
    </row>
    <row r="5410" spans="1:15" hidden="1" x14ac:dyDescent="0.25">
      <c r="A5410" t="s">
        <v>99</v>
      </c>
      <c r="B5410" t="s">
        <v>114</v>
      </c>
      <c r="C5410" t="b">
        <v>1</v>
      </c>
      <c r="D5410" s="1">
        <v>43069</v>
      </c>
      <c r="E5410">
        <v>24.44</v>
      </c>
      <c r="F5410"/>
      <c r="G5410"/>
      <c r="H5410"/>
      <c r="I5410"/>
      <c r="J5410"/>
      <c r="K5410"/>
      <c r="L5410"/>
      <c r="M5410"/>
      <c r="N5410"/>
      <c r="O5410"/>
    </row>
    <row r="5411" spans="1:15" hidden="1" x14ac:dyDescent="0.25">
      <c r="A5411" t="s">
        <v>143</v>
      </c>
      <c r="B5411" t="s">
        <v>142</v>
      </c>
      <c r="C5411" t="b">
        <v>0</v>
      </c>
      <c r="D5411" s="1">
        <v>43069</v>
      </c>
      <c r="E5411" s="2">
        <f>-1*(24*5)</f>
        <v>-120</v>
      </c>
      <c r="F5411"/>
      <c r="G5411"/>
      <c r="H5411"/>
      <c r="I5411"/>
      <c r="J5411"/>
      <c r="K5411"/>
      <c r="L5411"/>
      <c r="M5411"/>
      <c r="N5411"/>
      <c r="O5411"/>
    </row>
    <row r="5412" spans="1:15" hidden="1" x14ac:dyDescent="0.25">
      <c r="A5412" t="s">
        <v>100</v>
      </c>
      <c r="B5412" t="s">
        <v>117</v>
      </c>
      <c r="C5412" t="b">
        <v>0</v>
      </c>
      <c r="D5412" s="1">
        <v>43100</v>
      </c>
      <c r="E5412" s="2">
        <v>-79.92</v>
      </c>
      <c r="F5412"/>
      <c r="G5412"/>
      <c r="H5412"/>
      <c r="I5412"/>
      <c r="J5412"/>
      <c r="K5412"/>
      <c r="L5412"/>
      <c r="M5412"/>
      <c r="N5412"/>
      <c r="O5412"/>
    </row>
    <row r="5413" spans="1:15" hidden="1" x14ac:dyDescent="0.25">
      <c r="A5413" t="s">
        <v>104</v>
      </c>
      <c r="B5413" t="s">
        <v>117</v>
      </c>
      <c r="C5413" t="b">
        <v>0</v>
      </c>
      <c r="D5413" s="1">
        <v>43100</v>
      </c>
      <c r="E5413" s="2">
        <v>-5</v>
      </c>
      <c r="F5413"/>
      <c r="G5413"/>
      <c r="H5413"/>
      <c r="I5413"/>
      <c r="J5413"/>
      <c r="K5413"/>
      <c r="L5413"/>
      <c r="M5413"/>
      <c r="N5413"/>
      <c r="O5413"/>
    </row>
    <row r="5414" spans="1:15" hidden="1" x14ac:dyDescent="0.25">
      <c r="A5414" t="s">
        <v>102</v>
      </c>
      <c r="B5414" t="s">
        <v>117</v>
      </c>
      <c r="C5414" t="b">
        <v>0</v>
      </c>
      <c r="D5414" s="1">
        <v>43100</v>
      </c>
      <c r="E5414" s="2">
        <v>-37.950000000000003</v>
      </c>
      <c r="F5414"/>
      <c r="G5414"/>
      <c r="H5414"/>
      <c r="I5414"/>
      <c r="J5414"/>
      <c r="K5414"/>
      <c r="L5414"/>
      <c r="M5414"/>
      <c r="N5414"/>
      <c r="O5414"/>
    </row>
    <row r="5415" spans="1:15" hidden="1" x14ac:dyDescent="0.25">
      <c r="A5415" t="s">
        <v>103</v>
      </c>
      <c r="B5415" t="s">
        <v>117</v>
      </c>
      <c r="C5415" t="b">
        <v>0</v>
      </c>
      <c r="D5415" s="1">
        <v>43100</v>
      </c>
      <c r="E5415" s="2">
        <v>-1.95</v>
      </c>
      <c r="F5415"/>
      <c r="G5415"/>
      <c r="H5415"/>
      <c r="I5415"/>
      <c r="J5415"/>
      <c r="K5415"/>
      <c r="L5415"/>
      <c r="M5415"/>
      <c r="N5415"/>
      <c r="O5415"/>
    </row>
    <row r="5416" spans="1:15" hidden="1" x14ac:dyDescent="0.25">
      <c r="A5416" t="s">
        <v>47</v>
      </c>
      <c r="B5416" t="s">
        <v>115</v>
      </c>
      <c r="C5416" t="b">
        <v>1</v>
      </c>
      <c r="D5416" s="1">
        <v>43100</v>
      </c>
      <c r="E5416">
        <v>5</v>
      </c>
      <c r="F5416"/>
      <c r="G5416"/>
      <c r="H5416"/>
      <c r="I5416"/>
      <c r="J5416"/>
      <c r="K5416"/>
      <c r="L5416"/>
      <c r="M5416"/>
      <c r="N5416"/>
      <c r="O5416"/>
    </row>
    <row r="5417" spans="1:15" hidden="1" x14ac:dyDescent="0.25">
      <c r="A5417" t="s">
        <v>43</v>
      </c>
      <c r="B5417" t="s">
        <v>115</v>
      </c>
      <c r="C5417" t="b">
        <v>1</v>
      </c>
      <c r="D5417" s="1">
        <v>43100</v>
      </c>
      <c r="E5417">
        <v>5</v>
      </c>
      <c r="F5417"/>
      <c r="G5417"/>
      <c r="H5417"/>
      <c r="I5417"/>
      <c r="J5417"/>
      <c r="K5417"/>
      <c r="L5417"/>
      <c r="M5417"/>
      <c r="N5417"/>
      <c r="O5417"/>
    </row>
    <row r="5418" spans="1:15" hidden="1" x14ac:dyDescent="0.25">
      <c r="A5418" t="s">
        <v>49</v>
      </c>
      <c r="B5418" t="s">
        <v>115</v>
      </c>
      <c r="C5418" t="b">
        <v>1</v>
      </c>
      <c r="D5418" s="1">
        <v>43100</v>
      </c>
      <c r="E5418">
        <v>5</v>
      </c>
      <c r="F5418"/>
      <c r="G5418"/>
      <c r="H5418"/>
      <c r="I5418"/>
      <c r="J5418"/>
      <c r="K5418"/>
      <c r="L5418"/>
      <c r="M5418"/>
      <c r="N5418"/>
      <c r="O5418"/>
    </row>
    <row r="5419" spans="1:15" hidden="1" x14ac:dyDescent="0.25">
      <c r="A5419" t="s">
        <v>50</v>
      </c>
      <c r="B5419" t="s">
        <v>115</v>
      </c>
      <c r="C5419" t="b">
        <v>1</v>
      </c>
      <c r="D5419" s="1">
        <v>43100</v>
      </c>
      <c r="E5419">
        <v>5</v>
      </c>
      <c r="F5419"/>
      <c r="G5419"/>
      <c r="H5419"/>
      <c r="I5419"/>
      <c r="J5419"/>
      <c r="K5419"/>
      <c r="L5419"/>
      <c r="M5419"/>
      <c r="N5419"/>
      <c r="O5419"/>
    </row>
    <row r="5420" spans="1:15" hidden="1" x14ac:dyDescent="0.25">
      <c r="A5420" t="s">
        <v>51</v>
      </c>
      <c r="B5420" t="s">
        <v>115</v>
      </c>
      <c r="C5420" t="b">
        <v>1</v>
      </c>
      <c r="D5420" s="1">
        <v>43100</v>
      </c>
      <c r="E5420">
        <v>5</v>
      </c>
      <c r="F5420"/>
      <c r="G5420"/>
      <c r="H5420"/>
      <c r="I5420"/>
      <c r="J5420"/>
      <c r="K5420"/>
      <c r="L5420"/>
      <c r="M5420"/>
      <c r="N5420"/>
      <c r="O5420"/>
    </row>
    <row r="5421" spans="1:15" hidden="1" x14ac:dyDescent="0.25">
      <c r="A5421" t="s">
        <v>52</v>
      </c>
      <c r="B5421" t="s">
        <v>115</v>
      </c>
      <c r="C5421" t="b">
        <v>1</v>
      </c>
      <c r="D5421" s="1">
        <v>43100</v>
      </c>
      <c r="E5421">
        <v>5</v>
      </c>
      <c r="F5421"/>
      <c r="G5421"/>
      <c r="H5421"/>
      <c r="I5421"/>
      <c r="J5421"/>
      <c r="K5421"/>
      <c r="L5421"/>
      <c r="M5421"/>
      <c r="N5421"/>
      <c r="O5421"/>
    </row>
    <row r="5422" spans="1:15" hidden="1" x14ac:dyDescent="0.25">
      <c r="A5422" t="s">
        <v>54</v>
      </c>
      <c r="B5422" t="s">
        <v>115</v>
      </c>
      <c r="C5422" t="b">
        <v>1</v>
      </c>
      <c r="D5422" s="1">
        <v>43100</v>
      </c>
      <c r="E5422">
        <v>5</v>
      </c>
      <c r="F5422"/>
      <c r="G5422"/>
      <c r="H5422"/>
      <c r="I5422"/>
      <c r="J5422"/>
      <c r="K5422"/>
      <c r="L5422"/>
      <c r="M5422"/>
      <c r="N5422"/>
      <c r="O5422"/>
    </row>
    <row r="5423" spans="1:15" hidden="1" x14ac:dyDescent="0.25">
      <c r="A5423" t="s">
        <v>55</v>
      </c>
      <c r="B5423" t="s">
        <v>115</v>
      </c>
      <c r="C5423" t="b">
        <v>1</v>
      </c>
      <c r="D5423" s="1">
        <v>43100</v>
      </c>
      <c r="E5423">
        <v>5</v>
      </c>
      <c r="F5423"/>
      <c r="G5423"/>
      <c r="H5423"/>
      <c r="I5423"/>
      <c r="J5423"/>
      <c r="K5423"/>
      <c r="L5423"/>
      <c r="M5423"/>
      <c r="N5423"/>
      <c r="O5423"/>
    </row>
    <row r="5424" spans="1:15" hidden="1" x14ac:dyDescent="0.25">
      <c r="A5424" t="s">
        <v>58</v>
      </c>
      <c r="B5424" t="s">
        <v>115</v>
      </c>
      <c r="C5424" t="b">
        <v>1</v>
      </c>
      <c r="D5424" s="1">
        <v>43100</v>
      </c>
      <c r="E5424">
        <v>5</v>
      </c>
      <c r="F5424"/>
      <c r="G5424"/>
      <c r="H5424"/>
      <c r="I5424"/>
      <c r="J5424"/>
      <c r="K5424"/>
      <c r="L5424"/>
      <c r="M5424"/>
      <c r="N5424"/>
      <c r="O5424"/>
    </row>
    <row r="5425" spans="1:15" hidden="1" x14ac:dyDescent="0.25">
      <c r="A5425" t="s">
        <v>65</v>
      </c>
      <c r="B5425" t="s">
        <v>115</v>
      </c>
      <c r="C5425" t="b">
        <v>1</v>
      </c>
      <c r="D5425" s="1">
        <v>43100</v>
      </c>
      <c r="E5425">
        <v>5</v>
      </c>
      <c r="F5425"/>
      <c r="G5425"/>
      <c r="H5425"/>
      <c r="I5425"/>
      <c r="J5425"/>
      <c r="K5425"/>
      <c r="L5425"/>
      <c r="M5425"/>
      <c r="N5425"/>
      <c r="O5425"/>
    </row>
    <row r="5426" spans="1:15" hidden="1" x14ac:dyDescent="0.25">
      <c r="A5426" t="s">
        <v>66</v>
      </c>
      <c r="B5426" t="s">
        <v>115</v>
      </c>
      <c r="C5426" t="b">
        <v>1</v>
      </c>
      <c r="D5426" s="1">
        <v>43100</v>
      </c>
      <c r="E5426">
        <v>5</v>
      </c>
      <c r="F5426"/>
      <c r="G5426"/>
      <c r="H5426"/>
      <c r="I5426"/>
      <c r="J5426"/>
      <c r="K5426"/>
      <c r="L5426"/>
      <c r="M5426"/>
      <c r="N5426"/>
      <c r="O5426"/>
    </row>
    <row r="5427" spans="1:15" hidden="1" x14ac:dyDescent="0.25">
      <c r="A5427" t="s">
        <v>68</v>
      </c>
      <c r="B5427" t="s">
        <v>115</v>
      </c>
      <c r="C5427" t="b">
        <v>1</v>
      </c>
      <c r="D5427" s="1">
        <v>43100</v>
      </c>
      <c r="E5427">
        <v>5</v>
      </c>
      <c r="F5427"/>
      <c r="G5427"/>
      <c r="H5427"/>
      <c r="I5427"/>
      <c r="J5427"/>
      <c r="K5427"/>
      <c r="L5427"/>
      <c r="M5427"/>
      <c r="N5427"/>
      <c r="O5427"/>
    </row>
    <row r="5428" spans="1:15" hidden="1" x14ac:dyDescent="0.25">
      <c r="A5428" t="s">
        <v>69</v>
      </c>
      <c r="B5428" t="s">
        <v>115</v>
      </c>
      <c r="C5428" t="b">
        <v>1</v>
      </c>
      <c r="D5428" s="1">
        <v>43100</v>
      </c>
      <c r="E5428">
        <v>5</v>
      </c>
      <c r="F5428"/>
      <c r="G5428"/>
      <c r="H5428"/>
      <c r="I5428"/>
      <c r="J5428"/>
      <c r="K5428"/>
      <c r="L5428"/>
      <c r="M5428"/>
      <c r="N5428"/>
      <c r="O5428"/>
    </row>
    <row r="5429" spans="1:15" hidden="1" x14ac:dyDescent="0.25">
      <c r="A5429" t="s">
        <v>75</v>
      </c>
      <c r="B5429" t="s">
        <v>115</v>
      </c>
      <c r="C5429" t="b">
        <v>1</v>
      </c>
      <c r="D5429" s="1">
        <v>43100</v>
      </c>
      <c r="E5429">
        <v>5</v>
      </c>
      <c r="F5429"/>
      <c r="G5429"/>
      <c r="H5429"/>
      <c r="I5429"/>
      <c r="J5429"/>
      <c r="K5429"/>
      <c r="L5429"/>
      <c r="M5429"/>
      <c r="N5429"/>
      <c r="O5429"/>
    </row>
    <row r="5430" spans="1:15" hidden="1" x14ac:dyDescent="0.25">
      <c r="A5430" t="s">
        <v>76</v>
      </c>
      <c r="B5430" t="s">
        <v>115</v>
      </c>
      <c r="C5430" t="b">
        <v>1</v>
      </c>
      <c r="D5430" s="1">
        <v>43100</v>
      </c>
      <c r="E5430">
        <v>1E-3</v>
      </c>
      <c r="F5430"/>
      <c r="G5430"/>
      <c r="H5430"/>
      <c r="I5430"/>
      <c r="J5430"/>
      <c r="K5430"/>
      <c r="L5430"/>
      <c r="M5430"/>
      <c r="N5430"/>
      <c r="O5430"/>
    </row>
    <row r="5431" spans="1:15" hidden="1" x14ac:dyDescent="0.25">
      <c r="A5431" t="s">
        <v>82</v>
      </c>
      <c r="B5431" t="s">
        <v>115</v>
      </c>
      <c r="C5431" t="b">
        <v>1</v>
      </c>
      <c r="D5431" s="1">
        <v>43100</v>
      </c>
      <c r="E5431">
        <v>5</v>
      </c>
      <c r="F5431"/>
      <c r="G5431"/>
      <c r="H5431"/>
      <c r="I5431"/>
      <c r="J5431"/>
      <c r="K5431"/>
      <c r="L5431"/>
      <c r="M5431"/>
      <c r="N5431"/>
      <c r="O5431"/>
    </row>
    <row r="5432" spans="1:15" hidden="1" x14ac:dyDescent="0.25">
      <c r="A5432" t="s">
        <v>84</v>
      </c>
      <c r="B5432" t="s">
        <v>115</v>
      </c>
      <c r="C5432" t="b">
        <v>1</v>
      </c>
      <c r="D5432" s="1">
        <v>43100</v>
      </c>
      <c r="E5432">
        <v>5</v>
      </c>
      <c r="F5432"/>
      <c r="G5432"/>
      <c r="H5432"/>
      <c r="I5432"/>
      <c r="J5432"/>
      <c r="K5432"/>
      <c r="L5432"/>
      <c r="M5432"/>
      <c r="N5432"/>
      <c r="O5432"/>
    </row>
    <row r="5433" spans="1:15" hidden="1" x14ac:dyDescent="0.25">
      <c r="A5433" t="s">
        <v>83</v>
      </c>
      <c r="B5433" t="s">
        <v>115</v>
      </c>
      <c r="C5433" t="b">
        <v>1</v>
      </c>
      <c r="D5433" s="1">
        <v>43100</v>
      </c>
      <c r="E5433">
        <v>5</v>
      </c>
      <c r="F5433"/>
      <c r="G5433"/>
      <c r="H5433"/>
      <c r="I5433"/>
      <c r="J5433"/>
      <c r="K5433"/>
      <c r="L5433"/>
      <c r="M5433"/>
      <c r="N5433"/>
      <c r="O5433"/>
    </row>
    <row r="5434" spans="1:15" hidden="1" x14ac:dyDescent="0.25">
      <c r="A5434" t="s">
        <v>88</v>
      </c>
      <c r="B5434" t="s">
        <v>115</v>
      </c>
      <c r="C5434" t="b">
        <v>1</v>
      </c>
      <c r="D5434" s="1">
        <v>43100</v>
      </c>
      <c r="E5434">
        <v>5</v>
      </c>
      <c r="F5434"/>
      <c r="G5434"/>
      <c r="H5434"/>
      <c r="I5434"/>
      <c r="J5434"/>
      <c r="K5434"/>
      <c r="L5434"/>
      <c r="M5434"/>
      <c r="N5434"/>
      <c r="O5434"/>
    </row>
    <row r="5435" spans="1:15" hidden="1" x14ac:dyDescent="0.25">
      <c r="A5435" t="s">
        <v>87</v>
      </c>
      <c r="B5435" t="s">
        <v>115</v>
      </c>
      <c r="C5435" t="b">
        <v>1</v>
      </c>
      <c r="D5435" s="1">
        <v>43100</v>
      </c>
      <c r="E5435">
        <v>5</v>
      </c>
      <c r="F5435"/>
      <c r="G5435"/>
      <c r="H5435"/>
      <c r="I5435"/>
      <c r="J5435"/>
      <c r="K5435"/>
      <c r="L5435"/>
      <c r="M5435"/>
      <c r="N5435"/>
      <c r="O5435"/>
    </row>
    <row r="5436" spans="1:15" hidden="1" x14ac:dyDescent="0.25">
      <c r="A5436" t="s">
        <v>93</v>
      </c>
      <c r="B5436" t="s">
        <v>115</v>
      </c>
      <c r="C5436" t="b">
        <v>1</v>
      </c>
      <c r="D5436" s="1">
        <v>43100</v>
      </c>
      <c r="E5436">
        <v>5</v>
      </c>
      <c r="F5436"/>
      <c r="G5436"/>
      <c r="H5436"/>
      <c r="I5436"/>
      <c r="J5436"/>
      <c r="K5436"/>
      <c r="L5436"/>
      <c r="M5436"/>
      <c r="N5436"/>
      <c r="O5436"/>
    </row>
    <row r="5437" spans="1:15" hidden="1" x14ac:dyDescent="0.25">
      <c r="A5437" t="s">
        <v>94</v>
      </c>
      <c r="B5437" t="s">
        <v>115</v>
      </c>
      <c r="C5437" t="b">
        <v>1</v>
      </c>
      <c r="D5437" s="1">
        <v>43100</v>
      </c>
      <c r="E5437">
        <v>5</v>
      </c>
      <c r="F5437"/>
      <c r="G5437"/>
      <c r="H5437"/>
      <c r="I5437"/>
      <c r="J5437"/>
      <c r="K5437"/>
      <c r="L5437"/>
      <c r="M5437"/>
      <c r="N5437"/>
      <c r="O5437"/>
    </row>
    <row r="5438" spans="1:15" hidden="1" x14ac:dyDescent="0.25">
      <c r="A5438" t="s">
        <v>96</v>
      </c>
      <c r="B5438" t="s">
        <v>115</v>
      </c>
      <c r="C5438" t="b">
        <v>1</v>
      </c>
      <c r="D5438" s="1">
        <v>43100</v>
      </c>
      <c r="E5438">
        <v>5</v>
      </c>
      <c r="F5438"/>
      <c r="G5438"/>
      <c r="H5438"/>
      <c r="I5438"/>
      <c r="J5438"/>
      <c r="K5438"/>
      <c r="L5438"/>
      <c r="M5438"/>
      <c r="N5438"/>
      <c r="O5438"/>
    </row>
    <row r="5439" spans="1:15" hidden="1" x14ac:dyDescent="0.25">
      <c r="A5439" t="s">
        <v>98</v>
      </c>
      <c r="B5439" t="s">
        <v>115</v>
      </c>
      <c r="C5439" t="b">
        <v>1</v>
      </c>
      <c r="D5439" s="1">
        <v>43100</v>
      </c>
      <c r="E5439">
        <v>5</v>
      </c>
      <c r="F5439"/>
      <c r="G5439"/>
      <c r="H5439"/>
      <c r="I5439"/>
      <c r="J5439"/>
      <c r="K5439"/>
      <c r="L5439"/>
      <c r="M5439"/>
      <c r="N5439"/>
      <c r="O5439"/>
    </row>
    <row r="5440" spans="1:15" hidden="1" x14ac:dyDescent="0.25">
      <c r="A5440" t="s">
        <v>97</v>
      </c>
      <c r="B5440" t="s">
        <v>115</v>
      </c>
      <c r="C5440" t="b">
        <v>1</v>
      </c>
      <c r="D5440" s="1">
        <v>43100</v>
      </c>
      <c r="E5440">
        <v>5</v>
      </c>
      <c r="F5440"/>
      <c r="G5440"/>
      <c r="H5440"/>
      <c r="I5440"/>
      <c r="J5440"/>
      <c r="K5440"/>
      <c r="L5440"/>
      <c r="M5440"/>
      <c r="N5440"/>
      <c r="O5440"/>
    </row>
    <row r="5441" spans="1:15" hidden="1" x14ac:dyDescent="0.25">
      <c r="A5441" t="s">
        <v>99</v>
      </c>
      <c r="B5441" t="s">
        <v>114</v>
      </c>
      <c r="C5441" t="b">
        <v>1</v>
      </c>
      <c r="D5441" s="1">
        <v>43100</v>
      </c>
      <c r="E5441">
        <v>21.049999999999997</v>
      </c>
      <c r="F5441"/>
      <c r="G5441"/>
      <c r="H5441"/>
      <c r="I5441"/>
      <c r="J5441"/>
      <c r="K5441"/>
      <c r="L5441"/>
      <c r="M5441"/>
      <c r="N5441"/>
      <c r="O5441"/>
    </row>
    <row r="5442" spans="1:15" hidden="1" x14ac:dyDescent="0.25">
      <c r="A5442" t="s">
        <v>100</v>
      </c>
      <c r="B5442" t="s">
        <v>117</v>
      </c>
      <c r="C5442" t="b">
        <v>1</v>
      </c>
      <c r="D5442" s="1">
        <v>43131</v>
      </c>
      <c r="E5442" s="2">
        <v>-39.96</v>
      </c>
    </row>
    <row r="5443" spans="1:15" hidden="1" x14ac:dyDescent="0.25">
      <c r="A5443" t="s">
        <v>104</v>
      </c>
      <c r="B5443" t="s">
        <v>117</v>
      </c>
      <c r="C5443" t="b">
        <v>1</v>
      </c>
      <c r="D5443" s="1">
        <v>43131</v>
      </c>
      <c r="E5443" s="2">
        <v>-5</v>
      </c>
    </row>
    <row r="5444" spans="1:15" hidden="1" x14ac:dyDescent="0.25">
      <c r="A5444" t="s">
        <v>102</v>
      </c>
      <c r="B5444" t="s">
        <v>117</v>
      </c>
      <c r="C5444" t="b">
        <v>1</v>
      </c>
      <c r="D5444" s="1">
        <v>43131</v>
      </c>
      <c r="E5444" s="2">
        <v>-29.96</v>
      </c>
    </row>
    <row r="5445" spans="1:15" hidden="1" x14ac:dyDescent="0.25">
      <c r="A5445" t="s">
        <v>103</v>
      </c>
      <c r="B5445" t="s">
        <v>117</v>
      </c>
      <c r="C5445" t="b">
        <v>1</v>
      </c>
      <c r="D5445" s="1">
        <v>43131</v>
      </c>
      <c r="E5445" s="2">
        <v>-21</v>
      </c>
    </row>
    <row r="5446" spans="1:15" hidden="1" x14ac:dyDescent="0.25">
      <c r="A5446" t="s">
        <v>101</v>
      </c>
      <c r="B5446" t="s">
        <v>117</v>
      </c>
      <c r="C5446" t="b">
        <v>1</v>
      </c>
      <c r="D5446" s="1">
        <v>43131</v>
      </c>
      <c r="E5446" s="2">
        <v>-5.29</v>
      </c>
    </row>
    <row r="5447" spans="1:15" hidden="1" x14ac:dyDescent="0.25">
      <c r="A5447" t="s">
        <v>47</v>
      </c>
      <c r="B5447" t="s">
        <v>115</v>
      </c>
      <c r="C5447" t="b">
        <v>1</v>
      </c>
      <c r="D5447" s="1">
        <v>43131</v>
      </c>
      <c r="E5447">
        <v>5</v>
      </c>
    </row>
    <row r="5448" spans="1:15" hidden="1" x14ac:dyDescent="0.25">
      <c r="A5448" t="s">
        <v>43</v>
      </c>
      <c r="B5448" t="s">
        <v>115</v>
      </c>
      <c r="C5448" t="b">
        <v>1</v>
      </c>
      <c r="D5448" s="1">
        <v>43131</v>
      </c>
      <c r="E5448">
        <v>5</v>
      </c>
    </row>
    <row r="5449" spans="1:15" hidden="1" x14ac:dyDescent="0.25">
      <c r="A5449" t="s">
        <v>49</v>
      </c>
      <c r="B5449" t="s">
        <v>115</v>
      </c>
      <c r="C5449" t="b">
        <v>1</v>
      </c>
      <c r="D5449" s="1">
        <v>43131</v>
      </c>
      <c r="E5449">
        <v>5</v>
      </c>
    </row>
    <row r="5450" spans="1:15" hidden="1" x14ac:dyDescent="0.25">
      <c r="A5450" t="s">
        <v>50</v>
      </c>
      <c r="B5450" t="s">
        <v>115</v>
      </c>
      <c r="C5450" t="b">
        <v>1</v>
      </c>
      <c r="D5450" s="1">
        <v>43131</v>
      </c>
      <c r="E5450">
        <v>5</v>
      </c>
    </row>
    <row r="5451" spans="1:15" hidden="1" x14ac:dyDescent="0.25">
      <c r="A5451" t="s">
        <v>51</v>
      </c>
      <c r="B5451" t="s">
        <v>115</v>
      </c>
      <c r="C5451" t="b">
        <v>1</v>
      </c>
      <c r="D5451" s="1">
        <v>43131</v>
      </c>
      <c r="E5451">
        <v>5</v>
      </c>
    </row>
    <row r="5452" spans="1:15" hidden="1" x14ac:dyDescent="0.25">
      <c r="A5452" t="s">
        <v>52</v>
      </c>
      <c r="B5452" t="s">
        <v>115</v>
      </c>
      <c r="C5452" t="b">
        <v>1</v>
      </c>
      <c r="D5452" s="1">
        <v>43131</v>
      </c>
      <c r="E5452">
        <v>5</v>
      </c>
    </row>
    <row r="5453" spans="1:15" hidden="1" x14ac:dyDescent="0.25">
      <c r="A5453" t="s">
        <v>54</v>
      </c>
      <c r="B5453" t="s">
        <v>115</v>
      </c>
      <c r="C5453" t="b">
        <v>1</v>
      </c>
      <c r="D5453" s="1">
        <v>43131</v>
      </c>
      <c r="E5453">
        <v>5</v>
      </c>
    </row>
    <row r="5454" spans="1:15" hidden="1" x14ac:dyDescent="0.25">
      <c r="A5454" t="s">
        <v>55</v>
      </c>
      <c r="B5454" t="s">
        <v>115</v>
      </c>
      <c r="C5454" t="b">
        <v>1</v>
      </c>
      <c r="D5454" s="1">
        <v>43131</v>
      </c>
      <c r="E5454">
        <v>5</v>
      </c>
    </row>
    <row r="5455" spans="1:15" hidden="1" x14ac:dyDescent="0.25">
      <c r="A5455" t="s">
        <v>58</v>
      </c>
      <c r="B5455" t="s">
        <v>115</v>
      </c>
      <c r="C5455" t="b">
        <v>1</v>
      </c>
      <c r="D5455" s="1">
        <v>43131</v>
      </c>
      <c r="E5455">
        <v>5</v>
      </c>
    </row>
    <row r="5456" spans="1:15" hidden="1" x14ac:dyDescent="0.25">
      <c r="A5456" t="s">
        <v>65</v>
      </c>
      <c r="B5456" t="s">
        <v>115</v>
      </c>
      <c r="C5456" t="b">
        <v>1</v>
      </c>
      <c r="D5456" s="1">
        <v>43131</v>
      </c>
      <c r="E5456">
        <v>5</v>
      </c>
    </row>
    <row r="5457" spans="1:5" hidden="1" x14ac:dyDescent="0.25">
      <c r="A5457" t="s">
        <v>66</v>
      </c>
      <c r="B5457" t="s">
        <v>115</v>
      </c>
      <c r="C5457" t="b">
        <v>1</v>
      </c>
      <c r="D5457" s="1">
        <v>43131</v>
      </c>
      <c r="E5457">
        <v>5</v>
      </c>
    </row>
    <row r="5458" spans="1:5" hidden="1" x14ac:dyDescent="0.25">
      <c r="A5458" t="s">
        <v>68</v>
      </c>
      <c r="B5458" t="s">
        <v>115</v>
      </c>
      <c r="C5458" t="b">
        <v>1</v>
      </c>
      <c r="D5458" s="1">
        <v>43131</v>
      </c>
      <c r="E5458">
        <v>5</v>
      </c>
    </row>
    <row r="5459" spans="1:5" hidden="1" x14ac:dyDescent="0.25">
      <c r="A5459" t="s">
        <v>69</v>
      </c>
      <c r="B5459" t="s">
        <v>115</v>
      </c>
      <c r="C5459" t="b">
        <v>1</v>
      </c>
      <c r="D5459" s="1">
        <v>43131</v>
      </c>
      <c r="E5459">
        <v>5</v>
      </c>
    </row>
    <row r="5460" spans="1:5" hidden="1" x14ac:dyDescent="0.25">
      <c r="A5460" t="s">
        <v>75</v>
      </c>
      <c r="B5460" t="s">
        <v>115</v>
      </c>
      <c r="C5460" t="b">
        <v>1</v>
      </c>
      <c r="D5460" s="1">
        <v>43131</v>
      </c>
      <c r="E5460">
        <v>5</v>
      </c>
    </row>
    <row r="5461" spans="1:5" hidden="1" x14ac:dyDescent="0.25">
      <c r="A5461" t="s">
        <v>76</v>
      </c>
      <c r="B5461" t="s">
        <v>115</v>
      </c>
      <c r="C5461" t="b">
        <v>1</v>
      </c>
      <c r="D5461" s="1">
        <v>43131</v>
      </c>
      <c r="E5461">
        <v>1E-3</v>
      </c>
    </row>
    <row r="5462" spans="1:5" hidden="1" x14ac:dyDescent="0.25">
      <c r="A5462" t="s">
        <v>82</v>
      </c>
      <c r="B5462" t="s">
        <v>115</v>
      </c>
      <c r="C5462" t="b">
        <v>1</v>
      </c>
      <c r="D5462" s="1">
        <v>43131</v>
      </c>
      <c r="E5462">
        <v>5</v>
      </c>
    </row>
    <row r="5463" spans="1:5" hidden="1" x14ac:dyDescent="0.25">
      <c r="A5463" t="s">
        <v>84</v>
      </c>
      <c r="B5463" t="s">
        <v>115</v>
      </c>
      <c r="C5463" t="b">
        <v>1</v>
      </c>
      <c r="D5463" s="1">
        <v>43131</v>
      </c>
      <c r="E5463">
        <v>5</v>
      </c>
    </row>
    <row r="5464" spans="1:5" hidden="1" x14ac:dyDescent="0.25">
      <c r="A5464" t="s">
        <v>83</v>
      </c>
      <c r="B5464" t="s">
        <v>115</v>
      </c>
      <c r="C5464" t="b">
        <v>1</v>
      </c>
      <c r="D5464" s="1">
        <v>43131</v>
      </c>
      <c r="E5464">
        <v>5</v>
      </c>
    </row>
    <row r="5465" spans="1:5" hidden="1" x14ac:dyDescent="0.25">
      <c r="A5465" t="s">
        <v>88</v>
      </c>
      <c r="B5465" t="s">
        <v>115</v>
      </c>
      <c r="C5465" t="b">
        <v>1</v>
      </c>
      <c r="D5465" s="1">
        <v>43131</v>
      </c>
      <c r="E5465">
        <v>5</v>
      </c>
    </row>
    <row r="5466" spans="1:5" hidden="1" x14ac:dyDescent="0.25">
      <c r="A5466" t="s">
        <v>87</v>
      </c>
      <c r="B5466" t="s">
        <v>115</v>
      </c>
      <c r="C5466" t="b">
        <v>1</v>
      </c>
      <c r="D5466" s="1">
        <v>43131</v>
      </c>
      <c r="E5466">
        <v>5</v>
      </c>
    </row>
    <row r="5467" spans="1:5" hidden="1" x14ac:dyDescent="0.25">
      <c r="A5467" t="s">
        <v>93</v>
      </c>
      <c r="B5467" t="s">
        <v>115</v>
      </c>
      <c r="C5467" t="b">
        <v>1</v>
      </c>
      <c r="D5467" s="1">
        <v>43131</v>
      </c>
      <c r="E5467">
        <v>5</v>
      </c>
    </row>
    <row r="5468" spans="1:5" hidden="1" x14ac:dyDescent="0.25">
      <c r="A5468" t="s">
        <v>94</v>
      </c>
      <c r="B5468" t="s">
        <v>115</v>
      </c>
      <c r="C5468" t="b">
        <v>1</v>
      </c>
      <c r="D5468" s="1">
        <v>43131</v>
      </c>
      <c r="E5468">
        <v>5</v>
      </c>
    </row>
    <row r="5469" spans="1:5" hidden="1" x14ac:dyDescent="0.25">
      <c r="A5469" t="s">
        <v>96</v>
      </c>
      <c r="B5469" t="s">
        <v>115</v>
      </c>
      <c r="C5469" t="b">
        <v>1</v>
      </c>
      <c r="D5469" s="1">
        <v>43131</v>
      </c>
      <c r="E5469">
        <v>5</v>
      </c>
    </row>
    <row r="5470" spans="1:5" hidden="1" x14ac:dyDescent="0.25">
      <c r="A5470" t="s">
        <v>98</v>
      </c>
      <c r="B5470" t="s">
        <v>115</v>
      </c>
      <c r="C5470" t="b">
        <v>1</v>
      </c>
      <c r="D5470" s="1">
        <v>43131</v>
      </c>
      <c r="E5470">
        <v>5</v>
      </c>
    </row>
    <row r="5471" spans="1:5" hidden="1" x14ac:dyDescent="0.25">
      <c r="A5471" t="s">
        <v>97</v>
      </c>
      <c r="B5471" t="s">
        <v>115</v>
      </c>
      <c r="C5471" t="b">
        <v>1</v>
      </c>
      <c r="D5471" s="1">
        <v>43131</v>
      </c>
      <c r="E5471">
        <v>5</v>
      </c>
    </row>
    <row r="5472" spans="1:5" hidden="1" x14ac:dyDescent="0.25">
      <c r="A5472" t="s">
        <v>99</v>
      </c>
      <c r="B5472" t="s">
        <v>114</v>
      </c>
      <c r="C5472" t="b">
        <v>1</v>
      </c>
      <c r="D5472" s="1">
        <v>43131</v>
      </c>
      <c r="E5472">
        <v>26.72</v>
      </c>
    </row>
    <row r="5473" spans="1:5" hidden="1" x14ac:dyDescent="0.25">
      <c r="A5473" t="s">
        <v>100</v>
      </c>
      <c r="B5473" t="s">
        <v>117</v>
      </c>
      <c r="C5473" t="b">
        <v>1</v>
      </c>
      <c r="D5473" s="1">
        <v>43159</v>
      </c>
      <c r="E5473" s="2">
        <v>-39.96</v>
      </c>
    </row>
    <row r="5474" spans="1:5" hidden="1" x14ac:dyDescent="0.25">
      <c r="A5474" t="s">
        <v>104</v>
      </c>
      <c r="B5474" t="s">
        <v>117</v>
      </c>
      <c r="C5474" t="b">
        <v>1</v>
      </c>
      <c r="D5474" s="1">
        <v>43159</v>
      </c>
      <c r="E5474" s="2">
        <v>-14.1</v>
      </c>
    </row>
    <row r="5475" spans="1:5" hidden="1" x14ac:dyDescent="0.25">
      <c r="A5475" t="s">
        <v>102</v>
      </c>
      <c r="B5475" t="s">
        <v>117</v>
      </c>
      <c r="C5475" t="b">
        <v>1</v>
      </c>
      <c r="D5475" s="1">
        <v>43159</v>
      </c>
      <c r="E5475" s="2">
        <v>-35.950000000000003</v>
      </c>
    </row>
    <row r="5476" spans="1:5" hidden="1" x14ac:dyDescent="0.25">
      <c r="A5476" t="s">
        <v>103</v>
      </c>
      <c r="B5476" t="s">
        <v>117</v>
      </c>
      <c r="C5476" t="b">
        <v>1</v>
      </c>
      <c r="D5476" s="1">
        <v>43159</v>
      </c>
      <c r="E5476" s="2">
        <v>-5</v>
      </c>
    </row>
    <row r="5477" spans="1:5" hidden="1" x14ac:dyDescent="0.25">
      <c r="A5477" t="s">
        <v>101</v>
      </c>
      <c r="B5477" t="s">
        <v>117</v>
      </c>
      <c r="C5477" t="b">
        <v>1</v>
      </c>
      <c r="D5477" s="1">
        <v>43159</v>
      </c>
      <c r="E5477" s="2">
        <v>-10.58</v>
      </c>
    </row>
    <row r="5478" spans="1:5" hidden="1" x14ac:dyDescent="0.25">
      <c r="A5478" t="s">
        <v>47</v>
      </c>
      <c r="B5478" t="s">
        <v>115</v>
      </c>
      <c r="C5478" t="b">
        <v>1</v>
      </c>
      <c r="D5478" s="1">
        <v>43159</v>
      </c>
      <c r="E5478">
        <v>5</v>
      </c>
    </row>
    <row r="5479" spans="1:5" hidden="1" x14ac:dyDescent="0.25">
      <c r="A5479" t="s">
        <v>43</v>
      </c>
      <c r="B5479" t="s">
        <v>115</v>
      </c>
      <c r="C5479" t="b">
        <v>1</v>
      </c>
      <c r="D5479" s="1">
        <v>43159</v>
      </c>
      <c r="E5479">
        <v>5</v>
      </c>
    </row>
    <row r="5480" spans="1:5" hidden="1" x14ac:dyDescent="0.25">
      <c r="A5480" t="s">
        <v>49</v>
      </c>
      <c r="B5480" t="s">
        <v>115</v>
      </c>
      <c r="C5480" t="b">
        <v>1</v>
      </c>
      <c r="D5480" s="1">
        <v>43159</v>
      </c>
      <c r="E5480">
        <v>5</v>
      </c>
    </row>
    <row r="5481" spans="1:5" hidden="1" x14ac:dyDescent="0.25">
      <c r="A5481" t="s">
        <v>50</v>
      </c>
      <c r="B5481" t="s">
        <v>115</v>
      </c>
      <c r="C5481" t="b">
        <v>1</v>
      </c>
      <c r="D5481" s="1">
        <v>43159</v>
      </c>
      <c r="E5481">
        <v>5</v>
      </c>
    </row>
    <row r="5482" spans="1:5" hidden="1" x14ac:dyDescent="0.25">
      <c r="A5482" t="s">
        <v>51</v>
      </c>
      <c r="B5482" t="s">
        <v>115</v>
      </c>
      <c r="C5482" t="b">
        <v>1</v>
      </c>
      <c r="D5482" s="1">
        <v>43159</v>
      </c>
      <c r="E5482">
        <v>5</v>
      </c>
    </row>
    <row r="5483" spans="1:5" hidden="1" x14ac:dyDescent="0.25">
      <c r="A5483" t="s">
        <v>52</v>
      </c>
      <c r="B5483" t="s">
        <v>115</v>
      </c>
      <c r="C5483" t="b">
        <v>1</v>
      </c>
      <c r="D5483" s="1">
        <v>43159</v>
      </c>
      <c r="E5483">
        <v>5</v>
      </c>
    </row>
    <row r="5484" spans="1:5" hidden="1" x14ac:dyDescent="0.25">
      <c r="A5484" t="s">
        <v>54</v>
      </c>
      <c r="B5484" t="s">
        <v>115</v>
      </c>
      <c r="C5484" t="b">
        <v>1</v>
      </c>
      <c r="D5484" s="1">
        <v>43159</v>
      </c>
      <c r="E5484">
        <v>5</v>
      </c>
    </row>
    <row r="5485" spans="1:5" hidden="1" x14ac:dyDescent="0.25">
      <c r="A5485" t="s">
        <v>55</v>
      </c>
      <c r="B5485" t="s">
        <v>115</v>
      </c>
      <c r="C5485" t="b">
        <v>1</v>
      </c>
      <c r="D5485" s="1">
        <v>43159</v>
      </c>
      <c r="E5485">
        <v>5</v>
      </c>
    </row>
    <row r="5486" spans="1:5" hidden="1" x14ac:dyDescent="0.25">
      <c r="A5486" t="s">
        <v>58</v>
      </c>
      <c r="B5486" t="s">
        <v>115</v>
      </c>
      <c r="C5486" t="b">
        <v>1</v>
      </c>
      <c r="D5486" s="1">
        <v>43159</v>
      </c>
      <c r="E5486">
        <v>5</v>
      </c>
    </row>
    <row r="5487" spans="1:5" hidden="1" x14ac:dyDescent="0.25">
      <c r="A5487" t="s">
        <v>65</v>
      </c>
      <c r="B5487" t="s">
        <v>115</v>
      </c>
      <c r="C5487" t="b">
        <v>1</v>
      </c>
      <c r="D5487" s="1">
        <v>43159</v>
      </c>
      <c r="E5487">
        <v>5</v>
      </c>
    </row>
    <row r="5488" spans="1:5" hidden="1" x14ac:dyDescent="0.25">
      <c r="A5488" t="s">
        <v>66</v>
      </c>
      <c r="B5488" t="s">
        <v>115</v>
      </c>
      <c r="C5488" t="b">
        <v>1</v>
      </c>
      <c r="D5488" s="1">
        <v>43159</v>
      </c>
      <c r="E5488">
        <v>5</v>
      </c>
    </row>
    <row r="5489" spans="1:5" hidden="1" x14ac:dyDescent="0.25">
      <c r="A5489" t="s">
        <v>68</v>
      </c>
      <c r="B5489" t="s">
        <v>115</v>
      </c>
      <c r="C5489" t="b">
        <v>1</v>
      </c>
      <c r="D5489" s="1">
        <v>43159</v>
      </c>
      <c r="E5489">
        <v>5</v>
      </c>
    </row>
    <row r="5490" spans="1:5" hidden="1" x14ac:dyDescent="0.25">
      <c r="A5490" t="s">
        <v>69</v>
      </c>
      <c r="B5490" t="s">
        <v>115</v>
      </c>
      <c r="C5490" t="b">
        <v>1</v>
      </c>
      <c r="D5490" s="1">
        <v>43159</v>
      </c>
      <c r="E5490">
        <v>5</v>
      </c>
    </row>
    <row r="5491" spans="1:5" hidden="1" x14ac:dyDescent="0.25">
      <c r="A5491" t="s">
        <v>75</v>
      </c>
      <c r="B5491" t="s">
        <v>115</v>
      </c>
      <c r="C5491" t="b">
        <v>1</v>
      </c>
      <c r="D5491" s="1">
        <v>43159</v>
      </c>
      <c r="E5491">
        <v>5</v>
      </c>
    </row>
    <row r="5492" spans="1:5" hidden="1" x14ac:dyDescent="0.25">
      <c r="A5492" t="s">
        <v>76</v>
      </c>
      <c r="B5492" t="s">
        <v>115</v>
      </c>
      <c r="C5492" t="b">
        <v>1</v>
      </c>
      <c r="D5492" s="1">
        <v>43159</v>
      </c>
      <c r="E5492">
        <v>1E-3</v>
      </c>
    </row>
    <row r="5493" spans="1:5" hidden="1" x14ac:dyDescent="0.25">
      <c r="A5493" t="s">
        <v>82</v>
      </c>
      <c r="B5493" t="s">
        <v>115</v>
      </c>
      <c r="C5493" t="b">
        <v>1</v>
      </c>
      <c r="D5493" s="1">
        <v>43159</v>
      </c>
      <c r="E5493">
        <v>5</v>
      </c>
    </row>
    <row r="5494" spans="1:5" hidden="1" x14ac:dyDescent="0.25">
      <c r="A5494" t="s">
        <v>84</v>
      </c>
      <c r="B5494" t="s">
        <v>115</v>
      </c>
      <c r="C5494" t="b">
        <v>1</v>
      </c>
      <c r="D5494" s="1">
        <v>43159</v>
      </c>
      <c r="E5494">
        <v>5</v>
      </c>
    </row>
    <row r="5495" spans="1:5" hidden="1" x14ac:dyDescent="0.25">
      <c r="A5495" t="s">
        <v>83</v>
      </c>
      <c r="B5495" t="s">
        <v>115</v>
      </c>
      <c r="C5495" t="b">
        <v>1</v>
      </c>
      <c r="D5495" s="1">
        <v>43159</v>
      </c>
      <c r="E5495">
        <v>5</v>
      </c>
    </row>
    <row r="5496" spans="1:5" hidden="1" x14ac:dyDescent="0.25">
      <c r="A5496" t="s">
        <v>88</v>
      </c>
      <c r="B5496" t="s">
        <v>115</v>
      </c>
      <c r="C5496" t="b">
        <v>1</v>
      </c>
      <c r="D5496" s="1">
        <v>43159</v>
      </c>
      <c r="E5496">
        <v>5</v>
      </c>
    </row>
    <row r="5497" spans="1:5" hidden="1" x14ac:dyDescent="0.25">
      <c r="A5497" t="s">
        <v>87</v>
      </c>
      <c r="B5497" t="s">
        <v>115</v>
      </c>
      <c r="C5497" t="b">
        <v>1</v>
      </c>
      <c r="D5497" s="1">
        <v>43159</v>
      </c>
      <c r="E5497">
        <v>5</v>
      </c>
    </row>
    <row r="5498" spans="1:5" hidden="1" x14ac:dyDescent="0.25">
      <c r="A5498" t="s">
        <v>93</v>
      </c>
      <c r="B5498" t="s">
        <v>115</v>
      </c>
      <c r="C5498" t="b">
        <v>1</v>
      </c>
      <c r="D5498" s="1">
        <v>43159</v>
      </c>
      <c r="E5498">
        <v>5</v>
      </c>
    </row>
    <row r="5499" spans="1:5" hidden="1" x14ac:dyDescent="0.25">
      <c r="A5499" t="s">
        <v>94</v>
      </c>
      <c r="B5499" t="s">
        <v>115</v>
      </c>
      <c r="C5499" t="b">
        <v>1</v>
      </c>
      <c r="D5499" s="1">
        <v>43159</v>
      </c>
      <c r="E5499">
        <v>5</v>
      </c>
    </row>
    <row r="5500" spans="1:5" hidden="1" x14ac:dyDescent="0.25">
      <c r="A5500" t="s">
        <v>96</v>
      </c>
      <c r="B5500" t="s">
        <v>115</v>
      </c>
      <c r="C5500" t="b">
        <v>1</v>
      </c>
      <c r="D5500" s="1">
        <v>43159</v>
      </c>
      <c r="E5500">
        <v>5</v>
      </c>
    </row>
    <row r="5501" spans="1:5" hidden="1" x14ac:dyDescent="0.25">
      <c r="A5501" t="s">
        <v>98</v>
      </c>
      <c r="B5501" t="s">
        <v>115</v>
      </c>
      <c r="C5501" t="b">
        <v>1</v>
      </c>
      <c r="D5501" s="1">
        <v>43159</v>
      </c>
      <c r="E5501">
        <v>5</v>
      </c>
    </row>
    <row r="5502" spans="1:5" hidden="1" x14ac:dyDescent="0.25">
      <c r="A5502" t="s">
        <v>97</v>
      </c>
      <c r="B5502" t="s">
        <v>115</v>
      </c>
      <c r="C5502" t="b">
        <v>1</v>
      </c>
      <c r="D5502" s="1">
        <v>43159</v>
      </c>
      <c r="E5502">
        <v>5</v>
      </c>
    </row>
    <row r="5503" spans="1:5" hidden="1" x14ac:dyDescent="0.25">
      <c r="A5503" t="s">
        <v>99</v>
      </c>
      <c r="B5503" t="s">
        <v>114</v>
      </c>
      <c r="C5503" t="b">
        <v>1</v>
      </c>
      <c r="D5503" s="1">
        <v>43159</v>
      </c>
      <c r="E5503">
        <v>32.54</v>
      </c>
    </row>
    <row r="5504" spans="1:5" hidden="1" x14ac:dyDescent="0.25">
      <c r="A5504" t="s">
        <v>100</v>
      </c>
      <c r="B5504" t="s">
        <v>117</v>
      </c>
      <c r="C5504" t="b">
        <v>1</v>
      </c>
      <c r="D5504" s="1">
        <v>43190</v>
      </c>
      <c r="E5504" s="2">
        <v>-79.92</v>
      </c>
    </row>
    <row r="5505" spans="1:5" hidden="1" x14ac:dyDescent="0.25">
      <c r="A5505" t="s">
        <v>104</v>
      </c>
      <c r="B5505" t="s">
        <v>117</v>
      </c>
      <c r="C5505" t="b">
        <v>1</v>
      </c>
      <c r="D5505" s="1">
        <v>43190</v>
      </c>
      <c r="E5505" s="2">
        <v>-5</v>
      </c>
    </row>
    <row r="5506" spans="1:5" hidden="1" x14ac:dyDescent="0.25">
      <c r="A5506" t="s">
        <v>102</v>
      </c>
      <c r="B5506" t="s">
        <v>117</v>
      </c>
      <c r="C5506" t="b">
        <v>1</v>
      </c>
      <c r="D5506" s="1">
        <v>43190</v>
      </c>
      <c r="E5506" s="2">
        <v>-31.96</v>
      </c>
    </row>
    <row r="5507" spans="1:5" hidden="1" x14ac:dyDescent="0.25">
      <c r="A5507" t="s">
        <v>101</v>
      </c>
      <c r="B5507" t="s">
        <v>117</v>
      </c>
      <c r="C5507" t="b">
        <v>1</v>
      </c>
      <c r="D5507" s="1">
        <v>43190</v>
      </c>
      <c r="E5507" s="2">
        <v>-4.99</v>
      </c>
    </row>
    <row r="5508" spans="1:5" hidden="1" x14ac:dyDescent="0.25">
      <c r="A5508" t="s">
        <v>47</v>
      </c>
      <c r="B5508" t="s">
        <v>115</v>
      </c>
      <c r="C5508" t="b">
        <v>1</v>
      </c>
      <c r="D5508" s="1">
        <v>43190</v>
      </c>
      <c r="E5508">
        <v>5</v>
      </c>
    </row>
    <row r="5509" spans="1:5" hidden="1" x14ac:dyDescent="0.25">
      <c r="A5509" t="s">
        <v>43</v>
      </c>
      <c r="B5509" t="s">
        <v>115</v>
      </c>
      <c r="C5509" t="b">
        <v>1</v>
      </c>
      <c r="D5509" s="1">
        <v>43190</v>
      </c>
      <c r="E5509">
        <v>5</v>
      </c>
    </row>
    <row r="5510" spans="1:5" hidden="1" x14ac:dyDescent="0.25">
      <c r="A5510" t="s">
        <v>49</v>
      </c>
      <c r="B5510" t="s">
        <v>115</v>
      </c>
      <c r="C5510" t="b">
        <v>1</v>
      </c>
      <c r="D5510" s="1">
        <v>43190</v>
      </c>
      <c r="E5510">
        <v>5</v>
      </c>
    </row>
    <row r="5511" spans="1:5" hidden="1" x14ac:dyDescent="0.25">
      <c r="A5511" t="s">
        <v>50</v>
      </c>
      <c r="B5511" t="s">
        <v>115</v>
      </c>
      <c r="C5511" t="b">
        <v>1</v>
      </c>
      <c r="D5511" s="1">
        <v>43190</v>
      </c>
      <c r="E5511">
        <v>5</v>
      </c>
    </row>
    <row r="5512" spans="1:5" hidden="1" x14ac:dyDescent="0.25">
      <c r="A5512" t="s">
        <v>51</v>
      </c>
      <c r="B5512" t="s">
        <v>115</v>
      </c>
      <c r="C5512" t="b">
        <v>1</v>
      </c>
      <c r="D5512" s="1">
        <v>43190</v>
      </c>
      <c r="E5512">
        <v>5</v>
      </c>
    </row>
    <row r="5513" spans="1:5" hidden="1" x14ac:dyDescent="0.25">
      <c r="A5513" t="s">
        <v>52</v>
      </c>
      <c r="B5513" t="s">
        <v>115</v>
      </c>
      <c r="C5513" t="b">
        <v>1</v>
      </c>
      <c r="D5513" s="1">
        <v>43190</v>
      </c>
      <c r="E5513">
        <v>5</v>
      </c>
    </row>
    <row r="5514" spans="1:5" hidden="1" x14ac:dyDescent="0.25">
      <c r="A5514" t="s">
        <v>54</v>
      </c>
      <c r="B5514" t="s">
        <v>115</v>
      </c>
      <c r="C5514" t="b">
        <v>1</v>
      </c>
      <c r="D5514" s="1">
        <v>43190</v>
      </c>
      <c r="E5514">
        <v>5</v>
      </c>
    </row>
    <row r="5515" spans="1:5" hidden="1" x14ac:dyDescent="0.25">
      <c r="A5515" t="s">
        <v>55</v>
      </c>
      <c r="B5515" t="s">
        <v>115</v>
      </c>
      <c r="C5515" t="b">
        <v>1</v>
      </c>
      <c r="D5515" s="1">
        <v>43190</v>
      </c>
      <c r="E5515">
        <v>5</v>
      </c>
    </row>
    <row r="5516" spans="1:5" hidden="1" x14ac:dyDescent="0.25">
      <c r="A5516" t="s">
        <v>58</v>
      </c>
      <c r="B5516" t="s">
        <v>115</v>
      </c>
      <c r="C5516" t="b">
        <v>1</v>
      </c>
      <c r="D5516" s="1">
        <v>43190</v>
      </c>
      <c r="E5516">
        <v>5</v>
      </c>
    </row>
    <row r="5517" spans="1:5" hidden="1" x14ac:dyDescent="0.25">
      <c r="A5517" t="s">
        <v>67</v>
      </c>
      <c r="B5517" t="s">
        <v>115</v>
      </c>
      <c r="C5517" t="b">
        <v>1</v>
      </c>
      <c r="D5517" s="1">
        <v>43190</v>
      </c>
      <c r="E5517">
        <v>5</v>
      </c>
    </row>
    <row r="5518" spans="1:5" hidden="1" x14ac:dyDescent="0.25">
      <c r="A5518" t="s">
        <v>65</v>
      </c>
      <c r="B5518" t="s">
        <v>115</v>
      </c>
      <c r="C5518" t="b">
        <v>1</v>
      </c>
      <c r="D5518" s="1">
        <v>43190</v>
      </c>
      <c r="E5518">
        <v>5</v>
      </c>
    </row>
    <row r="5519" spans="1:5" hidden="1" x14ac:dyDescent="0.25">
      <c r="A5519" t="s">
        <v>66</v>
      </c>
      <c r="B5519" t="s">
        <v>115</v>
      </c>
      <c r="C5519" t="b">
        <v>1</v>
      </c>
      <c r="D5519" s="1">
        <v>43190</v>
      </c>
      <c r="E5519">
        <v>5</v>
      </c>
    </row>
    <row r="5520" spans="1:5" hidden="1" x14ac:dyDescent="0.25">
      <c r="A5520" t="s">
        <v>68</v>
      </c>
      <c r="B5520" t="s">
        <v>115</v>
      </c>
      <c r="C5520" t="b">
        <v>1</v>
      </c>
      <c r="D5520" s="1">
        <v>43190</v>
      </c>
      <c r="E5520">
        <v>5</v>
      </c>
    </row>
    <row r="5521" spans="1:5" hidden="1" x14ac:dyDescent="0.25">
      <c r="A5521" t="s">
        <v>69</v>
      </c>
      <c r="B5521" t="s">
        <v>115</v>
      </c>
      <c r="C5521" t="b">
        <v>1</v>
      </c>
      <c r="D5521" s="1">
        <v>43190</v>
      </c>
      <c r="E5521">
        <v>5</v>
      </c>
    </row>
    <row r="5522" spans="1:5" hidden="1" x14ac:dyDescent="0.25">
      <c r="A5522" t="s">
        <v>69</v>
      </c>
      <c r="B5522" t="s">
        <v>115</v>
      </c>
      <c r="C5522" t="b">
        <v>0</v>
      </c>
      <c r="D5522" s="1">
        <v>43190</v>
      </c>
      <c r="E5522">
        <v>5</v>
      </c>
    </row>
    <row r="5523" spans="1:5" hidden="1" x14ac:dyDescent="0.25">
      <c r="A5523" t="s">
        <v>69</v>
      </c>
      <c r="B5523" t="s">
        <v>115</v>
      </c>
      <c r="C5523" t="b">
        <v>0</v>
      </c>
      <c r="D5523" s="1">
        <v>43190</v>
      </c>
      <c r="E5523">
        <v>5</v>
      </c>
    </row>
    <row r="5524" spans="1:5" hidden="1" x14ac:dyDescent="0.25">
      <c r="A5524" t="s">
        <v>75</v>
      </c>
      <c r="B5524" t="s">
        <v>115</v>
      </c>
      <c r="C5524" t="b">
        <v>1</v>
      </c>
      <c r="D5524" s="1">
        <v>43190</v>
      </c>
      <c r="E5524">
        <v>5</v>
      </c>
    </row>
    <row r="5525" spans="1:5" hidden="1" x14ac:dyDescent="0.25">
      <c r="A5525" t="s">
        <v>76</v>
      </c>
      <c r="B5525" t="s">
        <v>115</v>
      </c>
      <c r="C5525" t="b">
        <v>1</v>
      </c>
      <c r="D5525" s="1">
        <v>43190</v>
      </c>
      <c r="E5525">
        <v>1E-3</v>
      </c>
    </row>
    <row r="5526" spans="1:5" hidden="1" x14ac:dyDescent="0.25">
      <c r="A5526" t="s">
        <v>82</v>
      </c>
      <c r="B5526" t="s">
        <v>115</v>
      </c>
      <c r="C5526" t="b">
        <v>1</v>
      </c>
      <c r="D5526" s="1">
        <v>43190</v>
      </c>
      <c r="E5526">
        <v>5</v>
      </c>
    </row>
    <row r="5527" spans="1:5" hidden="1" x14ac:dyDescent="0.25">
      <c r="A5527" t="s">
        <v>84</v>
      </c>
      <c r="B5527" t="s">
        <v>115</v>
      </c>
      <c r="C5527" t="b">
        <v>1</v>
      </c>
      <c r="D5527" s="1">
        <v>43190</v>
      </c>
      <c r="E5527">
        <v>5</v>
      </c>
    </row>
    <row r="5528" spans="1:5" hidden="1" x14ac:dyDescent="0.25">
      <c r="A5528" t="s">
        <v>83</v>
      </c>
      <c r="B5528" t="s">
        <v>115</v>
      </c>
      <c r="C5528" t="b">
        <v>1</v>
      </c>
      <c r="D5528" s="1">
        <v>43190</v>
      </c>
      <c r="E5528">
        <v>5</v>
      </c>
    </row>
    <row r="5529" spans="1:5" hidden="1" x14ac:dyDescent="0.25">
      <c r="A5529" t="s">
        <v>88</v>
      </c>
      <c r="B5529" t="s">
        <v>115</v>
      </c>
      <c r="C5529" t="b">
        <v>1</v>
      </c>
      <c r="D5529" s="1">
        <v>43190</v>
      </c>
      <c r="E5529">
        <v>5</v>
      </c>
    </row>
    <row r="5530" spans="1:5" hidden="1" x14ac:dyDescent="0.25">
      <c r="A5530" t="s">
        <v>87</v>
      </c>
      <c r="B5530" t="s">
        <v>115</v>
      </c>
      <c r="C5530" t="b">
        <v>1</v>
      </c>
      <c r="D5530" s="1">
        <v>43190</v>
      </c>
      <c r="E5530">
        <v>5</v>
      </c>
    </row>
    <row r="5531" spans="1:5" hidden="1" x14ac:dyDescent="0.25">
      <c r="A5531" t="s">
        <v>93</v>
      </c>
      <c r="B5531" t="s">
        <v>115</v>
      </c>
      <c r="C5531" t="b">
        <v>1</v>
      </c>
      <c r="D5531" s="1">
        <v>43190</v>
      </c>
      <c r="E5531">
        <v>5</v>
      </c>
    </row>
    <row r="5532" spans="1:5" hidden="1" x14ac:dyDescent="0.25">
      <c r="A5532" t="s">
        <v>94</v>
      </c>
      <c r="B5532" t="s">
        <v>115</v>
      </c>
      <c r="C5532" t="b">
        <v>1</v>
      </c>
      <c r="D5532" s="1">
        <v>43190</v>
      </c>
      <c r="E5532">
        <v>5</v>
      </c>
    </row>
    <row r="5533" spans="1:5" hidden="1" x14ac:dyDescent="0.25">
      <c r="A5533" t="s">
        <v>96</v>
      </c>
      <c r="B5533" t="s">
        <v>115</v>
      </c>
      <c r="C5533" t="b">
        <v>1</v>
      </c>
      <c r="D5533" s="1">
        <v>43190</v>
      </c>
      <c r="E5533">
        <v>5</v>
      </c>
    </row>
    <row r="5534" spans="1:5" hidden="1" x14ac:dyDescent="0.25">
      <c r="A5534" t="s">
        <v>98</v>
      </c>
      <c r="B5534" t="s">
        <v>115</v>
      </c>
      <c r="C5534" t="b">
        <v>1</v>
      </c>
      <c r="D5534" s="1">
        <v>43190</v>
      </c>
      <c r="E5534">
        <v>5</v>
      </c>
    </row>
    <row r="5535" spans="1:5" hidden="1" x14ac:dyDescent="0.25">
      <c r="A5535" t="s">
        <v>97</v>
      </c>
      <c r="B5535" t="s">
        <v>115</v>
      </c>
      <c r="C5535" t="b">
        <v>1</v>
      </c>
      <c r="D5535" s="1">
        <v>43190</v>
      </c>
      <c r="E5535">
        <v>5</v>
      </c>
    </row>
    <row r="5536" spans="1:5" hidden="1" x14ac:dyDescent="0.25">
      <c r="A5536" t="s">
        <v>99</v>
      </c>
      <c r="B5536" t="s">
        <v>114</v>
      </c>
      <c r="C5536" t="b">
        <v>1</v>
      </c>
      <c r="D5536" s="1">
        <v>43190</v>
      </c>
      <c r="E5536">
        <f>37.11+3+0.55</f>
        <v>40.659999999999997</v>
      </c>
    </row>
    <row r="5537" spans="1:5" hidden="1" x14ac:dyDescent="0.25">
      <c r="A5537" t="s">
        <v>100</v>
      </c>
      <c r="B5537" t="s">
        <v>117</v>
      </c>
      <c r="C5537" t="b">
        <v>1</v>
      </c>
      <c r="D5537" s="1">
        <v>43220</v>
      </c>
      <c r="E5537" s="2">
        <f>-1*(10*(9.99-2.25)+9.99)</f>
        <v>-87.39</v>
      </c>
    </row>
    <row r="5538" spans="1:5" hidden="1" x14ac:dyDescent="0.25">
      <c r="A5538" t="s">
        <v>104</v>
      </c>
      <c r="B5538" t="s">
        <v>117</v>
      </c>
      <c r="C5538" t="b">
        <v>1</v>
      </c>
      <c r="D5538" s="1">
        <v>43220</v>
      </c>
      <c r="E5538" s="2">
        <v>-5</v>
      </c>
    </row>
    <row r="5539" spans="1:5" hidden="1" x14ac:dyDescent="0.25">
      <c r="A5539" t="s">
        <v>102</v>
      </c>
      <c r="B5539" t="s">
        <v>117</v>
      </c>
      <c r="C5539" t="b">
        <v>1</v>
      </c>
      <c r="D5539" s="1">
        <v>43220</v>
      </c>
      <c r="E5539">
        <f>-1*((2*5.99)+(7.79*4))-6</f>
        <v>-49.14</v>
      </c>
    </row>
    <row r="5540" spans="1:5" hidden="1" x14ac:dyDescent="0.25">
      <c r="A5540" t="s">
        <v>103</v>
      </c>
      <c r="B5540" t="s">
        <v>117</v>
      </c>
      <c r="C5540" t="b">
        <v>1</v>
      </c>
      <c r="D5540" s="1">
        <v>43220</v>
      </c>
      <c r="E5540" s="2">
        <v>-4.49</v>
      </c>
    </row>
    <row r="5541" spans="1:5" hidden="1" x14ac:dyDescent="0.25">
      <c r="A5541" t="s">
        <v>101</v>
      </c>
      <c r="B5541" t="s">
        <v>117</v>
      </c>
      <c r="C5541" t="b">
        <v>1</v>
      </c>
      <c r="D5541" s="1">
        <v>43220</v>
      </c>
      <c r="E5541" s="2">
        <v>-9.49</v>
      </c>
    </row>
    <row r="5542" spans="1:5" hidden="1" x14ac:dyDescent="0.25">
      <c r="A5542" t="s">
        <v>47</v>
      </c>
      <c r="B5542" t="s">
        <v>115</v>
      </c>
      <c r="C5542" t="b">
        <v>1</v>
      </c>
      <c r="D5542" s="1">
        <v>43220</v>
      </c>
      <c r="E5542">
        <v>1E-3</v>
      </c>
    </row>
    <row r="5543" spans="1:5" hidden="1" x14ac:dyDescent="0.25">
      <c r="A5543" t="s">
        <v>43</v>
      </c>
      <c r="B5543" t="s">
        <v>115</v>
      </c>
      <c r="C5543" t="b">
        <v>1</v>
      </c>
      <c r="D5543" s="1">
        <v>43220</v>
      </c>
      <c r="E5543">
        <v>5</v>
      </c>
    </row>
    <row r="5544" spans="1:5" hidden="1" x14ac:dyDescent="0.25">
      <c r="A5544" t="s">
        <v>48</v>
      </c>
      <c r="B5544" t="s">
        <v>115</v>
      </c>
      <c r="C5544" t="b">
        <v>1</v>
      </c>
      <c r="D5544" s="1">
        <v>43220</v>
      </c>
      <c r="E5544">
        <v>1E-3</v>
      </c>
    </row>
    <row r="5545" spans="1:5" hidden="1" x14ac:dyDescent="0.25">
      <c r="A5545" t="s">
        <v>49</v>
      </c>
      <c r="B5545" t="s">
        <v>115</v>
      </c>
      <c r="C5545" t="b">
        <v>1</v>
      </c>
      <c r="D5545" s="1">
        <v>43220</v>
      </c>
      <c r="E5545">
        <v>5</v>
      </c>
    </row>
    <row r="5546" spans="1:5" hidden="1" x14ac:dyDescent="0.25">
      <c r="A5546" t="s">
        <v>50</v>
      </c>
      <c r="B5546" t="s">
        <v>115</v>
      </c>
      <c r="C5546" t="b">
        <v>1</v>
      </c>
      <c r="D5546" s="1">
        <v>43220</v>
      </c>
      <c r="E5546">
        <v>5</v>
      </c>
    </row>
    <row r="5547" spans="1:5" hidden="1" x14ac:dyDescent="0.25">
      <c r="A5547" t="s">
        <v>51</v>
      </c>
      <c r="B5547" t="s">
        <v>115</v>
      </c>
      <c r="C5547" t="b">
        <v>1</v>
      </c>
      <c r="D5547" s="1">
        <v>43220</v>
      </c>
      <c r="E5547">
        <v>5</v>
      </c>
    </row>
    <row r="5548" spans="1:5" hidden="1" x14ac:dyDescent="0.25">
      <c r="A5548" t="s">
        <v>52</v>
      </c>
      <c r="B5548" t="s">
        <v>115</v>
      </c>
      <c r="C5548" t="b">
        <v>1</v>
      </c>
      <c r="D5548" s="1">
        <v>43220</v>
      </c>
      <c r="E5548">
        <v>5</v>
      </c>
    </row>
    <row r="5549" spans="1:5" hidden="1" x14ac:dyDescent="0.25">
      <c r="A5549" t="s">
        <v>54</v>
      </c>
      <c r="B5549" t="s">
        <v>115</v>
      </c>
      <c r="C5549" t="b">
        <v>0</v>
      </c>
      <c r="D5549" s="1">
        <v>43220</v>
      </c>
      <c r="E5549">
        <v>5</v>
      </c>
    </row>
    <row r="5550" spans="1:5" hidden="1" x14ac:dyDescent="0.25">
      <c r="A5550" t="s">
        <v>55</v>
      </c>
      <c r="B5550" t="s">
        <v>115</v>
      </c>
      <c r="C5550" t="b">
        <v>1</v>
      </c>
      <c r="D5550" s="1">
        <v>43220</v>
      </c>
      <c r="E5550">
        <v>5</v>
      </c>
    </row>
    <row r="5551" spans="1:5" hidden="1" x14ac:dyDescent="0.25">
      <c r="A5551" t="s">
        <v>58</v>
      </c>
      <c r="B5551" t="s">
        <v>115</v>
      </c>
      <c r="C5551" t="b">
        <v>1</v>
      </c>
      <c r="D5551" s="1">
        <v>43220</v>
      </c>
      <c r="E5551">
        <v>5</v>
      </c>
    </row>
    <row r="5552" spans="1:5" hidden="1" x14ac:dyDescent="0.25">
      <c r="A5552" t="s">
        <v>67</v>
      </c>
      <c r="B5552" t="s">
        <v>115</v>
      </c>
      <c r="C5552" t="b">
        <v>1</v>
      </c>
      <c r="D5552" s="1">
        <v>43220</v>
      </c>
      <c r="E5552">
        <v>5</v>
      </c>
    </row>
    <row r="5553" spans="1:5" hidden="1" x14ac:dyDescent="0.25">
      <c r="A5553" t="s">
        <v>65</v>
      </c>
      <c r="B5553" t="s">
        <v>115</v>
      </c>
      <c r="C5553" t="b">
        <v>1</v>
      </c>
      <c r="D5553" s="1">
        <v>43220</v>
      </c>
      <c r="E5553">
        <v>5</v>
      </c>
    </row>
    <row r="5554" spans="1:5" hidden="1" x14ac:dyDescent="0.25">
      <c r="A5554" t="s">
        <v>66</v>
      </c>
      <c r="B5554" t="s">
        <v>115</v>
      </c>
      <c r="C5554" t="b">
        <v>1</v>
      </c>
      <c r="D5554" s="1">
        <v>43220</v>
      </c>
      <c r="E5554">
        <v>5</v>
      </c>
    </row>
    <row r="5555" spans="1:5" hidden="1" x14ac:dyDescent="0.25">
      <c r="A5555" t="s">
        <v>68</v>
      </c>
      <c r="B5555" t="s">
        <v>115</v>
      </c>
      <c r="C5555" t="b">
        <v>1</v>
      </c>
      <c r="D5555" s="1">
        <v>43220</v>
      </c>
      <c r="E5555">
        <v>5</v>
      </c>
    </row>
    <row r="5556" spans="1:5" hidden="1" x14ac:dyDescent="0.25">
      <c r="A5556" t="s">
        <v>75</v>
      </c>
      <c r="B5556" t="s">
        <v>115</v>
      </c>
      <c r="C5556" t="b">
        <v>1</v>
      </c>
      <c r="D5556" s="1">
        <v>43220</v>
      </c>
      <c r="E5556">
        <v>5</v>
      </c>
    </row>
    <row r="5557" spans="1:5" hidden="1" x14ac:dyDescent="0.25">
      <c r="A5557" t="s">
        <v>76</v>
      </c>
      <c r="B5557" t="s">
        <v>115</v>
      </c>
      <c r="C5557" t="b">
        <v>1</v>
      </c>
      <c r="D5557" s="1">
        <v>43220</v>
      </c>
      <c r="E5557">
        <v>1E-3</v>
      </c>
    </row>
    <row r="5558" spans="1:5" hidden="1" x14ac:dyDescent="0.25">
      <c r="A5558" t="s">
        <v>82</v>
      </c>
      <c r="B5558" t="s">
        <v>115</v>
      </c>
      <c r="C5558" t="b">
        <v>1</v>
      </c>
      <c r="D5558" s="1">
        <v>43220</v>
      </c>
      <c r="E5558">
        <v>5</v>
      </c>
    </row>
    <row r="5559" spans="1:5" hidden="1" x14ac:dyDescent="0.25">
      <c r="A5559" t="s">
        <v>84</v>
      </c>
      <c r="B5559" t="s">
        <v>115</v>
      </c>
      <c r="C5559" t="b">
        <v>1</v>
      </c>
      <c r="D5559" s="1">
        <v>43220</v>
      </c>
      <c r="E5559">
        <v>5</v>
      </c>
    </row>
    <row r="5560" spans="1:5" hidden="1" x14ac:dyDescent="0.25">
      <c r="A5560" t="s">
        <v>83</v>
      </c>
      <c r="B5560" t="s">
        <v>115</v>
      </c>
      <c r="C5560" t="b">
        <v>1</v>
      </c>
      <c r="D5560" s="1">
        <v>43220</v>
      </c>
      <c r="E5560">
        <v>5</v>
      </c>
    </row>
    <row r="5561" spans="1:5" hidden="1" x14ac:dyDescent="0.25">
      <c r="A5561" t="s">
        <v>88</v>
      </c>
      <c r="B5561" t="s">
        <v>115</v>
      </c>
      <c r="C5561" t="b">
        <v>1</v>
      </c>
      <c r="D5561" s="1">
        <v>43220</v>
      </c>
      <c r="E5561">
        <v>5</v>
      </c>
    </row>
    <row r="5562" spans="1:5" hidden="1" x14ac:dyDescent="0.25">
      <c r="A5562" t="s">
        <v>87</v>
      </c>
      <c r="B5562" t="s">
        <v>115</v>
      </c>
      <c r="C5562" t="b">
        <v>1</v>
      </c>
      <c r="D5562" s="1">
        <v>43220</v>
      </c>
      <c r="E5562">
        <v>5</v>
      </c>
    </row>
    <row r="5563" spans="1:5" hidden="1" x14ac:dyDescent="0.25">
      <c r="A5563" t="s">
        <v>93</v>
      </c>
      <c r="B5563" t="s">
        <v>115</v>
      </c>
      <c r="C5563" t="b">
        <v>1</v>
      </c>
      <c r="D5563" s="1">
        <v>43220</v>
      </c>
      <c r="E5563">
        <v>5</v>
      </c>
    </row>
    <row r="5564" spans="1:5" hidden="1" x14ac:dyDescent="0.25">
      <c r="A5564" t="s">
        <v>94</v>
      </c>
      <c r="B5564" t="s">
        <v>115</v>
      </c>
      <c r="C5564" t="b">
        <v>1</v>
      </c>
      <c r="D5564" s="1">
        <v>43220</v>
      </c>
      <c r="E5564">
        <v>5</v>
      </c>
    </row>
    <row r="5565" spans="1:5" hidden="1" x14ac:dyDescent="0.25">
      <c r="A5565" t="s">
        <v>96</v>
      </c>
      <c r="B5565" t="s">
        <v>115</v>
      </c>
      <c r="C5565" t="b">
        <v>1</v>
      </c>
      <c r="D5565" s="1">
        <v>43220</v>
      </c>
      <c r="E5565">
        <v>5</v>
      </c>
    </row>
    <row r="5566" spans="1:5" hidden="1" x14ac:dyDescent="0.25">
      <c r="A5566" t="s">
        <v>98</v>
      </c>
      <c r="B5566" t="s">
        <v>115</v>
      </c>
      <c r="C5566" t="b">
        <v>1</v>
      </c>
      <c r="D5566" s="1">
        <v>43220</v>
      </c>
      <c r="E5566">
        <v>5</v>
      </c>
    </row>
    <row r="5567" spans="1:5" hidden="1" x14ac:dyDescent="0.25">
      <c r="A5567" t="s">
        <v>97</v>
      </c>
      <c r="B5567" t="s">
        <v>115</v>
      </c>
      <c r="C5567" t="b">
        <v>1</v>
      </c>
      <c r="D5567" s="1">
        <v>43220</v>
      </c>
      <c r="E5567">
        <v>5</v>
      </c>
    </row>
    <row r="5568" spans="1:5" hidden="1" x14ac:dyDescent="0.25">
      <c r="A5568" t="s">
        <v>99</v>
      </c>
      <c r="B5568" t="s">
        <v>114</v>
      </c>
      <c r="C5568" t="b">
        <v>1</v>
      </c>
      <c r="D5568" s="1">
        <v>43220</v>
      </c>
      <c r="E5568">
        <f>5.85+3.2+1.9+0.9+2.05+1+3+3.5+3.65+2.85</f>
        <v>27.900000000000002</v>
      </c>
    </row>
    <row r="5569" spans="1:5" hidden="1" x14ac:dyDescent="0.25">
      <c r="A5569" t="s">
        <v>100</v>
      </c>
      <c r="B5569" s="11" t="s">
        <v>117</v>
      </c>
      <c r="C5569" t="b">
        <v>1</v>
      </c>
      <c r="D5569" s="1">
        <v>43251</v>
      </c>
      <c r="E5569" s="2">
        <f>-1*(6*9.99)-5</f>
        <v>-64.94</v>
      </c>
    </row>
    <row r="5570" spans="1:5" hidden="1" x14ac:dyDescent="0.25">
      <c r="A5570" t="s">
        <v>104</v>
      </c>
      <c r="B5570" s="11" t="s">
        <v>117</v>
      </c>
      <c r="C5570" t="b">
        <v>1</v>
      </c>
      <c r="D5570" s="1">
        <v>43251</v>
      </c>
      <c r="E5570">
        <f>-1*(5+11.34)</f>
        <v>-16.34</v>
      </c>
    </row>
    <row r="5571" spans="1:5" hidden="1" x14ac:dyDescent="0.25">
      <c r="A5571" t="s">
        <v>102</v>
      </c>
      <c r="B5571" s="11" t="s">
        <v>117</v>
      </c>
      <c r="C5571" t="b">
        <v>1</v>
      </c>
      <c r="D5571" s="1">
        <v>43251</v>
      </c>
      <c r="E5571">
        <f>-1*(7.79*5)-3</f>
        <v>-41.95</v>
      </c>
    </row>
    <row r="5572" spans="1:5" hidden="1" x14ac:dyDescent="0.25">
      <c r="A5572" t="s">
        <v>103</v>
      </c>
      <c r="B5572" s="11" t="s">
        <v>117</v>
      </c>
      <c r="C5572" t="b">
        <v>1</v>
      </c>
      <c r="D5572" s="1">
        <v>43251</v>
      </c>
      <c r="E5572" s="2">
        <v>-4.49</v>
      </c>
    </row>
    <row r="5573" spans="1:5" hidden="1" x14ac:dyDescent="0.25">
      <c r="A5573" t="s">
        <v>101</v>
      </c>
      <c r="B5573" s="11" t="s">
        <v>117</v>
      </c>
      <c r="C5573" t="b">
        <v>1</v>
      </c>
      <c r="D5573" s="1">
        <v>43251</v>
      </c>
      <c r="E5573" s="2">
        <v>-4.59</v>
      </c>
    </row>
    <row r="5574" spans="1:5" hidden="1" x14ac:dyDescent="0.25">
      <c r="A5574" t="s">
        <v>47</v>
      </c>
      <c r="B5574" s="11" t="s">
        <v>115</v>
      </c>
      <c r="C5574" t="b">
        <v>1</v>
      </c>
      <c r="D5574" s="1">
        <v>43251</v>
      </c>
      <c r="E5574">
        <v>1E-3</v>
      </c>
    </row>
    <row r="5575" spans="1:5" hidden="1" x14ac:dyDescent="0.25">
      <c r="A5575" t="s">
        <v>43</v>
      </c>
      <c r="B5575" s="11" t="s">
        <v>115</v>
      </c>
      <c r="C5575" t="b">
        <v>1</v>
      </c>
      <c r="D5575" s="1">
        <v>43251</v>
      </c>
      <c r="E5575">
        <v>5</v>
      </c>
    </row>
    <row r="5576" spans="1:5" hidden="1" x14ac:dyDescent="0.25">
      <c r="A5576" t="s">
        <v>48</v>
      </c>
      <c r="B5576" s="11" t="s">
        <v>115</v>
      </c>
      <c r="C5576" t="b">
        <v>1</v>
      </c>
      <c r="D5576" s="1">
        <v>43251</v>
      </c>
      <c r="E5576">
        <v>5</v>
      </c>
    </row>
    <row r="5577" spans="1:5" hidden="1" x14ac:dyDescent="0.25">
      <c r="A5577" t="s">
        <v>49</v>
      </c>
      <c r="B5577" s="11" t="s">
        <v>115</v>
      </c>
      <c r="C5577" t="b">
        <v>1</v>
      </c>
      <c r="D5577" s="1">
        <v>43251</v>
      </c>
      <c r="E5577">
        <v>5</v>
      </c>
    </row>
    <row r="5578" spans="1:5" hidden="1" x14ac:dyDescent="0.25">
      <c r="A5578" t="s">
        <v>50</v>
      </c>
      <c r="B5578" s="11" t="s">
        <v>115</v>
      </c>
      <c r="C5578" t="b">
        <v>1</v>
      </c>
      <c r="D5578" s="1">
        <v>43251</v>
      </c>
      <c r="E5578">
        <v>5</v>
      </c>
    </row>
    <row r="5579" spans="1:5" hidden="1" x14ac:dyDescent="0.25">
      <c r="A5579" t="s">
        <v>51</v>
      </c>
      <c r="B5579" s="11" t="s">
        <v>115</v>
      </c>
      <c r="C5579" t="b">
        <v>1</v>
      </c>
      <c r="D5579" s="1">
        <v>43251</v>
      </c>
      <c r="E5579">
        <v>5</v>
      </c>
    </row>
    <row r="5580" spans="1:5" hidden="1" x14ac:dyDescent="0.25">
      <c r="A5580" t="s">
        <v>52</v>
      </c>
      <c r="B5580" s="11" t="s">
        <v>115</v>
      </c>
      <c r="C5580" t="b">
        <v>1</v>
      </c>
      <c r="D5580" s="1">
        <v>43251</v>
      </c>
      <c r="E5580">
        <v>5</v>
      </c>
    </row>
    <row r="5581" spans="1:5" hidden="1" x14ac:dyDescent="0.25">
      <c r="A5581" t="s">
        <v>54</v>
      </c>
      <c r="B5581" s="11" t="s">
        <v>115</v>
      </c>
      <c r="C5581" t="b">
        <v>0</v>
      </c>
      <c r="D5581" s="1">
        <v>43251</v>
      </c>
      <c r="E5581">
        <v>5</v>
      </c>
    </row>
    <row r="5582" spans="1:5" hidden="1" x14ac:dyDescent="0.25">
      <c r="A5582" t="s">
        <v>55</v>
      </c>
      <c r="B5582" s="11" t="s">
        <v>115</v>
      </c>
      <c r="C5582" t="b">
        <v>1</v>
      </c>
      <c r="D5582" s="1">
        <v>43251</v>
      </c>
      <c r="E5582">
        <v>5</v>
      </c>
    </row>
    <row r="5583" spans="1:5" hidden="1" x14ac:dyDescent="0.25">
      <c r="A5583" t="s">
        <v>58</v>
      </c>
      <c r="B5583" s="11" t="s">
        <v>115</v>
      </c>
      <c r="C5583" t="b">
        <v>1</v>
      </c>
      <c r="D5583" s="1">
        <v>43251</v>
      </c>
      <c r="E5583">
        <v>5</v>
      </c>
    </row>
    <row r="5584" spans="1:5" hidden="1" x14ac:dyDescent="0.25">
      <c r="A5584" t="s">
        <v>144</v>
      </c>
      <c r="B5584" s="11" t="s">
        <v>115</v>
      </c>
      <c r="C5584" t="b">
        <v>1</v>
      </c>
      <c r="D5584" s="1">
        <v>43251</v>
      </c>
      <c r="E5584">
        <v>1E-3</v>
      </c>
    </row>
    <row r="5585" spans="1:5" hidden="1" x14ac:dyDescent="0.25">
      <c r="A5585" t="s">
        <v>67</v>
      </c>
      <c r="B5585" s="11" t="s">
        <v>115</v>
      </c>
      <c r="C5585" t="b">
        <v>1</v>
      </c>
      <c r="D5585" s="1">
        <v>43251</v>
      </c>
      <c r="E5585">
        <v>5</v>
      </c>
    </row>
    <row r="5586" spans="1:5" hidden="1" x14ac:dyDescent="0.25">
      <c r="A5586" t="s">
        <v>65</v>
      </c>
      <c r="B5586" s="11" t="s">
        <v>115</v>
      </c>
      <c r="C5586" t="b">
        <v>1</v>
      </c>
      <c r="D5586" s="1">
        <v>43251</v>
      </c>
      <c r="E5586">
        <v>5</v>
      </c>
    </row>
    <row r="5587" spans="1:5" hidden="1" x14ac:dyDescent="0.25">
      <c r="A5587" t="s">
        <v>66</v>
      </c>
      <c r="B5587" s="11" t="s">
        <v>115</v>
      </c>
      <c r="C5587" t="b">
        <v>1</v>
      </c>
      <c r="D5587" s="1">
        <v>43251</v>
      </c>
      <c r="E5587">
        <v>5</v>
      </c>
    </row>
    <row r="5588" spans="1:5" hidden="1" x14ac:dyDescent="0.25">
      <c r="A5588" t="s">
        <v>68</v>
      </c>
      <c r="B5588" s="11" t="s">
        <v>115</v>
      </c>
      <c r="C5588" t="b">
        <v>1</v>
      </c>
      <c r="D5588" s="1">
        <v>43251</v>
      </c>
      <c r="E5588">
        <v>5</v>
      </c>
    </row>
    <row r="5589" spans="1:5" hidden="1" x14ac:dyDescent="0.25">
      <c r="A5589" t="s">
        <v>75</v>
      </c>
      <c r="B5589" s="11" t="s">
        <v>115</v>
      </c>
      <c r="C5589" t="b">
        <v>1</v>
      </c>
      <c r="D5589" s="1">
        <v>43251</v>
      </c>
      <c r="E5589">
        <v>5</v>
      </c>
    </row>
    <row r="5590" spans="1:5" hidden="1" x14ac:dyDescent="0.25">
      <c r="A5590" t="s">
        <v>76</v>
      </c>
      <c r="B5590" s="11" t="s">
        <v>115</v>
      </c>
      <c r="C5590" t="b">
        <v>1</v>
      </c>
      <c r="D5590" s="1">
        <v>43251</v>
      </c>
      <c r="E5590">
        <v>1E-3</v>
      </c>
    </row>
    <row r="5591" spans="1:5" hidden="1" x14ac:dyDescent="0.25">
      <c r="A5591" t="s">
        <v>82</v>
      </c>
      <c r="B5591" s="11" t="s">
        <v>115</v>
      </c>
      <c r="C5591" t="b">
        <v>1</v>
      </c>
      <c r="D5591" s="1">
        <v>43251</v>
      </c>
      <c r="E5591">
        <v>5</v>
      </c>
    </row>
    <row r="5592" spans="1:5" hidden="1" x14ac:dyDescent="0.25">
      <c r="A5592" t="s">
        <v>84</v>
      </c>
      <c r="B5592" s="11" t="s">
        <v>115</v>
      </c>
      <c r="C5592" t="b">
        <v>1</v>
      </c>
      <c r="D5592" s="1">
        <v>43251</v>
      </c>
      <c r="E5592">
        <v>5</v>
      </c>
    </row>
    <row r="5593" spans="1:5" hidden="1" x14ac:dyDescent="0.25">
      <c r="A5593" t="s">
        <v>83</v>
      </c>
      <c r="B5593" s="11" t="s">
        <v>115</v>
      </c>
      <c r="C5593" t="b">
        <v>1</v>
      </c>
      <c r="D5593" s="1">
        <v>43251</v>
      </c>
      <c r="E5593">
        <v>5</v>
      </c>
    </row>
    <row r="5594" spans="1:5" hidden="1" x14ac:dyDescent="0.25">
      <c r="A5594" t="s">
        <v>88</v>
      </c>
      <c r="B5594" s="11" t="s">
        <v>115</v>
      </c>
      <c r="C5594" t="b">
        <v>1</v>
      </c>
      <c r="D5594" s="1">
        <v>43251</v>
      </c>
      <c r="E5594">
        <v>5</v>
      </c>
    </row>
    <row r="5595" spans="1:5" hidden="1" x14ac:dyDescent="0.25">
      <c r="A5595" t="s">
        <v>87</v>
      </c>
      <c r="B5595" s="11" t="s">
        <v>115</v>
      </c>
      <c r="C5595" t="b">
        <v>1</v>
      </c>
      <c r="D5595" s="1">
        <v>43251</v>
      </c>
      <c r="E5595">
        <v>5</v>
      </c>
    </row>
    <row r="5596" spans="1:5" hidden="1" x14ac:dyDescent="0.25">
      <c r="A5596" t="s">
        <v>93</v>
      </c>
      <c r="B5596" s="11" t="s">
        <v>115</v>
      </c>
      <c r="C5596" t="b">
        <v>1</v>
      </c>
      <c r="D5596" s="1">
        <v>43251</v>
      </c>
      <c r="E5596">
        <v>5</v>
      </c>
    </row>
    <row r="5597" spans="1:5" hidden="1" x14ac:dyDescent="0.25">
      <c r="A5597" t="s">
        <v>94</v>
      </c>
      <c r="B5597" s="11" t="s">
        <v>115</v>
      </c>
      <c r="C5597" t="b">
        <v>1</v>
      </c>
      <c r="D5597" s="1">
        <v>43251</v>
      </c>
      <c r="E5597">
        <v>5</v>
      </c>
    </row>
    <row r="5598" spans="1:5" hidden="1" x14ac:dyDescent="0.25">
      <c r="A5598" t="s">
        <v>96</v>
      </c>
      <c r="B5598" s="11" t="s">
        <v>115</v>
      </c>
      <c r="C5598" t="b">
        <v>1</v>
      </c>
      <c r="D5598" s="1">
        <v>43251</v>
      </c>
      <c r="E5598">
        <v>5</v>
      </c>
    </row>
    <row r="5599" spans="1:5" hidden="1" x14ac:dyDescent="0.25">
      <c r="A5599" t="s">
        <v>96</v>
      </c>
      <c r="B5599" s="11" t="s">
        <v>115</v>
      </c>
      <c r="C5599" t="b">
        <v>1</v>
      </c>
      <c r="D5599" s="1">
        <v>43251</v>
      </c>
      <c r="E5599">
        <v>5</v>
      </c>
    </row>
    <row r="5600" spans="1:5" hidden="1" x14ac:dyDescent="0.25">
      <c r="A5600" t="s">
        <v>98</v>
      </c>
      <c r="B5600" s="11" t="s">
        <v>115</v>
      </c>
      <c r="C5600" t="b">
        <v>1</v>
      </c>
      <c r="D5600" s="1">
        <v>43251</v>
      </c>
      <c r="E5600">
        <v>5</v>
      </c>
    </row>
    <row r="5601" spans="1:5" hidden="1" x14ac:dyDescent="0.25">
      <c r="A5601" t="s">
        <v>97</v>
      </c>
      <c r="B5601" s="11" t="s">
        <v>115</v>
      </c>
      <c r="C5601" t="b">
        <v>1</v>
      </c>
      <c r="D5601" s="1">
        <v>43251</v>
      </c>
      <c r="E5601">
        <v>5</v>
      </c>
    </row>
    <row r="5602" spans="1:5" hidden="1" x14ac:dyDescent="0.25">
      <c r="A5602" t="s">
        <v>99</v>
      </c>
      <c r="B5602" s="11" t="s">
        <v>114</v>
      </c>
      <c r="C5602" t="b">
        <v>1</v>
      </c>
      <c r="D5602" s="1">
        <v>43251</v>
      </c>
      <c r="E5602">
        <f>18+(17*0.25)+(10*0.1)+(4*0.05)+0.12</f>
        <v>23.57</v>
      </c>
    </row>
    <row r="5603" spans="1:5" hidden="1" x14ac:dyDescent="0.25">
      <c r="A5603" t="s">
        <v>100</v>
      </c>
      <c r="B5603" s="11" t="s">
        <v>117</v>
      </c>
      <c r="C5603" t="b">
        <v>1</v>
      </c>
      <c r="D5603" s="1">
        <v>43281</v>
      </c>
      <c r="E5603" s="2">
        <f>-1*(6*9.99)</f>
        <v>-59.94</v>
      </c>
    </row>
    <row r="5604" spans="1:5" hidden="1" x14ac:dyDescent="0.25">
      <c r="A5604" t="s">
        <v>104</v>
      </c>
      <c r="B5604" s="11" t="s">
        <v>117</v>
      </c>
      <c r="C5604" t="b">
        <v>1</v>
      </c>
      <c r="D5604" s="1">
        <v>43281</v>
      </c>
      <c r="E5604">
        <v>-5</v>
      </c>
    </row>
    <row r="5605" spans="1:5" hidden="1" x14ac:dyDescent="0.25">
      <c r="A5605" t="s">
        <v>102</v>
      </c>
      <c r="B5605" s="11" t="s">
        <v>117</v>
      </c>
      <c r="C5605" t="b">
        <v>1</v>
      </c>
      <c r="D5605" s="1">
        <v>43281</v>
      </c>
      <c r="E5605">
        <f>-1*((7.79*5))-6</f>
        <v>-44.95</v>
      </c>
    </row>
    <row r="5606" spans="1:5" hidden="1" x14ac:dyDescent="0.25">
      <c r="A5606" t="s">
        <v>103</v>
      </c>
      <c r="B5606" s="11" t="s">
        <v>117</v>
      </c>
      <c r="C5606" t="b">
        <v>1</v>
      </c>
      <c r="D5606" s="1">
        <v>43281</v>
      </c>
      <c r="E5606" s="2">
        <f>-4.49*2</f>
        <v>-8.98</v>
      </c>
    </row>
    <row r="5607" spans="1:5" hidden="1" x14ac:dyDescent="0.25">
      <c r="A5607" t="s">
        <v>101</v>
      </c>
      <c r="B5607" s="11" t="s">
        <v>117</v>
      </c>
      <c r="C5607" t="b">
        <v>1</v>
      </c>
      <c r="D5607" s="1">
        <v>43281</v>
      </c>
      <c r="E5607" s="2">
        <f>-4.59*2</f>
        <v>-9.18</v>
      </c>
    </row>
    <row r="5608" spans="1:5" hidden="1" x14ac:dyDescent="0.25">
      <c r="A5608" t="s">
        <v>47</v>
      </c>
      <c r="B5608" s="11" t="s">
        <v>115</v>
      </c>
      <c r="C5608" t="b">
        <v>1</v>
      </c>
      <c r="D5608" s="1">
        <v>43281</v>
      </c>
      <c r="E5608">
        <v>5</v>
      </c>
    </row>
    <row r="5609" spans="1:5" hidden="1" x14ac:dyDescent="0.25">
      <c r="A5609" t="s">
        <v>43</v>
      </c>
      <c r="B5609" s="11" t="s">
        <v>115</v>
      </c>
      <c r="C5609" t="b">
        <v>1</v>
      </c>
      <c r="D5609" s="1">
        <v>43281</v>
      </c>
      <c r="E5609">
        <v>5</v>
      </c>
    </row>
    <row r="5610" spans="1:5" hidden="1" x14ac:dyDescent="0.25">
      <c r="A5610" t="s">
        <v>48</v>
      </c>
      <c r="B5610" s="11" t="s">
        <v>115</v>
      </c>
      <c r="C5610" t="b">
        <v>1</v>
      </c>
      <c r="D5610" s="1">
        <v>43281</v>
      </c>
      <c r="E5610">
        <v>5</v>
      </c>
    </row>
    <row r="5611" spans="1:5" hidden="1" x14ac:dyDescent="0.25">
      <c r="A5611" t="s">
        <v>49</v>
      </c>
      <c r="B5611" s="11" t="s">
        <v>115</v>
      </c>
      <c r="C5611" t="b">
        <v>1</v>
      </c>
      <c r="D5611" s="1">
        <v>43281</v>
      </c>
      <c r="E5611">
        <v>5</v>
      </c>
    </row>
    <row r="5612" spans="1:5" hidden="1" x14ac:dyDescent="0.25">
      <c r="A5612" t="s">
        <v>50</v>
      </c>
      <c r="B5612" s="11" t="s">
        <v>115</v>
      </c>
      <c r="C5612" t="b">
        <v>1</v>
      </c>
      <c r="D5612" s="1">
        <v>43281</v>
      </c>
      <c r="E5612">
        <v>5</v>
      </c>
    </row>
    <row r="5613" spans="1:5" hidden="1" x14ac:dyDescent="0.25">
      <c r="A5613" t="s">
        <v>51</v>
      </c>
      <c r="B5613" s="11" t="s">
        <v>115</v>
      </c>
      <c r="C5613" t="b">
        <v>1</v>
      </c>
      <c r="D5613" s="1">
        <v>43281</v>
      </c>
      <c r="E5613">
        <v>5</v>
      </c>
    </row>
    <row r="5614" spans="1:5" hidden="1" x14ac:dyDescent="0.25">
      <c r="A5614" t="s">
        <v>52</v>
      </c>
      <c r="B5614" s="11" t="s">
        <v>115</v>
      </c>
      <c r="C5614" t="b">
        <v>1</v>
      </c>
      <c r="D5614" s="1">
        <v>43281</v>
      </c>
      <c r="E5614">
        <v>5</v>
      </c>
    </row>
    <row r="5615" spans="1:5" hidden="1" x14ac:dyDescent="0.25">
      <c r="A5615" t="s">
        <v>54</v>
      </c>
      <c r="B5615" t="s">
        <v>115</v>
      </c>
      <c r="C5615" t="b">
        <v>0</v>
      </c>
      <c r="D5615" s="1">
        <v>43281</v>
      </c>
      <c r="E5615">
        <v>5</v>
      </c>
    </row>
    <row r="5616" spans="1:5" hidden="1" x14ac:dyDescent="0.25">
      <c r="A5616" t="s">
        <v>55</v>
      </c>
      <c r="B5616" s="11" t="s">
        <v>115</v>
      </c>
      <c r="C5616" t="b">
        <v>1</v>
      </c>
      <c r="D5616" s="1">
        <v>43281</v>
      </c>
      <c r="E5616">
        <v>5</v>
      </c>
    </row>
    <row r="5617" spans="1:5" hidden="1" x14ac:dyDescent="0.25">
      <c r="A5617" t="s">
        <v>58</v>
      </c>
      <c r="B5617" s="11" t="s">
        <v>115</v>
      </c>
      <c r="C5617" t="b">
        <v>1</v>
      </c>
      <c r="D5617" s="1">
        <v>43281</v>
      </c>
      <c r="E5617">
        <v>5</v>
      </c>
    </row>
    <row r="5618" spans="1:5" hidden="1" x14ac:dyDescent="0.25">
      <c r="A5618" t="s">
        <v>144</v>
      </c>
      <c r="B5618" s="11" t="s">
        <v>115</v>
      </c>
      <c r="C5618" t="b">
        <v>1</v>
      </c>
      <c r="D5618" s="1">
        <v>43281</v>
      </c>
      <c r="E5618">
        <v>5</v>
      </c>
    </row>
    <row r="5619" spans="1:5" hidden="1" x14ac:dyDescent="0.25">
      <c r="A5619" t="s">
        <v>67</v>
      </c>
      <c r="B5619" s="11" t="s">
        <v>115</v>
      </c>
      <c r="C5619" t="b">
        <v>1</v>
      </c>
      <c r="D5619" s="1">
        <v>43281</v>
      </c>
      <c r="E5619">
        <v>5</v>
      </c>
    </row>
    <row r="5620" spans="1:5" hidden="1" x14ac:dyDescent="0.25">
      <c r="A5620" t="s">
        <v>65</v>
      </c>
      <c r="B5620" s="11" t="s">
        <v>115</v>
      </c>
      <c r="C5620" t="b">
        <v>1</v>
      </c>
      <c r="D5620" s="1">
        <v>43281</v>
      </c>
      <c r="E5620">
        <v>5</v>
      </c>
    </row>
    <row r="5621" spans="1:5" hidden="1" x14ac:dyDescent="0.25">
      <c r="A5621" t="s">
        <v>66</v>
      </c>
      <c r="B5621" s="11" t="s">
        <v>115</v>
      </c>
      <c r="C5621" t="b">
        <v>1</v>
      </c>
      <c r="D5621" s="1">
        <v>43281</v>
      </c>
      <c r="E5621">
        <v>5</v>
      </c>
    </row>
    <row r="5622" spans="1:5" hidden="1" x14ac:dyDescent="0.25">
      <c r="A5622" t="s">
        <v>146</v>
      </c>
      <c r="B5622" s="11" t="s">
        <v>115</v>
      </c>
      <c r="C5622" t="b">
        <v>1</v>
      </c>
      <c r="D5622" s="1">
        <v>43281</v>
      </c>
      <c r="E5622">
        <v>1E-3</v>
      </c>
    </row>
    <row r="5623" spans="1:5" hidden="1" x14ac:dyDescent="0.25">
      <c r="A5623" t="s">
        <v>68</v>
      </c>
      <c r="B5623" s="11" t="s">
        <v>115</v>
      </c>
      <c r="C5623" t="b">
        <v>1</v>
      </c>
      <c r="D5623" s="1">
        <v>43281</v>
      </c>
      <c r="E5623">
        <v>5</v>
      </c>
    </row>
    <row r="5624" spans="1:5" hidden="1" x14ac:dyDescent="0.25">
      <c r="A5624" t="s">
        <v>75</v>
      </c>
      <c r="B5624" s="11" t="s">
        <v>115</v>
      </c>
      <c r="C5624" t="b">
        <v>1</v>
      </c>
      <c r="D5624" s="1">
        <v>43281</v>
      </c>
      <c r="E5624">
        <v>5</v>
      </c>
    </row>
    <row r="5625" spans="1:5" hidden="1" x14ac:dyDescent="0.25">
      <c r="A5625" t="s">
        <v>76</v>
      </c>
      <c r="B5625" s="11" t="s">
        <v>115</v>
      </c>
      <c r="C5625" t="b">
        <v>1</v>
      </c>
      <c r="D5625" s="1">
        <v>43281</v>
      </c>
      <c r="E5625">
        <v>1E-3</v>
      </c>
    </row>
    <row r="5626" spans="1:5" hidden="1" x14ac:dyDescent="0.25">
      <c r="A5626" t="s">
        <v>82</v>
      </c>
      <c r="B5626" s="11" t="s">
        <v>115</v>
      </c>
      <c r="C5626" t="b">
        <v>1</v>
      </c>
      <c r="D5626" s="1">
        <v>43281</v>
      </c>
      <c r="E5626">
        <v>5</v>
      </c>
    </row>
    <row r="5627" spans="1:5" hidden="1" x14ac:dyDescent="0.25">
      <c r="A5627" t="s">
        <v>84</v>
      </c>
      <c r="B5627" s="11" t="s">
        <v>115</v>
      </c>
      <c r="C5627" t="b">
        <v>1</v>
      </c>
      <c r="D5627" s="1">
        <v>43281</v>
      </c>
      <c r="E5627">
        <v>5</v>
      </c>
    </row>
    <row r="5628" spans="1:5" hidden="1" x14ac:dyDescent="0.25">
      <c r="A5628" t="s">
        <v>83</v>
      </c>
      <c r="B5628" s="11" t="s">
        <v>115</v>
      </c>
      <c r="C5628" t="b">
        <v>1</v>
      </c>
      <c r="D5628" s="1">
        <v>43281</v>
      </c>
      <c r="E5628">
        <v>5</v>
      </c>
    </row>
    <row r="5629" spans="1:5" hidden="1" x14ac:dyDescent="0.25">
      <c r="A5629" t="s">
        <v>88</v>
      </c>
      <c r="B5629" s="11" t="s">
        <v>115</v>
      </c>
      <c r="C5629" t="b">
        <v>1</v>
      </c>
      <c r="D5629" s="1">
        <v>43281</v>
      </c>
      <c r="E5629">
        <v>5</v>
      </c>
    </row>
    <row r="5630" spans="1:5" hidden="1" x14ac:dyDescent="0.25">
      <c r="A5630" t="s">
        <v>87</v>
      </c>
      <c r="B5630" s="11" t="s">
        <v>115</v>
      </c>
      <c r="C5630" t="b">
        <v>1</v>
      </c>
      <c r="D5630" s="1">
        <v>43281</v>
      </c>
      <c r="E5630">
        <v>5</v>
      </c>
    </row>
    <row r="5631" spans="1:5" hidden="1" x14ac:dyDescent="0.25">
      <c r="A5631" t="s">
        <v>93</v>
      </c>
      <c r="B5631" s="11" t="s">
        <v>115</v>
      </c>
      <c r="C5631" t="b">
        <v>1</v>
      </c>
      <c r="D5631" s="1">
        <v>43281</v>
      </c>
      <c r="E5631">
        <v>5</v>
      </c>
    </row>
    <row r="5632" spans="1:5" hidden="1" x14ac:dyDescent="0.25">
      <c r="A5632" t="s">
        <v>94</v>
      </c>
      <c r="B5632" s="11" t="s">
        <v>115</v>
      </c>
      <c r="C5632" t="b">
        <v>1</v>
      </c>
      <c r="D5632" s="1">
        <v>43281</v>
      </c>
      <c r="E5632">
        <v>5</v>
      </c>
    </row>
    <row r="5633" spans="1:5" hidden="1" x14ac:dyDescent="0.25">
      <c r="A5633" t="s">
        <v>96</v>
      </c>
      <c r="B5633" s="11" t="s">
        <v>115</v>
      </c>
      <c r="C5633" t="b">
        <v>1</v>
      </c>
      <c r="D5633" s="1">
        <v>43281</v>
      </c>
      <c r="E5633">
        <v>5</v>
      </c>
    </row>
    <row r="5634" spans="1:5" hidden="1" x14ac:dyDescent="0.25">
      <c r="A5634" t="s">
        <v>98</v>
      </c>
      <c r="B5634" s="11" t="s">
        <v>115</v>
      </c>
      <c r="C5634" t="b">
        <v>1</v>
      </c>
      <c r="D5634" s="1">
        <v>43281</v>
      </c>
      <c r="E5634">
        <v>5</v>
      </c>
    </row>
    <row r="5635" spans="1:5" hidden="1" x14ac:dyDescent="0.25">
      <c r="A5635" t="s">
        <v>97</v>
      </c>
      <c r="B5635" s="11" t="s">
        <v>115</v>
      </c>
      <c r="C5635" t="b">
        <v>1</v>
      </c>
      <c r="D5635" s="1">
        <v>43281</v>
      </c>
      <c r="E5635">
        <v>5</v>
      </c>
    </row>
    <row r="5636" spans="1:5" hidden="1" x14ac:dyDescent="0.25">
      <c r="A5636" t="s">
        <v>99</v>
      </c>
      <c r="B5636" s="11" t="s">
        <v>114</v>
      </c>
      <c r="C5636" t="b">
        <v>1</v>
      </c>
      <c r="D5636" s="1">
        <v>43281</v>
      </c>
      <c r="E5636">
        <f>10+(23*0.25)+(26*0.1)+(11*0.05)+0.31</f>
        <v>19.21</v>
      </c>
    </row>
    <row r="5637" spans="1:5" hidden="1" x14ac:dyDescent="0.25">
      <c r="A5637" t="s">
        <v>100</v>
      </c>
      <c r="B5637" s="11" t="s">
        <v>117</v>
      </c>
      <c r="C5637" t="b">
        <v>1</v>
      </c>
      <c r="D5637" s="1">
        <v>43312</v>
      </c>
      <c r="E5637" s="2">
        <f>-1*(6*9.99)</f>
        <v>-59.94</v>
      </c>
    </row>
    <row r="5638" spans="1:5" hidden="1" x14ac:dyDescent="0.25">
      <c r="A5638" t="s">
        <v>104</v>
      </c>
      <c r="B5638" s="11" t="s">
        <v>117</v>
      </c>
      <c r="C5638" t="b">
        <v>1</v>
      </c>
      <c r="D5638" s="1">
        <v>43312</v>
      </c>
      <c r="E5638">
        <v>-5</v>
      </c>
    </row>
    <row r="5639" spans="1:5" hidden="1" x14ac:dyDescent="0.25">
      <c r="A5639" t="s">
        <v>102</v>
      </c>
      <c r="B5639" s="11" t="s">
        <v>117</v>
      </c>
      <c r="C5639" t="b">
        <v>1</v>
      </c>
      <c r="D5639" s="1">
        <v>43312</v>
      </c>
      <c r="E5639">
        <f>-1*((7.79*5))-(2*5.99)</f>
        <v>-50.930000000000007</v>
      </c>
    </row>
    <row r="5640" spans="1:5" hidden="1" x14ac:dyDescent="0.25">
      <c r="A5640" t="s">
        <v>103</v>
      </c>
      <c r="B5640" s="11" t="s">
        <v>117</v>
      </c>
      <c r="C5640" t="b">
        <v>1</v>
      </c>
      <c r="D5640" s="1">
        <v>43312</v>
      </c>
      <c r="E5640" s="2">
        <f>-4.49</f>
        <v>-4.49</v>
      </c>
    </row>
    <row r="5641" spans="1:5" hidden="1" x14ac:dyDescent="0.25">
      <c r="A5641" t="s">
        <v>101</v>
      </c>
      <c r="B5641" s="11" t="s">
        <v>117</v>
      </c>
      <c r="C5641" t="b">
        <v>1</v>
      </c>
      <c r="D5641" s="1">
        <v>43312</v>
      </c>
      <c r="E5641" s="2">
        <f>(-4.59*2)-9.29-18.99</f>
        <v>-37.459999999999994</v>
      </c>
    </row>
    <row r="5642" spans="1:5" hidden="1" x14ac:dyDescent="0.25">
      <c r="A5642" t="s">
        <v>47</v>
      </c>
      <c r="B5642" s="11" t="s">
        <v>115</v>
      </c>
      <c r="C5642" t="b">
        <v>1</v>
      </c>
      <c r="D5642" s="1">
        <v>43312</v>
      </c>
      <c r="E5642">
        <v>5</v>
      </c>
    </row>
    <row r="5643" spans="1:5" hidden="1" x14ac:dyDescent="0.25">
      <c r="A5643" t="s">
        <v>43</v>
      </c>
      <c r="B5643" s="11" t="s">
        <v>115</v>
      </c>
      <c r="C5643" t="b">
        <v>1</v>
      </c>
      <c r="D5643" s="1">
        <v>43312</v>
      </c>
      <c r="E5643">
        <v>5</v>
      </c>
    </row>
    <row r="5644" spans="1:5" hidden="1" x14ac:dyDescent="0.25">
      <c r="A5644" t="s">
        <v>48</v>
      </c>
      <c r="B5644" s="11" t="s">
        <v>115</v>
      </c>
      <c r="C5644" t="b">
        <v>1</v>
      </c>
      <c r="D5644" s="1">
        <v>43312</v>
      </c>
      <c r="E5644">
        <v>5</v>
      </c>
    </row>
    <row r="5645" spans="1:5" hidden="1" x14ac:dyDescent="0.25">
      <c r="A5645" t="s">
        <v>49</v>
      </c>
      <c r="B5645" s="11" t="s">
        <v>115</v>
      </c>
      <c r="C5645" t="b">
        <v>1</v>
      </c>
      <c r="D5645" s="1">
        <v>43312</v>
      </c>
      <c r="E5645">
        <v>5</v>
      </c>
    </row>
    <row r="5646" spans="1:5" hidden="1" x14ac:dyDescent="0.25">
      <c r="A5646" t="s">
        <v>50</v>
      </c>
      <c r="B5646" s="11" t="s">
        <v>115</v>
      </c>
      <c r="C5646" t="b">
        <v>1</v>
      </c>
      <c r="D5646" s="1">
        <v>43312</v>
      </c>
      <c r="E5646">
        <v>5</v>
      </c>
    </row>
    <row r="5647" spans="1:5" hidden="1" x14ac:dyDescent="0.25">
      <c r="A5647" t="s">
        <v>51</v>
      </c>
      <c r="B5647" s="11" t="s">
        <v>115</v>
      </c>
      <c r="C5647" t="b">
        <v>1</v>
      </c>
      <c r="D5647" s="1">
        <v>43312</v>
      </c>
      <c r="E5647">
        <v>5</v>
      </c>
    </row>
    <row r="5648" spans="1:5" hidden="1" x14ac:dyDescent="0.25">
      <c r="A5648" t="s">
        <v>52</v>
      </c>
      <c r="B5648" s="11" t="s">
        <v>115</v>
      </c>
      <c r="C5648" t="b">
        <v>1</v>
      </c>
      <c r="D5648" s="1">
        <v>43312</v>
      </c>
      <c r="E5648">
        <v>5</v>
      </c>
    </row>
    <row r="5649" spans="1:5" hidden="1" x14ac:dyDescent="0.25">
      <c r="A5649" t="s">
        <v>55</v>
      </c>
      <c r="B5649" s="11" t="s">
        <v>115</v>
      </c>
      <c r="C5649" t="b">
        <v>1</v>
      </c>
      <c r="D5649" s="1">
        <v>43312</v>
      </c>
      <c r="E5649">
        <v>5</v>
      </c>
    </row>
    <row r="5650" spans="1:5" hidden="1" x14ac:dyDescent="0.25">
      <c r="A5650" t="s">
        <v>58</v>
      </c>
      <c r="B5650" s="11" t="s">
        <v>115</v>
      </c>
      <c r="C5650" t="b">
        <v>1</v>
      </c>
      <c r="D5650" s="1">
        <v>43312</v>
      </c>
      <c r="E5650">
        <v>5</v>
      </c>
    </row>
    <row r="5651" spans="1:5" hidden="1" x14ac:dyDescent="0.25">
      <c r="A5651" t="s">
        <v>144</v>
      </c>
      <c r="B5651" s="11" t="s">
        <v>115</v>
      </c>
      <c r="C5651" t="b">
        <v>1</v>
      </c>
      <c r="D5651" s="1">
        <v>43312</v>
      </c>
      <c r="E5651">
        <v>5</v>
      </c>
    </row>
    <row r="5652" spans="1:5" hidden="1" x14ac:dyDescent="0.25">
      <c r="A5652" t="s">
        <v>67</v>
      </c>
      <c r="B5652" s="11" t="s">
        <v>115</v>
      </c>
      <c r="C5652" t="b">
        <v>1</v>
      </c>
      <c r="D5652" s="1">
        <v>43312</v>
      </c>
      <c r="E5652">
        <v>5</v>
      </c>
    </row>
    <row r="5653" spans="1:5" hidden="1" x14ac:dyDescent="0.25">
      <c r="A5653" t="s">
        <v>65</v>
      </c>
      <c r="B5653" s="11" t="s">
        <v>115</v>
      </c>
      <c r="C5653" t="b">
        <v>1</v>
      </c>
      <c r="D5653" s="1">
        <v>43312</v>
      </c>
      <c r="E5653">
        <v>5</v>
      </c>
    </row>
    <row r="5654" spans="1:5" hidden="1" x14ac:dyDescent="0.25">
      <c r="A5654" t="s">
        <v>66</v>
      </c>
      <c r="B5654" s="11" t="s">
        <v>115</v>
      </c>
      <c r="C5654" t="b">
        <v>1</v>
      </c>
      <c r="D5654" s="1">
        <v>43312</v>
      </c>
      <c r="E5654">
        <v>5</v>
      </c>
    </row>
    <row r="5655" spans="1:5" hidden="1" x14ac:dyDescent="0.25">
      <c r="A5655" t="s">
        <v>146</v>
      </c>
      <c r="B5655" s="11" t="s">
        <v>115</v>
      </c>
      <c r="C5655" t="b">
        <v>1</v>
      </c>
      <c r="D5655" s="1">
        <v>43312</v>
      </c>
      <c r="E5655">
        <v>4</v>
      </c>
    </row>
    <row r="5656" spans="1:5" hidden="1" x14ac:dyDescent="0.25">
      <c r="A5656" t="s">
        <v>68</v>
      </c>
      <c r="B5656" s="11" t="s">
        <v>115</v>
      </c>
      <c r="C5656" t="b">
        <v>1</v>
      </c>
      <c r="D5656" s="1">
        <v>43312</v>
      </c>
      <c r="E5656">
        <v>5</v>
      </c>
    </row>
    <row r="5657" spans="1:5" hidden="1" x14ac:dyDescent="0.25">
      <c r="A5657" t="s">
        <v>68</v>
      </c>
      <c r="B5657" s="11" t="s">
        <v>115</v>
      </c>
      <c r="C5657" t="b">
        <v>0</v>
      </c>
      <c r="D5657" s="1">
        <v>43312</v>
      </c>
      <c r="E5657">
        <v>5</v>
      </c>
    </row>
    <row r="5658" spans="1:5" hidden="1" x14ac:dyDescent="0.25">
      <c r="A5658" t="s">
        <v>68</v>
      </c>
      <c r="B5658" s="11" t="s">
        <v>115</v>
      </c>
      <c r="C5658" t="b">
        <v>0</v>
      </c>
      <c r="D5658" s="1">
        <v>43312</v>
      </c>
      <c r="E5658">
        <v>5</v>
      </c>
    </row>
    <row r="5659" spans="1:5" hidden="1" x14ac:dyDescent="0.25">
      <c r="A5659" t="s">
        <v>75</v>
      </c>
      <c r="B5659" s="11" t="s">
        <v>115</v>
      </c>
      <c r="C5659" t="b">
        <v>1</v>
      </c>
      <c r="D5659" s="1">
        <v>43312</v>
      </c>
      <c r="E5659">
        <v>5</v>
      </c>
    </row>
    <row r="5660" spans="1:5" hidden="1" x14ac:dyDescent="0.25">
      <c r="A5660" t="s">
        <v>76</v>
      </c>
      <c r="B5660" s="11" t="s">
        <v>115</v>
      </c>
      <c r="C5660" t="b">
        <v>1</v>
      </c>
      <c r="D5660" s="1">
        <v>43312</v>
      </c>
      <c r="E5660">
        <v>1E-3</v>
      </c>
    </row>
    <row r="5661" spans="1:5" hidden="1" x14ac:dyDescent="0.25">
      <c r="A5661" t="s">
        <v>147</v>
      </c>
      <c r="B5661" s="11" t="s">
        <v>115</v>
      </c>
      <c r="C5661" t="b">
        <v>1</v>
      </c>
      <c r="D5661" s="1">
        <v>43312</v>
      </c>
      <c r="E5661">
        <v>5</v>
      </c>
    </row>
    <row r="5662" spans="1:5" hidden="1" x14ac:dyDescent="0.25">
      <c r="A5662" t="s">
        <v>82</v>
      </c>
      <c r="B5662" s="11" t="s">
        <v>115</v>
      </c>
      <c r="C5662" t="b">
        <v>1</v>
      </c>
      <c r="D5662" s="1">
        <v>43312</v>
      </c>
      <c r="E5662">
        <v>5</v>
      </c>
    </row>
    <row r="5663" spans="1:5" hidden="1" x14ac:dyDescent="0.25">
      <c r="A5663" t="s">
        <v>84</v>
      </c>
      <c r="B5663" s="11" t="s">
        <v>115</v>
      </c>
      <c r="C5663" t="b">
        <v>1</v>
      </c>
      <c r="D5663" s="1">
        <v>43312</v>
      </c>
      <c r="E5663">
        <v>5</v>
      </c>
    </row>
    <row r="5664" spans="1:5" hidden="1" x14ac:dyDescent="0.25">
      <c r="A5664" t="s">
        <v>83</v>
      </c>
      <c r="B5664" s="11" t="s">
        <v>115</v>
      </c>
      <c r="C5664" t="b">
        <v>1</v>
      </c>
      <c r="D5664" s="1">
        <v>43312</v>
      </c>
      <c r="E5664">
        <v>5</v>
      </c>
    </row>
    <row r="5665" spans="1:5" hidden="1" x14ac:dyDescent="0.25">
      <c r="A5665" t="s">
        <v>88</v>
      </c>
      <c r="B5665" s="11" t="s">
        <v>115</v>
      </c>
      <c r="C5665" t="b">
        <v>1</v>
      </c>
      <c r="D5665" s="1">
        <v>43312</v>
      </c>
      <c r="E5665">
        <v>5</v>
      </c>
    </row>
    <row r="5666" spans="1:5" hidden="1" x14ac:dyDescent="0.25">
      <c r="A5666" t="s">
        <v>87</v>
      </c>
      <c r="B5666" s="11" t="s">
        <v>115</v>
      </c>
      <c r="C5666" t="b">
        <v>1</v>
      </c>
      <c r="D5666" s="1">
        <v>43312</v>
      </c>
      <c r="E5666">
        <v>5</v>
      </c>
    </row>
    <row r="5667" spans="1:5" hidden="1" x14ac:dyDescent="0.25">
      <c r="A5667" t="s">
        <v>93</v>
      </c>
      <c r="B5667" s="11" t="s">
        <v>115</v>
      </c>
      <c r="C5667" t="b">
        <v>1</v>
      </c>
      <c r="D5667" s="1">
        <v>43312</v>
      </c>
      <c r="E5667">
        <v>5</v>
      </c>
    </row>
    <row r="5668" spans="1:5" hidden="1" x14ac:dyDescent="0.25">
      <c r="A5668" t="s">
        <v>148</v>
      </c>
      <c r="B5668" s="11" t="s">
        <v>115</v>
      </c>
      <c r="C5668" t="b">
        <v>1</v>
      </c>
      <c r="D5668" s="1">
        <v>43312</v>
      </c>
      <c r="E5668">
        <v>5</v>
      </c>
    </row>
    <row r="5669" spans="1:5" hidden="1" x14ac:dyDescent="0.25">
      <c r="A5669" t="s">
        <v>94</v>
      </c>
      <c r="B5669" s="11" t="s">
        <v>115</v>
      </c>
      <c r="C5669" t="b">
        <v>1</v>
      </c>
      <c r="D5669" s="1">
        <v>43312</v>
      </c>
      <c r="E5669">
        <v>5</v>
      </c>
    </row>
    <row r="5670" spans="1:5" hidden="1" x14ac:dyDescent="0.25">
      <c r="A5670" t="s">
        <v>96</v>
      </c>
      <c r="B5670" s="11" t="s">
        <v>115</v>
      </c>
      <c r="C5670" t="b">
        <v>1</v>
      </c>
      <c r="D5670" s="1">
        <v>43312</v>
      </c>
      <c r="E5670">
        <v>5</v>
      </c>
    </row>
    <row r="5671" spans="1:5" hidden="1" x14ac:dyDescent="0.25">
      <c r="A5671" t="s">
        <v>98</v>
      </c>
      <c r="B5671" s="11" t="s">
        <v>115</v>
      </c>
      <c r="C5671" t="b">
        <v>1</v>
      </c>
      <c r="D5671" s="1">
        <v>43312</v>
      </c>
      <c r="E5671">
        <v>5</v>
      </c>
    </row>
    <row r="5672" spans="1:5" hidden="1" x14ac:dyDescent="0.25">
      <c r="A5672" t="s">
        <v>97</v>
      </c>
      <c r="B5672" s="11" t="s">
        <v>115</v>
      </c>
      <c r="C5672" t="b">
        <v>1</v>
      </c>
      <c r="D5672" s="1">
        <v>43312</v>
      </c>
      <c r="E5672">
        <v>5</v>
      </c>
    </row>
    <row r="5673" spans="1:5" hidden="1" x14ac:dyDescent="0.25">
      <c r="A5673" t="s">
        <v>99</v>
      </c>
      <c r="B5673" s="11" t="s">
        <v>114</v>
      </c>
      <c r="C5673" t="b">
        <v>1</v>
      </c>
      <c r="D5673" s="1">
        <v>43312</v>
      </c>
      <c r="E5673">
        <f>7+(26*0.25)+(7*0.1)+(6*0.05)+(15*0.01)</f>
        <v>14.65</v>
      </c>
    </row>
    <row r="5674" spans="1:5" hidden="1" x14ac:dyDescent="0.25">
      <c r="A5674" t="s">
        <v>100</v>
      </c>
      <c r="B5674" s="11" t="s">
        <v>117</v>
      </c>
      <c r="C5674" t="b">
        <v>1</v>
      </c>
      <c r="D5674" s="1">
        <v>43343</v>
      </c>
      <c r="E5674" s="2">
        <f>(-1*(8*9.99)+(5*2))/2</f>
        <v>-34.96</v>
      </c>
    </row>
    <row r="5675" spans="1:5" hidden="1" x14ac:dyDescent="0.25">
      <c r="A5675" t="s">
        <v>104</v>
      </c>
      <c r="B5675" s="11" t="s">
        <v>117</v>
      </c>
      <c r="C5675" t="b">
        <v>1</v>
      </c>
      <c r="D5675" s="1">
        <v>43343</v>
      </c>
      <c r="E5675">
        <f>-14-5</f>
        <v>-19</v>
      </c>
    </row>
    <row r="5676" spans="1:5" hidden="1" x14ac:dyDescent="0.25">
      <c r="A5676" t="s">
        <v>102</v>
      </c>
      <c r="B5676" s="11" t="s">
        <v>117</v>
      </c>
      <c r="C5676" t="b">
        <v>1</v>
      </c>
      <c r="D5676" s="1">
        <v>43343</v>
      </c>
      <c r="E5676">
        <f>-1*((8.79*4))-(2*5.99)</f>
        <v>-47.14</v>
      </c>
    </row>
    <row r="5677" spans="1:5" hidden="1" x14ac:dyDescent="0.25">
      <c r="A5677" t="s">
        <v>103</v>
      </c>
      <c r="B5677" s="11" t="s">
        <v>117</v>
      </c>
      <c r="C5677" t="b">
        <v>1</v>
      </c>
      <c r="D5677" s="1">
        <v>43343</v>
      </c>
      <c r="E5677" s="2">
        <f>-4.49+-24.98</f>
        <v>-29.47</v>
      </c>
    </row>
    <row r="5678" spans="1:5" hidden="1" x14ac:dyDescent="0.25">
      <c r="A5678" t="s">
        <v>101</v>
      </c>
      <c r="B5678" s="11" t="s">
        <v>117</v>
      </c>
      <c r="C5678" t="b">
        <v>1</v>
      </c>
      <c r="D5678" s="1">
        <v>43343</v>
      </c>
      <c r="E5678" s="2">
        <f>(-2.99*2)</f>
        <v>-5.98</v>
      </c>
    </row>
    <row r="5679" spans="1:5" hidden="1" x14ac:dyDescent="0.25">
      <c r="A5679" t="s">
        <v>47</v>
      </c>
      <c r="B5679" s="11" t="s">
        <v>115</v>
      </c>
      <c r="C5679" t="b">
        <v>1</v>
      </c>
      <c r="D5679" s="1">
        <v>43343</v>
      </c>
      <c r="E5679">
        <v>5</v>
      </c>
    </row>
    <row r="5680" spans="1:5" hidden="1" x14ac:dyDescent="0.25">
      <c r="A5680" t="s">
        <v>43</v>
      </c>
      <c r="B5680" s="11" t="s">
        <v>115</v>
      </c>
      <c r="C5680" t="b">
        <v>1</v>
      </c>
      <c r="D5680" s="1">
        <v>43343</v>
      </c>
      <c r="E5680">
        <v>5</v>
      </c>
    </row>
    <row r="5681" spans="1:5" hidden="1" x14ac:dyDescent="0.25">
      <c r="A5681" t="s">
        <v>48</v>
      </c>
      <c r="B5681" s="11" t="s">
        <v>115</v>
      </c>
      <c r="C5681" t="b">
        <v>1</v>
      </c>
      <c r="D5681" s="1">
        <v>43343</v>
      </c>
      <c r="E5681">
        <v>5</v>
      </c>
    </row>
    <row r="5682" spans="1:5" hidden="1" x14ac:dyDescent="0.25">
      <c r="A5682" t="s">
        <v>49</v>
      </c>
      <c r="B5682" s="11" t="s">
        <v>115</v>
      </c>
      <c r="C5682" t="b">
        <v>1</v>
      </c>
      <c r="D5682" s="1">
        <v>43343</v>
      </c>
      <c r="E5682">
        <v>5</v>
      </c>
    </row>
    <row r="5683" spans="1:5" hidden="1" x14ac:dyDescent="0.25">
      <c r="A5683" t="s">
        <v>50</v>
      </c>
      <c r="B5683" s="11" t="s">
        <v>115</v>
      </c>
      <c r="C5683" t="b">
        <v>1</v>
      </c>
      <c r="D5683" s="1">
        <v>43343</v>
      </c>
      <c r="E5683">
        <v>5</v>
      </c>
    </row>
    <row r="5684" spans="1:5" hidden="1" x14ac:dyDescent="0.25">
      <c r="A5684" t="s">
        <v>51</v>
      </c>
      <c r="B5684" s="11" t="s">
        <v>115</v>
      </c>
      <c r="C5684" t="b">
        <v>1</v>
      </c>
      <c r="D5684" s="1">
        <v>43343</v>
      </c>
      <c r="E5684">
        <v>5</v>
      </c>
    </row>
    <row r="5685" spans="1:5" hidden="1" x14ac:dyDescent="0.25">
      <c r="A5685" t="s">
        <v>52</v>
      </c>
      <c r="B5685" s="11" t="s">
        <v>115</v>
      </c>
      <c r="C5685" t="b">
        <v>1</v>
      </c>
      <c r="D5685" s="1">
        <v>43343</v>
      </c>
      <c r="E5685">
        <v>5</v>
      </c>
    </row>
    <row r="5686" spans="1:5" hidden="1" x14ac:dyDescent="0.25">
      <c r="A5686" t="s">
        <v>55</v>
      </c>
      <c r="B5686" s="11" t="s">
        <v>115</v>
      </c>
      <c r="C5686" t="b">
        <v>1</v>
      </c>
      <c r="D5686" s="1">
        <v>43343</v>
      </c>
      <c r="E5686">
        <v>5</v>
      </c>
    </row>
    <row r="5687" spans="1:5" hidden="1" x14ac:dyDescent="0.25">
      <c r="A5687" t="s">
        <v>58</v>
      </c>
      <c r="B5687" s="11" t="s">
        <v>115</v>
      </c>
      <c r="C5687" t="b">
        <v>1</v>
      </c>
      <c r="D5687" s="1">
        <v>43343</v>
      </c>
      <c r="E5687">
        <v>5</v>
      </c>
    </row>
    <row r="5688" spans="1:5" hidden="1" x14ac:dyDescent="0.25">
      <c r="A5688" t="s">
        <v>144</v>
      </c>
      <c r="B5688" s="11" t="s">
        <v>115</v>
      </c>
      <c r="C5688" t="b">
        <v>1</v>
      </c>
      <c r="D5688" s="1">
        <v>43343</v>
      </c>
      <c r="E5688">
        <v>5</v>
      </c>
    </row>
    <row r="5689" spans="1:5" hidden="1" x14ac:dyDescent="0.25">
      <c r="A5689" t="s">
        <v>67</v>
      </c>
      <c r="B5689" s="11" t="s">
        <v>115</v>
      </c>
      <c r="C5689" t="b">
        <v>1</v>
      </c>
      <c r="D5689" s="1">
        <v>43343</v>
      </c>
      <c r="E5689">
        <f>5+5+5</f>
        <v>15</v>
      </c>
    </row>
    <row r="5690" spans="1:5" hidden="1" x14ac:dyDescent="0.25">
      <c r="A5690" t="s">
        <v>65</v>
      </c>
      <c r="B5690" s="11" t="s">
        <v>115</v>
      </c>
      <c r="C5690" t="b">
        <v>1</v>
      </c>
      <c r="D5690" s="1">
        <v>43343</v>
      </c>
      <c r="E5690">
        <v>5</v>
      </c>
    </row>
    <row r="5691" spans="1:5" hidden="1" x14ac:dyDescent="0.25">
      <c r="A5691" t="s">
        <v>66</v>
      </c>
      <c r="B5691" s="11" t="s">
        <v>115</v>
      </c>
      <c r="C5691" t="b">
        <v>1</v>
      </c>
      <c r="D5691" s="1">
        <v>43343</v>
      </c>
      <c r="E5691">
        <v>5</v>
      </c>
    </row>
    <row r="5692" spans="1:5" hidden="1" x14ac:dyDescent="0.25">
      <c r="A5692" t="s">
        <v>146</v>
      </c>
      <c r="B5692" s="11" t="s">
        <v>115</v>
      </c>
      <c r="C5692" t="b">
        <v>1</v>
      </c>
      <c r="D5692" s="1">
        <v>43343</v>
      </c>
      <c r="E5692">
        <f>1+4</f>
        <v>5</v>
      </c>
    </row>
    <row r="5693" spans="1:5" hidden="1" x14ac:dyDescent="0.25">
      <c r="A5693" t="s">
        <v>75</v>
      </c>
      <c r="B5693" s="11" t="s">
        <v>115</v>
      </c>
      <c r="C5693" t="b">
        <v>1</v>
      </c>
      <c r="D5693" s="1">
        <v>43343</v>
      </c>
      <c r="E5693">
        <v>5</v>
      </c>
    </row>
    <row r="5694" spans="1:5" hidden="1" x14ac:dyDescent="0.25">
      <c r="A5694" t="s">
        <v>76</v>
      </c>
      <c r="B5694" s="11" t="s">
        <v>115</v>
      </c>
      <c r="C5694" t="b">
        <v>1</v>
      </c>
      <c r="D5694" s="1">
        <v>43343</v>
      </c>
      <c r="E5694">
        <v>1E-3</v>
      </c>
    </row>
    <row r="5695" spans="1:5" hidden="1" x14ac:dyDescent="0.25">
      <c r="A5695" t="s">
        <v>147</v>
      </c>
      <c r="B5695" s="11" t="s">
        <v>115</v>
      </c>
      <c r="C5695" t="b">
        <v>1</v>
      </c>
      <c r="D5695" s="1">
        <v>43343</v>
      </c>
      <c r="E5695">
        <v>5</v>
      </c>
    </row>
    <row r="5696" spans="1:5" hidden="1" x14ac:dyDescent="0.25">
      <c r="A5696" t="s">
        <v>82</v>
      </c>
      <c r="B5696" s="11" t="s">
        <v>115</v>
      </c>
      <c r="C5696" t="b">
        <v>1</v>
      </c>
      <c r="D5696" s="1">
        <v>43343</v>
      </c>
      <c r="E5696">
        <v>5</v>
      </c>
    </row>
    <row r="5697" spans="1:10" hidden="1" x14ac:dyDescent="0.25">
      <c r="A5697" t="s">
        <v>84</v>
      </c>
      <c r="B5697" s="11" t="s">
        <v>115</v>
      </c>
      <c r="C5697" t="b">
        <v>1</v>
      </c>
      <c r="D5697" s="1">
        <v>43343</v>
      </c>
      <c r="E5697">
        <v>5</v>
      </c>
    </row>
    <row r="5698" spans="1:10" hidden="1" x14ac:dyDescent="0.25">
      <c r="A5698" t="s">
        <v>83</v>
      </c>
      <c r="B5698" s="11" t="s">
        <v>115</v>
      </c>
      <c r="C5698" t="b">
        <v>1</v>
      </c>
      <c r="D5698" s="1">
        <v>43343</v>
      </c>
      <c r="E5698">
        <v>5</v>
      </c>
    </row>
    <row r="5699" spans="1:10" hidden="1" x14ac:dyDescent="0.25">
      <c r="A5699" t="s">
        <v>88</v>
      </c>
      <c r="B5699" s="11" t="s">
        <v>115</v>
      </c>
      <c r="C5699" t="b">
        <v>1</v>
      </c>
      <c r="D5699" s="1">
        <v>43343</v>
      </c>
      <c r="E5699">
        <v>5</v>
      </c>
    </row>
    <row r="5700" spans="1:10" hidden="1" x14ac:dyDescent="0.25">
      <c r="A5700" t="s">
        <v>87</v>
      </c>
      <c r="B5700" s="11" t="s">
        <v>115</v>
      </c>
      <c r="C5700" t="b">
        <v>1</v>
      </c>
      <c r="D5700" s="1">
        <v>43343</v>
      </c>
      <c r="E5700">
        <v>5</v>
      </c>
    </row>
    <row r="5701" spans="1:10" ht="15.75" hidden="1" customHeight="1" x14ac:dyDescent="0.25">
      <c r="A5701" t="s">
        <v>93</v>
      </c>
      <c r="B5701" s="11" t="s">
        <v>115</v>
      </c>
      <c r="C5701" t="b">
        <v>1</v>
      </c>
      <c r="D5701" s="1">
        <v>43343</v>
      </c>
      <c r="E5701">
        <v>5</v>
      </c>
    </row>
    <row r="5702" spans="1:10" ht="15.75" hidden="1" customHeight="1" x14ac:dyDescent="0.25">
      <c r="A5702" t="s">
        <v>148</v>
      </c>
      <c r="B5702" s="11" t="s">
        <v>115</v>
      </c>
      <c r="C5702" t="b">
        <v>1</v>
      </c>
      <c r="D5702" s="1">
        <v>43343</v>
      </c>
      <c r="E5702">
        <v>5</v>
      </c>
    </row>
    <row r="5703" spans="1:10" ht="15.75" hidden="1" customHeight="1" x14ac:dyDescent="0.25">
      <c r="A5703" t="s">
        <v>94</v>
      </c>
      <c r="B5703" s="11" t="s">
        <v>115</v>
      </c>
      <c r="C5703" t="b">
        <v>1</v>
      </c>
      <c r="D5703" s="1">
        <v>43343</v>
      </c>
      <c r="E5703">
        <v>5</v>
      </c>
    </row>
    <row r="5704" spans="1:10" ht="15.75" hidden="1" customHeight="1" x14ac:dyDescent="0.25">
      <c r="A5704" t="s">
        <v>96</v>
      </c>
      <c r="B5704" s="11" t="s">
        <v>115</v>
      </c>
      <c r="C5704" t="b">
        <v>1</v>
      </c>
      <c r="D5704" s="1">
        <v>43343</v>
      </c>
      <c r="E5704">
        <v>5</v>
      </c>
    </row>
    <row r="5705" spans="1:10" ht="15.75" hidden="1" customHeight="1" x14ac:dyDescent="0.25">
      <c r="A5705" t="s">
        <v>98</v>
      </c>
      <c r="B5705" s="11" t="s">
        <v>115</v>
      </c>
      <c r="C5705" t="b">
        <v>1</v>
      </c>
      <c r="D5705" s="1">
        <v>43343</v>
      </c>
      <c r="E5705">
        <v>5</v>
      </c>
      <c r="F5705" s="13"/>
      <c r="G5705" s="13"/>
      <c r="H5705" s="13"/>
      <c r="I5705" s="13"/>
      <c r="J5705" s="13"/>
    </row>
    <row r="5706" spans="1:10" ht="15.75" hidden="1" customHeight="1" x14ac:dyDescent="0.25">
      <c r="A5706" t="s">
        <v>97</v>
      </c>
      <c r="B5706" s="11" t="s">
        <v>115</v>
      </c>
      <c r="C5706" t="b">
        <v>1</v>
      </c>
      <c r="D5706" s="1">
        <v>43343</v>
      </c>
      <c r="E5706">
        <v>5</v>
      </c>
    </row>
    <row r="5707" spans="1:10" ht="15.75" hidden="1" customHeight="1" x14ac:dyDescent="0.25">
      <c r="A5707" t="s">
        <v>99</v>
      </c>
      <c r="B5707" s="11" t="s">
        <v>114</v>
      </c>
      <c r="C5707" t="b">
        <v>1</v>
      </c>
      <c r="D5707" s="1">
        <v>43343</v>
      </c>
      <c r="E5707" s="12">
        <v>18.5</v>
      </c>
    </row>
    <row r="5708" spans="1:10" ht="15.75" hidden="1" customHeight="1" x14ac:dyDescent="0.25">
      <c r="A5708" t="s">
        <v>100</v>
      </c>
      <c r="B5708" s="11" t="s">
        <v>117</v>
      </c>
      <c r="C5708" t="b">
        <v>1</v>
      </c>
      <c r="D5708" s="1">
        <v>43373</v>
      </c>
      <c r="E5708" s="2">
        <f>(-1*(8*9.99)+(5*2))/2</f>
        <v>-34.96</v>
      </c>
    </row>
    <row r="5709" spans="1:10" ht="16.5" hidden="1" customHeight="1" x14ac:dyDescent="0.25">
      <c r="A5709" t="s">
        <v>104</v>
      </c>
      <c r="B5709" s="11" t="s">
        <v>117</v>
      </c>
      <c r="C5709" t="b">
        <v>1</v>
      </c>
      <c r="D5709" s="1">
        <v>43373</v>
      </c>
      <c r="E5709">
        <f>-5</f>
        <v>-5</v>
      </c>
    </row>
    <row r="5710" spans="1:10" ht="15.75" hidden="1" customHeight="1" x14ac:dyDescent="0.25">
      <c r="A5710" t="s">
        <v>102</v>
      </c>
      <c r="B5710" s="11" t="s">
        <v>117</v>
      </c>
      <c r="C5710" t="b">
        <v>1</v>
      </c>
      <c r="D5710" s="1">
        <v>43373</v>
      </c>
      <c r="E5710">
        <f>-1*((8.79*3))-4</f>
        <v>-30.369999999999997</v>
      </c>
    </row>
    <row r="5711" spans="1:10" ht="15.75" hidden="1" customHeight="1" x14ac:dyDescent="0.25">
      <c r="A5711" t="s">
        <v>103</v>
      </c>
      <c r="B5711" s="11" t="s">
        <v>117</v>
      </c>
      <c r="C5711" t="b">
        <v>1</v>
      </c>
      <c r="D5711" s="1">
        <v>43373</v>
      </c>
      <c r="E5711" s="2">
        <f>-4.49</f>
        <v>-4.49</v>
      </c>
    </row>
    <row r="5712" spans="1:10" ht="15.75" hidden="1" customHeight="1" x14ac:dyDescent="0.25">
      <c r="A5712" t="s">
        <v>101</v>
      </c>
      <c r="B5712" s="11" t="s">
        <v>117</v>
      </c>
      <c r="C5712" t="b">
        <v>1</v>
      </c>
      <c r="D5712" s="1">
        <v>43373</v>
      </c>
      <c r="E5712" s="2">
        <f>(-2.99*4)</f>
        <v>-11.96</v>
      </c>
    </row>
    <row r="5713" spans="1:10" ht="15.75" hidden="1" customHeight="1" x14ac:dyDescent="0.25">
      <c r="A5713" t="s">
        <v>47</v>
      </c>
      <c r="B5713" s="11" t="s">
        <v>115</v>
      </c>
      <c r="C5713" t="b">
        <v>1</v>
      </c>
      <c r="D5713" s="1">
        <v>43373</v>
      </c>
      <c r="E5713">
        <v>5</v>
      </c>
    </row>
    <row r="5714" spans="1:10" ht="15.75" hidden="1" customHeight="1" x14ac:dyDescent="0.25">
      <c r="A5714" t="s">
        <v>43</v>
      </c>
      <c r="B5714" s="11" t="s">
        <v>115</v>
      </c>
      <c r="C5714" t="b">
        <v>1</v>
      </c>
      <c r="D5714" s="1">
        <v>43373</v>
      </c>
      <c r="E5714">
        <v>5</v>
      </c>
    </row>
    <row r="5715" spans="1:10" ht="15.75" hidden="1" customHeight="1" x14ac:dyDescent="0.25">
      <c r="A5715" t="s">
        <v>48</v>
      </c>
      <c r="B5715" s="11" t="s">
        <v>115</v>
      </c>
      <c r="C5715" t="b">
        <v>1</v>
      </c>
      <c r="D5715" s="1">
        <v>43373</v>
      </c>
      <c r="E5715">
        <v>5</v>
      </c>
    </row>
    <row r="5716" spans="1:10" ht="15.75" hidden="1" customHeight="1" x14ac:dyDescent="0.25">
      <c r="A5716" t="s">
        <v>49</v>
      </c>
      <c r="B5716" s="11" t="s">
        <v>115</v>
      </c>
      <c r="C5716" t="b">
        <v>1</v>
      </c>
      <c r="D5716" s="1">
        <v>43373</v>
      </c>
      <c r="E5716">
        <v>5</v>
      </c>
    </row>
    <row r="5717" spans="1:10" ht="15.75" hidden="1" customHeight="1" x14ac:dyDescent="0.25">
      <c r="A5717" t="s">
        <v>50</v>
      </c>
      <c r="B5717" s="11" t="s">
        <v>115</v>
      </c>
      <c r="C5717" t="b">
        <v>1</v>
      </c>
      <c r="D5717" s="1">
        <v>43373</v>
      </c>
      <c r="E5717">
        <v>5</v>
      </c>
    </row>
    <row r="5718" spans="1:10" hidden="1" x14ac:dyDescent="0.25">
      <c r="A5718" t="s">
        <v>51</v>
      </c>
      <c r="B5718" s="11" t="s">
        <v>115</v>
      </c>
      <c r="C5718" t="b">
        <v>1</v>
      </c>
      <c r="D5718" s="1">
        <v>43373</v>
      </c>
      <c r="E5718">
        <v>5</v>
      </c>
    </row>
    <row r="5719" spans="1:10" hidden="1" x14ac:dyDescent="0.25">
      <c r="A5719" t="s">
        <v>52</v>
      </c>
      <c r="B5719" s="11" t="s">
        <v>115</v>
      </c>
      <c r="C5719" t="b">
        <v>1</v>
      </c>
      <c r="D5719" s="1">
        <v>43373</v>
      </c>
      <c r="E5719">
        <v>5</v>
      </c>
    </row>
    <row r="5720" spans="1:10" hidden="1" x14ac:dyDescent="0.25">
      <c r="A5720" t="s">
        <v>55</v>
      </c>
      <c r="B5720" s="11" t="s">
        <v>115</v>
      </c>
      <c r="C5720" t="b">
        <v>1</v>
      </c>
      <c r="D5720" s="1">
        <v>43373</v>
      </c>
      <c r="E5720">
        <v>5</v>
      </c>
    </row>
    <row r="5721" spans="1:10" hidden="1" x14ac:dyDescent="0.25">
      <c r="A5721" t="s">
        <v>58</v>
      </c>
      <c r="B5721" s="11" t="s">
        <v>115</v>
      </c>
      <c r="C5721" t="b">
        <v>1</v>
      </c>
      <c r="D5721" s="1">
        <v>43373</v>
      </c>
      <c r="E5721">
        <v>5</v>
      </c>
    </row>
    <row r="5722" spans="1:10" hidden="1" x14ac:dyDescent="0.25">
      <c r="A5722" t="s">
        <v>144</v>
      </c>
      <c r="B5722" s="11" t="s">
        <v>115</v>
      </c>
      <c r="C5722" t="b">
        <v>1</v>
      </c>
      <c r="D5722" s="1">
        <v>43373</v>
      </c>
      <c r="E5722">
        <v>5</v>
      </c>
      <c r="F5722" s="13"/>
      <c r="G5722" s="13"/>
      <c r="H5722" s="13"/>
      <c r="I5722" s="13"/>
      <c r="J5722" s="13"/>
    </row>
    <row r="5723" spans="1:10" hidden="1" x14ac:dyDescent="0.25">
      <c r="A5723" t="s">
        <v>149</v>
      </c>
      <c r="B5723" s="11" t="s">
        <v>115</v>
      </c>
      <c r="C5723" t="b">
        <v>1</v>
      </c>
      <c r="D5723" s="1">
        <v>43373</v>
      </c>
      <c r="E5723">
        <v>5</v>
      </c>
    </row>
    <row r="5724" spans="1:10" hidden="1" x14ac:dyDescent="0.25">
      <c r="A5724" t="s">
        <v>65</v>
      </c>
      <c r="B5724" s="11" t="s">
        <v>115</v>
      </c>
      <c r="C5724" t="b">
        <v>1</v>
      </c>
      <c r="D5724" s="1">
        <v>43373</v>
      </c>
      <c r="E5724">
        <v>5</v>
      </c>
    </row>
    <row r="5725" spans="1:10" hidden="1" x14ac:dyDescent="0.25">
      <c r="A5725" t="s">
        <v>66</v>
      </c>
      <c r="B5725" s="11" t="s">
        <v>115</v>
      </c>
      <c r="C5725" t="b">
        <v>1</v>
      </c>
      <c r="D5725" s="1">
        <v>43373</v>
      </c>
      <c r="E5725">
        <v>5</v>
      </c>
    </row>
    <row r="5726" spans="1:10" hidden="1" x14ac:dyDescent="0.25">
      <c r="A5726" t="s">
        <v>146</v>
      </c>
      <c r="B5726" s="11" t="s">
        <v>115</v>
      </c>
      <c r="C5726" t="b">
        <v>1</v>
      </c>
      <c r="D5726" s="1">
        <v>43373</v>
      </c>
      <c r="E5726">
        <f>1+4</f>
        <v>5</v>
      </c>
    </row>
    <row r="5727" spans="1:10" hidden="1" x14ac:dyDescent="0.25">
      <c r="A5727" t="s">
        <v>75</v>
      </c>
      <c r="B5727" s="11" t="s">
        <v>115</v>
      </c>
      <c r="C5727" t="b">
        <v>1</v>
      </c>
      <c r="D5727" s="1">
        <v>43373</v>
      </c>
      <c r="E5727">
        <v>5</v>
      </c>
    </row>
    <row r="5728" spans="1:10" hidden="1" x14ac:dyDescent="0.25">
      <c r="A5728" t="s">
        <v>76</v>
      </c>
      <c r="B5728" s="11" t="s">
        <v>115</v>
      </c>
      <c r="C5728" t="b">
        <v>1</v>
      </c>
      <c r="D5728" s="1">
        <v>43373</v>
      </c>
      <c r="E5728">
        <v>1E-3</v>
      </c>
    </row>
    <row r="5729" spans="1:15" hidden="1" x14ac:dyDescent="0.25">
      <c r="A5729" t="s">
        <v>147</v>
      </c>
      <c r="B5729" s="11" t="s">
        <v>115</v>
      </c>
      <c r="C5729" t="b">
        <v>1</v>
      </c>
      <c r="D5729" s="1">
        <v>43373</v>
      </c>
      <c r="E5729">
        <v>5</v>
      </c>
    </row>
    <row r="5730" spans="1:15" hidden="1" x14ac:dyDescent="0.25">
      <c r="A5730" t="s">
        <v>82</v>
      </c>
      <c r="B5730" s="11" t="s">
        <v>115</v>
      </c>
      <c r="C5730" t="b">
        <v>1</v>
      </c>
      <c r="D5730" s="1">
        <v>43373</v>
      </c>
      <c r="E5730">
        <v>5</v>
      </c>
    </row>
    <row r="5731" spans="1:15" hidden="1" x14ac:dyDescent="0.25">
      <c r="A5731" t="s">
        <v>84</v>
      </c>
      <c r="B5731" s="11" t="s">
        <v>115</v>
      </c>
      <c r="C5731" t="b">
        <v>1</v>
      </c>
      <c r="D5731" s="1">
        <v>43373</v>
      </c>
      <c r="E5731">
        <v>5</v>
      </c>
    </row>
    <row r="5732" spans="1:15" hidden="1" x14ac:dyDescent="0.25">
      <c r="A5732" t="s">
        <v>83</v>
      </c>
      <c r="B5732" s="11" t="s">
        <v>115</v>
      </c>
      <c r="C5732" t="b">
        <v>1</v>
      </c>
      <c r="D5732" s="1">
        <v>43373</v>
      </c>
      <c r="E5732">
        <v>5</v>
      </c>
    </row>
    <row r="5733" spans="1:15" hidden="1" x14ac:dyDescent="0.25">
      <c r="A5733" t="s">
        <v>88</v>
      </c>
      <c r="B5733" s="11" t="s">
        <v>115</v>
      </c>
      <c r="C5733" t="b">
        <v>1</v>
      </c>
      <c r="D5733" s="1">
        <v>43373</v>
      </c>
      <c r="E5733">
        <v>5</v>
      </c>
    </row>
    <row r="5734" spans="1:15" hidden="1" x14ac:dyDescent="0.25">
      <c r="A5734" t="s">
        <v>87</v>
      </c>
      <c r="B5734" s="11" t="s">
        <v>115</v>
      </c>
      <c r="C5734" t="b">
        <v>1</v>
      </c>
      <c r="D5734" s="1">
        <v>43373</v>
      </c>
      <c r="E5734">
        <v>5</v>
      </c>
    </row>
    <row r="5735" spans="1:15" hidden="1" x14ac:dyDescent="0.25">
      <c r="A5735" t="s">
        <v>93</v>
      </c>
      <c r="B5735" s="11" t="s">
        <v>115</v>
      </c>
      <c r="C5735" t="b">
        <v>1</v>
      </c>
      <c r="D5735" s="1">
        <v>43373</v>
      </c>
      <c r="E5735">
        <v>5</v>
      </c>
      <c r="G5735" s="13"/>
      <c r="H5735" s="13"/>
      <c r="I5735" s="13"/>
      <c r="J5735" s="13"/>
    </row>
    <row r="5736" spans="1:15" hidden="1" x14ac:dyDescent="0.25">
      <c r="A5736" t="s">
        <v>148</v>
      </c>
      <c r="B5736" s="11" t="s">
        <v>115</v>
      </c>
      <c r="C5736" t="b">
        <v>1</v>
      </c>
      <c r="D5736" s="1">
        <v>43373</v>
      </c>
      <c r="E5736">
        <v>5</v>
      </c>
    </row>
    <row r="5737" spans="1:15" hidden="1" x14ac:dyDescent="0.25">
      <c r="A5737" t="s">
        <v>94</v>
      </c>
      <c r="B5737" s="11" t="s">
        <v>115</v>
      </c>
      <c r="C5737" t="b">
        <v>1</v>
      </c>
      <c r="D5737" s="1">
        <v>43373</v>
      </c>
      <c r="E5737">
        <v>5</v>
      </c>
    </row>
    <row r="5738" spans="1:15" hidden="1" x14ac:dyDescent="0.25">
      <c r="A5738" t="s">
        <v>96</v>
      </c>
      <c r="B5738" s="11" t="s">
        <v>115</v>
      </c>
      <c r="C5738" t="b">
        <v>1</v>
      </c>
      <c r="D5738" s="1">
        <v>43373</v>
      </c>
      <c r="E5738">
        <v>5</v>
      </c>
    </row>
    <row r="5739" spans="1:15" hidden="1" x14ac:dyDescent="0.25">
      <c r="A5739" t="s">
        <v>98</v>
      </c>
      <c r="B5739" s="11" t="s">
        <v>115</v>
      </c>
      <c r="C5739" t="b">
        <v>1</v>
      </c>
      <c r="D5739" s="1">
        <v>43373</v>
      </c>
      <c r="E5739">
        <v>5</v>
      </c>
      <c r="F5739" s="13"/>
      <c r="G5739" s="13"/>
      <c r="H5739" s="13"/>
      <c r="I5739" s="13"/>
      <c r="J5739" s="13"/>
    </row>
    <row r="5740" spans="1:15" hidden="1" x14ac:dyDescent="0.25">
      <c r="A5740" t="s">
        <v>97</v>
      </c>
      <c r="B5740" s="11" t="s">
        <v>115</v>
      </c>
      <c r="C5740" t="b">
        <v>1</v>
      </c>
      <c r="D5740" s="1">
        <v>43373</v>
      </c>
      <c r="E5740">
        <v>5</v>
      </c>
    </row>
    <row r="5741" spans="1:15" hidden="1" x14ac:dyDescent="0.25">
      <c r="A5741" t="s">
        <v>99</v>
      </c>
      <c r="B5741" s="11" t="s">
        <v>114</v>
      </c>
      <c r="C5741" t="b">
        <v>1</v>
      </c>
      <c r="D5741" s="1">
        <v>43373</v>
      </c>
      <c r="E5741" s="12">
        <f>SUM(K5741:O5741)</f>
        <v>14.26</v>
      </c>
      <c r="F5741" s="15">
        <f>5+1+2</f>
        <v>8</v>
      </c>
      <c r="G5741" s="15">
        <f>6+2+5+1+2+2</f>
        <v>18</v>
      </c>
      <c r="H5741" s="15">
        <f>2+1+5+5+2</f>
        <v>15</v>
      </c>
      <c r="I5741" s="15">
        <f>3+2</f>
        <v>5</v>
      </c>
      <c r="J5741" s="15">
        <v>1</v>
      </c>
      <c r="K5741" s="14">
        <f>F5741*K$1</f>
        <v>8</v>
      </c>
      <c r="L5741" s="14">
        <f>G5741*L$1</f>
        <v>4.5</v>
      </c>
      <c r="M5741" s="14">
        <f>H5741*M$1</f>
        <v>1.5</v>
      </c>
      <c r="N5741" s="14">
        <f>I5741*N$1</f>
        <v>0.25</v>
      </c>
      <c r="O5741" s="14">
        <f>J5741*O$1</f>
        <v>0.01</v>
      </c>
    </row>
    <row r="5742" spans="1:15" hidden="1" x14ac:dyDescent="0.25">
      <c r="A5742" t="s">
        <v>100</v>
      </c>
      <c r="B5742" s="11" t="s">
        <v>117</v>
      </c>
      <c r="C5742" t="b">
        <v>1</v>
      </c>
      <c r="D5742" s="1">
        <v>43404</v>
      </c>
      <c r="E5742" s="2">
        <f>-1*(8*9.97)</f>
        <v>-79.760000000000005</v>
      </c>
    </row>
    <row r="5743" spans="1:15" hidden="1" x14ac:dyDescent="0.25">
      <c r="A5743" t="s">
        <v>104</v>
      </c>
      <c r="B5743" s="11" t="s">
        <v>117</v>
      </c>
      <c r="C5743" t="b">
        <v>1</v>
      </c>
      <c r="D5743" s="1">
        <v>43404</v>
      </c>
      <c r="E5743">
        <f>-5-16.97</f>
        <v>-21.97</v>
      </c>
    </row>
    <row r="5744" spans="1:15" hidden="1" x14ac:dyDescent="0.25">
      <c r="A5744" t="s">
        <v>102</v>
      </c>
      <c r="B5744" s="11" t="s">
        <v>117</v>
      </c>
      <c r="C5744" t="b">
        <v>1</v>
      </c>
      <c r="D5744" s="1">
        <v>43404</v>
      </c>
      <c r="E5744">
        <f>-1*((8.79*4))-(2*5.99)-(2*3.67)-6-(2*2.99)</f>
        <v>-66.460000000000008</v>
      </c>
    </row>
    <row r="5745" spans="1:10" ht="15.75" hidden="1" customHeight="1" x14ac:dyDescent="0.25">
      <c r="A5745" t="s">
        <v>103</v>
      </c>
      <c r="B5745" s="11" t="s">
        <v>117</v>
      </c>
      <c r="C5745" t="b">
        <v>1</v>
      </c>
      <c r="D5745" s="1">
        <v>43404</v>
      </c>
      <c r="E5745" s="2">
        <f>-2.99</f>
        <v>-2.99</v>
      </c>
    </row>
    <row r="5746" spans="1:10" hidden="1" x14ac:dyDescent="0.25">
      <c r="A5746" t="s">
        <v>101</v>
      </c>
      <c r="B5746" s="11" t="s">
        <v>117</v>
      </c>
      <c r="C5746" t="b">
        <v>1</v>
      </c>
      <c r="D5746" s="1">
        <v>43404</v>
      </c>
      <c r="E5746" s="21">
        <f>-9.29-4.19-2.99</f>
        <v>-16.47</v>
      </c>
    </row>
    <row r="5747" spans="1:10" hidden="1" x14ac:dyDescent="0.25">
      <c r="A5747" t="s">
        <v>47</v>
      </c>
      <c r="B5747" s="11" t="s">
        <v>115</v>
      </c>
      <c r="C5747" t="b">
        <v>1</v>
      </c>
      <c r="D5747" s="1">
        <v>43404</v>
      </c>
      <c r="E5747">
        <v>5</v>
      </c>
    </row>
    <row r="5748" spans="1:10" hidden="1" x14ac:dyDescent="0.25">
      <c r="A5748" t="s">
        <v>43</v>
      </c>
      <c r="B5748" s="11" t="s">
        <v>115</v>
      </c>
      <c r="C5748" t="b">
        <v>1</v>
      </c>
      <c r="D5748" s="1">
        <v>43404</v>
      </c>
      <c r="E5748">
        <v>5</v>
      </c>
    </row>
    <row r="5749" spans="1:10" hidden="1" x14ac:dyDescent="0.25">
      <c r="A5749" t="s">
        <v>48</v>
      </c>
      <c r="B5749" s="11" t="s">
        <v>115</v>
      </c>
      <c r="C5749" t="b">
        <v>1</v>
      </c>
      <c r="D5749" s="1">
        <v>43404</v>
      </c>
      <c r="E5749">
        <v>5</v>
      </c>
    </row>
    <row r="5750" spans="1:10" hidden="1" x14ac:dyDescent="0.25">
      <c r="A5750" t="s">
        <v>49</v>
      </c>
      <c r="B5750" s="11" t="s">
        <v>115</v>
      </c>
      <c r="C5750" t="b">
        <v>1</v>
      </c>
      <c r="D5750" s="1">
        <v>43404</v>
      </c>
      <c r="E5750">
        <v>5</v>
      </c>
    </row>
    <row r="5751" spans="1:10" hidden="1" x14ac:dyDescent="0.25">
      <c r="A5751" t="s">
        <v>50</v>
      </c>
      <c r="B5751" s="11" t="s">
        <v>115</v>
      </c>
      <c r="C5751" t="b">
        <v>1</v>
      </c>
      <c r="D5751" s="1">
        <v>43404</v>
      </c>
      <c r="E5751">
        <v>5</v>
      </c>
    </row>
    <row r="5752" spans="1:10" hidden="1" x14ac:dyDescent="0.25">
      <c r="A5752" t="s">
        <v>51</v>
      </c>
      <c r="B5752" s="11" t="s">
        <v>115</v>
      </c>
      <c r="C5752" t="b">
        <v>1</v>
      </c>
      <c r="D5752" s="1">
        <v>43404</v>
      </c>
      <c r="E5752">
        <v>5</v>
      </c>
    </row>
    <row r="5753" spans="1:10" hidden="1" x14ac:dyDescent="0.25">
      <c r="A5753" t="s">
        <v>52</v>
      </c>
      <c r="B5753" s="11" t="s">
        <v>115</v>
      </c>
      <c r="C5753" t="b">
        <v>1</v>
      </c>
      <c r="D5753" s="1">
        <v>43404</v>
      </c>
      <c r="E5753">
        <v>5</v>
      </c>
    </row>
    <row r="5754" spans="1:10" hidden="1" x14ac:dyDescent="0.25">
      <c r="A5754" t="s">
        <v>189</v>
      </c>
      <c r="B5754" s="11" t="s">
        <v>115</v>
      </c>
      <c r="C5754" t="b">
        <v>1</v>
      </c>
      <c r="D5754" s="1">
        <v>43404</v>
      </c>
      <c r="E5754">
        <v>2.5</v>
      </c>
    </row>
    <row r="5755" spans="1:10" hidden="1" x14ac:dyDescent="0.25">
      <c r="A5755" t="s">
        <v>55</v>
      </c>
      <c r="B5755" s="11" t="s">
        <v>115</v>
      </c>
      <c r="C5755" t="b">
        <v>1</v>
      </c>
      <c r="D5755" s="1">
        <v>43404</v>
      </c>
      <c r="E5755">
        <v>5</v>
      </c>
    </row>
    <row r="5756" spans="1:10" hidden="1" x14ac:dyDescent="0.25">
      <c r="A5756" t="s">
        <v>58</v>
      </c>
      <c r="B5756" s="11" t="s">
        <v>115</v>
      </c>
      <c r="C5756" t="b">
        <v>1</v>
      </c>
      <c r="D5756" s="1">
        <v>43404</v>
      </c>
      <c r="E5756">
        <v>5</v>
      </c>
    </row>
    <row r="5757" spans="1:10" hidden="1" x14ac:dyDescent="0.25">
      <c r="A5757" t="s">
        <v>144</v>
      </c>
      <c r="B5757" s="11" t="s">
        <v>115</v>
      </c>
      <c r="C5757" t="b">
        <v>1</v>
      </c>
      <c r="D5757" s="1">
        <v>43404</v>
      </c>
      <c r="E5757">
        <v>5</v>
      </c>
      <c r="F5757" s="13"/>
      <c r="G5757" s="13"/>
      <c r="H5757" s="13"/>
      <c r="I5757" s="13"/>
      <c r="J5757" s="13"/>
    </row>
    <row r="5758" spans="1:10" hidden="1" x14ac:dyDescent="0.25">
      <c r="A5758" t="s">
        <v>149</v>
      </c>
      <c r="B5758" s="11" t="s">
        <v>115</v>
      </c>
      <c r="C5758" t="b">
        <v>1</v>
      </c>
      <c r="D5758" s="1">
        <v>43404</v>
      </c>
      <c r="E5758">
        <v>5</v>
      </c>
    </row>
    <row r="5759" spans="1:10" hidden="1" x14ac:dyDescent="0.25">
      <c r="A5759" t="s">
        <v>65</v>
      </c>
      <c r="B5759" s="11" t="s">
        <v>115</v>
      </c>
      <c r="C5759" t="b">
        <v>1</v>
      </c>
      <c r="D5759" s="1">
        <v>43404</v>
      </c>
      <c r="E5759">
        <v>5</v>
      </c>
    </row>
    <row r="5760" spans="1:10" hidden="1" x14ac:dyDescent="0.25">
      <c r="A5760" t="s">
        <v>66</v>
      </c>
      <c r="B5760" s="11" t="s">
        <v>115</v>
      </c>
      <c r="C5760" t="b">
        <v>1</v>
      </c>
      <c r="D5760" s="1">
        <v>43404</v>
      </c>
      <c r="E5760">
        <v>5</v>
      </c>
    </row>
    <row r="5761" spans="1:15" hidden="1" x14ac:dyDescent="0.25">
      <c r="A5761" t="s">
        <v>146</v>
      </c>
      <c r="B5761" s="11" t="s">
        <v>115</v>
      </c>
      <c r="C5761" t="b">
        <v>1</v>
      </c>
      <c r="D5761" s="1">
        <v>43404</v>
      </c>
      <c r="E5761">
        <f>1+4</f>
        <v>5</v>
      </c>
    </row>
    <row r="5762" spans="1:15" hidden="1" x14ac:dyDescent="0.25">
      <c r="A5762" t="s">
        <v>75</v>
      </c>
      <c r="B5762" s="11" t="s">
        <v>115</v>
      </c>
      <c r="C5762" t="b">
        <v>1</v>
      </c>
      <c r="D5762" s="1">
        <v>43404</v>
      </c>
      <c r="E5762">
        <v>5</v>
      </c>
    </row>
    <row r="5763" spans="1:15" hidden="1" x14ac:dyDescent="0.25">
      <c r="A5763" t="s">
        <v>76</v>
      </c>
      <c r="B5763" s="11" t="s">
        <v>115</v>
      </c>
      <c r="C5763" t="b">
        <v>1</v>
      </c>
      <c r="D5763" s="1">
        <v>43404</v>
      </c>
      <c r="E5763">
        <v>1E-3</v>
      </c>
    </row>
    <row r="5764" spans="1:15" hidden="1" x14ac:dyDescent="0.25">
      <c r="A5764" t="s">
        <v>147</v>
      </c>
      <c r="B5764" s="11" t="s">
        <v>115</v>
      </c>
      <c r="C5764" t="b">
        <v>1</v>
      </c>
      <c r="D5764" s="1">
        <v>43404</v>
      </c>
      <c r="E5764">
        <v>5</v>
      </c>
    </row>
    <row r="5765" spans="1:15" hidden="1" x14ac:dyDescent="0.25">
      <c r="A5765" t="s">
        <v>82</v>
      </c>
      <c r="B5765" s="11" t="s">
        <v>115</v>
      </c>
      <c r="C5765" t="b">
        <v>1</v>
      </c>
      <c r="D5765" s="1">
        <v>43404</v>
      </c>
      <c r="E5765">
        <v>5</v>
      </c>
    </row>
    <row r="5766" spans="1:15" hidden="1" x14ac:dyDescent="0.25">
      <c r="A5766" t="s">
        <v>84</v>
      </c>
      <c r="B5766" s="11" t="s">
        <v>115</v>
      </c>
      <c r="C5766" t="b">
        <v>1</v>
      </c>
      <c r="D5766" s="1">
        <v>43404</v>
      </c>
      <c r="E5766">
        <v>5</v>
      </c>
    </row>
    <row r="5767" spans="1:15" hidden="1" x14ac:dyDescent="0.25">
      <c r="A5767" t="s">
        <v>83</v>
      </c>
      <c r="B5767" s="11" t="s">
        <v>115</v>
      </c>
      <c r="C5767" t="b">
        <v>1</v>
      </c>
      <c r="D5767" s="1">
        <v>43404</v>
      </c>
      <c r="E5767">
        <v>5</v>
      </c>
    </row>
    <row r="5768" spans="1:15" hidden="1" x14ac:dyDescent="0.25">
      <c r="A5768" t="s">
        <v>88</v>
      </c>
      <c r="B5768" s="11" t="s">
        <v>115</v>
      </c>
      <c r="C5768" t="b">
        <v>1</v>
      </c>
      <c r="D5768" s="1">
        <v>43404</v>
      </c>
      <c r="E5768">
        <v>5</v>
      </c>
    </row>
    <row r="5769" spans="1:15" hidden="1" x14ac:dyDescent="0.25">
      <c r="A5769" t="s">
        <v>87</v>
      </c>
      <c r="B5769" s="11" t="s">
        <v>115</v>
      </c>
      <c r="C5769" t="b">
        <v>1</v>
      </c>
      <c r="D5769" s="1">
        <v>43404</v>
      </c>
      <c r="E5769">
        <v>5</v>
      </c>
    </row>
    <row r="5770" spans="1:15" hidden="1" x14ac:dyDescent="0.25">
      <c r="A5770" t="s">
        <v>93</v>
      </c>
      <c r="B5770" s="11" t="s">
        <v>115</v>
      </c>
      <c r="C5770" t="b">
        <v>1</v>
      </c>
      <c r="D5770" s="1">
        <v>43404</v>
      </c>
      <c r="E5770">
        <v>5</v>
      </c>
    </row>
    <row r="5771" spans="1:15" hidden="1" x14ac:dyDescent="0.25">
      <c r="A5771" t="s">
        <v>148</v>
      </c>
      <c r="B5771" s="11" t="s">
        <v>115</v>
      </c>
      <c r="C5771" t="b">
        <v>1</v>
      </c>
      <c r="D5771" s="1">
        <v>43404</v>
      </c>
      <c r="E5771">
        <v>5</v>
      </c>
    </row>
    <row r="5772" spans="1:15" hidden="1" x14ac:dyDescent="0.25">
      <c r="A5772" t="s">
        <v>94</v>
      </c>
      <c r="B5772" s="11" t="s">
        <v>115</v>
      </c>
      <c r="C5772" t="b">
        <v>1</v>
      </c>
      <c r="D5772" s="1">
        <v>43404</v>
      </c>
      <c r="E5772">
        <v>5</v>
      </c>
    </row>
    <row r="5773" spans="1:15" hidden="1" x14ac:dyDescent="0.25">
      <c r="A5773" t="s">
        <v>96</v>
      </c>
      <c r="B5773" s="11" t="s">
        <v>115</v>
      </c>
      <c r="C5773" t="b">
        <v>1</v>
      </c>
      <c r="D5773" s="1">
        <v>43404</v>
      </c>
      <c r="E5773">
        <v>5</v>
      </c>
    </row>
    <row r="5774" spans="1:15" hidden="1" x14ac:dyDescent="0.25">
      <c r="A5774" t="s">
        <v>98</v>
      </c>
      <c r="B5774" s="11" t="s">
        <v>115</v>
      </c>
      <c r="C5774" t="b">
        <v>1</v>
      </c>
      <c r="D5774" s="1">
        <v>43404</v>
      </c>
      <c r="E5774">
        <v>5</v>
      </c>
      <c r="F5774" s="13"/>
      <c r="G5774" s="13"/>
      <c r="H5774" s="13"/>
      <c r="I5774" s="13"/>
      <c r="J5774" s="13"/>
    </row>
    <row r="5775" spans="1:15" hidden="1" x14ac:dyDescent="0.25">
      <c r="A5775" t="s">
        <v>97</v>
      </c>
      <c r="B5775" s="11" t="s">
        <v>115</v>
      </c>
      <c r="C5775" t="b">
        <v>1</v>
      </c>
      <c r="D5775" s="1">
        <v>43404</v>
      </c>
      <c r="E5775">
        <v>5</v>
      </c>
    </row>
    <row r="5776" spans="1:15" hidden="1" x14ac:dyDescent="0.25">
      <c r="A5776" t="s">
        <v>99</v>
      </c>
      <c r="B5776" s="11" t="s">
        <v>114</v>
      </c>
      <c r="C5776" t="b">
        <v>1</v>
      </c>
      <c r="D5776" s="1">
        <v>43404</v>
      </c>
      <c r="E5776" s="12">
        <f>SUM(K5776:O5776)</f>
        <v>20.900000000000002</v>
      </c>
      <c r="F5776" s="15">
        <f>1+2+5+2+2+1+1</f>
        <v>14</v>
      </c>
      <c r="G5776" s="15">
        <f>1+2+3+3+3+3+3+4+1</f>
        <v>23</v>
      </c>
      <c r="H5776" s="15">
        <v>1</v>
      </c>
      <c r="I5776" s="15">
        <f>1+3+3+3+11</f>
        <v>21</v>
      </c>
      <c r="J5776" s="15">
        <v>0</v>
      </c>
      <c r="K5776" s="14">
        <f>F5776*K$1</f>
        <v>14</v>
      </c>
      <c r="L5776" s="14">
        <f>G5776*L$1</f>
        <v>5.75</v>
      </c>
      <c r="M5776" s="14">
        <f>H5776*M$1</f>
        <v>0.1</v>
      </c>
      <c r="N5776" s="14">
        <f>I5776*N$1</f>
        <v>1.05</v>
      </c>
      <c r="O5776" s="14">
        <f>J5776*O$1</f>
        <v>0</v>
      </c>
    </row>
    <row r="5777" spans="1:10" hidden="1" x14ac:dyDescent="0.25">
      <c r="A5777" t="s">
        <v>100</v>
      </c>
      <c r="B5777" s="11" t="s">
        <v>117</v>
      </c>
      <c r="C5777" t="b">
        <v>1</v>
      </c>
      <c r="D5777" s="1">
        <v>43434</v>
      </c>
      <c r="E5777" s="2">
        <f>-1*(8*9.79)</f>
        <v>-78.319999999999993</v>
      </c>
    </row>
    <row r="5778" spans="1:10" hidden="1" x14ac:dyDescent="0.25">
      <c r="A5778" t="s">
        <v>104</v>
      </c>
      <c r="B5778" s="11" t="s">
        <v>117</v>
      </c>
      <c r="C5778" t="b">
        <v>1</v>
      </c>
      <c r="D5778" s="1">
        <v>43434</v>
      </c>
      <c r="E5778">
        <f>-5-8.99</f>
        <v>-13.99</v>
      </c>
    </row>
    <row r="5779" spans="1:10" hidden="1" x14ac:dyDescent="0.25">
      <c r="A5779" t="s">
        <v>102</v>
      </c>
      <c r="B5779" s="11" t="s">
        <v>117</v>
      </c>
      <c r="C5779" t="b">
        <v>1</v>
      </c>
      <c r="D5779" s="1">
        <v>43434</v>
      </c>
      <c r="E5779">
        <f>-1*((8.79*5))-(2*5.99)-(2.99*3)-(4.89)</f>
        <v>-69.789999999999992</v>
      </c>
    </row>
    <row r="5780" spans="1:10" hidden="1" x14ac:dyDescent="0.25">
      <c r="A5780" t="s">
        <v>103</v>
      </c>
      <c r="B5780" s="11" t="s">
        <v>117</v>
      </c>
      <c r="C5780" t="b">
        <v>1</v>
      </c>
      <c r="D5780" s="1">
        <v>43434</v>
      </c>
      <c r="E5780" s="2">
        <f>2*-1.99</f>
        <v>-3.98</v>
      </c>
    </row>
    <row r="5781" spans="1:10" hidden="1" x14ac:dyDescent="0.25">
      <c r="A5781" t="s">
        <v>101</v>
      </c>
      <c r="B5781" s="11" t="s">
        <v>117</v>
      </c>
      <c r="C5781" t="b">
        <v>1</v>
      </c>
      <c r="D5781" s="1">
        <v>43434</v>
      </c>
      <c r="E5781" s="21">
        <v>-2.99</v>
      </c>
    </row>
    <row r="5782" spans="1:10" hidden="1" x14ac:dyDescent="0.25">
      <c r="A5782" t="s">
        <v>47</v>
      </c>
      <c r="B5782" s="11" t="s">
        <v>115</v>
      </c>
      <c r="C5782" t="b">
        <v>1</v>
      </c>
      <c r="D5782" s="1">
        <v>43434</v>
      </c>
      <c r="E5782">
        <v>5</v>
      </c>
    </row>
    <row r="5783" spans="1:10" ht="15.75" hidden="1" customHeight="1" x14ac:dyDescent="0.25">
      <c r="A5783" t="s">
        <v>43</v>
      </c>
      <c r="B5783" s="11" t="s">
        <v>115</v>
      </c>
      <c r="C5783" t="b">
        <v>1</v>
      </c>
      <c r="D5783" s="1">
        <v>43434</v>
      </c>
      <c r="E5783">
        <v>5</v>
      </c>
    </row>
    <row r="5784" spans="1:10" hidden="1" x14ac:dyDescent="0.25">
      <c r="A5784" t="s">
        <v>48</v>
      </c>
      <c r="B5784" s="11" t="s">
        <v>115</v>
      </c>
      <c r="C5784" t="b">
        <v>1</v>
      </c>
      <c r="D5784" s="1">
        <v>43434</v>
      </c>
      <c r="E5784">
        <v>5</v>
      </c>
    </row>
    <row r="5785" spans="1:10" hidden="1" x14ac:dyDescent="0.25">
      <c r="A5785" t="s">
        <v>49</v>
      </c>
      <c r="B5785" s="11" t="s">
        <v>115</v>
      </c>
      <c r="C5785" t="b">
        <v>1</v>
      </c>
      <c r="D5785" s="1">
        <v>43434</v>
      </c>
      <c r="E5785">
        <v>5</v>
      </c>
    </row>
    <row r="5786" spans="1:10" hidden="1" x14ac:dyDescent="0.25">
      <c r="A5786" t="s">
        <v>50</v>
      </c>
      <c r="B5786" s="11" t="s">
        <v>115</v>
      </c>
      <c r="C5786" t="b">
        <v>1</v>
      </c>
      <c r="D5786" s="1">
        <v>43434</v>
      </c>
      <c r="E5786">
        <v>5</v>
      </c>
    </row>
    <row r="5787" spans="1:10" hidden="1" x14ac:dyDescent="0.25">
      <c r="A5787" t="s">
        <v>51</v>
      </c>
      <c r="B5787" s="11" t="s">
        <v>115</v>
      </c>
      <c r="C5787" t="b">
        <v>1</v>
      </c>
      <c r="D5787" s="1">
        <v>43434</v>
      </c>
      <c r="E5787">
        <v>5</v>
      </c>
    </row>
    <row r="5788" spans="1:10" hidden="1" x14ac:dyDescent="0.25">
      <c r="A5788" t="s">
        <v>52</v>
      </c>
      <c r="B5788" s="11" t="s">
        <v>115</v>
      </c>
      <c r="C5788" t="b">
        <v>1</v>
      </c>
      <c r="D5788" s="1">
        <v>43434</v>
      </c>
      <c r="E5788">
        <v>5</v>
      </c>
    </row>
    <row r="5789" spans="1:10" hidden="1" x14ac:dyDescent="0.25">
      <c r="A5789" t="s">
        <v>189</v>
      </c>
      <c r="B5789" s="11" t="s">
        <v>115</v>
      </c>
      <c r="C5789" t="b">
        <v>1</v>
      </c>
      <c r="D5789" s="1">
        <v>43434</v>
      </c>
      <c r="E5789">
        <v>5</v>
      </c>
    </row>
    <row r="5790" spans="1:10" hidden="1" x14ac:dyDescent="0.25">
      <c r="A5790" t="s">
        <v>190</v>
      </c>
      <c r="B5790" s="11" t="s">
        <v>115</v>
      </c>
      <c r="C5790" t="b">
        <v>1</v>
      </c>
      <c r="D5790" s="1">
        <v>43434</v>
      </c>
      <c r="E5790">
        <v>5</v>
      </c>
      <c r="F5790" s="13"/>
      <c r="G5790" s="13"/>
      <c r="H5790" s="13"/>
      <c r="I5790" s="13"/>
      <c r="J5790" s="13"/>
    </row>
    <row r="5791" spans="1:10" hidden="1" x14ac:dyDescent="0.25">
      <c r="A5791" t="s">
        <v>55</v>
      </c>
      <c r="B5791" s="11" t="s">
        <v>115</v>
      </c>
      <c r="C5791" t="b">
        <v>1</v>
      </c>
      <c r="D5791" s="1">
        <v>43434</v>
      </c>
      <c r="E5791">
        <v>5</v>
      </c>
    </row>
    <row r="5792" spans="1:10" hidden="1" x14ac:dyDescent="0.25">
      <c r="A5792" t="s">
        <v>58</v>
      </c>
      <c r="B5792" s="11" t="s">
        <v>115</v>
      </c>
      <c r="C5792" t="b">
        <v>1</v>
      </c>
      <c r="D5792" s="1">
        <v>43434</v>
      </c>
      <c r="E5792">
        <v>5</v>
      </c>
    </row>
    <row r="5793" spans="1:10" hidden="1" x14ac:dyDescent="0.25">
      <c r="A5793" t="s">
        <v>144</v>
      </c>
      <c r="B5793" s="11" t="s">
        <v>115</v>
      </c>
      <c r="C5793" t="b">
        <v>1</v>
      </c>
      <c r="D5793" s="1">
        <v>43434</v>
      </c>
      <c r="E5793">
        <v>5</v>
      </c>
      <c r="F5793" s="13"/>
      <c r="G5793" s="13"/>
      <c r="H5793" s="13"/>
      <c r="I5793" s="13"/>
      <c r="J5793" s="13"/>
    </row>
    <row r="5794" spans="1:10" hidden="1" x14ac:dyDescent="0.25">
      <c r="A5794" t="s">
        <v>149</v>
      </c>
      <c r="B5794" s="11" t="s">
        <v>115</v>
      </c>
      <c r="C5794" t="b">
        <v>1</v>
      </c>
      <c r="D5794" s="1">
        <v>43434</v>
      </c>
      <c r="E5794">
        <v>5</v>
      </c>
    </row>
    <row r="5795" spans="1:10" hidden="1" x14ac:dyDescent="0.25">
      <c r="A5795" t="s">
        <v>65</v>
      </c>
      <c r="B5795" s="11" t="s">
        <v>115</v>
      </c>
      <c r="C5795" t="b">
        <v>1</v>
      </c>
      <c r="D5795" s="1">
        <v>43434</v>
      </c>
      <c r="E5795">
        <v>5</v>
      </c>
    </row>
    <row r="5796" spans="1:10" hidden="1" x14ac:dyDescent="0.25">
      <c r="A5796" t="s">
        <v>66</v>
      </c>
      <c r="B5796" s="11" t="s">
        <v>115</v>
      </c>
      <c r="C5796" t="b">
        <v>1</v>
      </c>
      <c r="D5796" s="1">
        <v>43434</v>
      </c>
      <c r="E5796">
        <v>5</v>
      </c>
    </row>
    <row r="5797" spans="1:10" hidden="1" x14ac:dyDescent="0.25">
      <c r="A5797" t="s">
        <v>146</v>
      </c>
      <c r="B5797" s="11" t="s">
        <v>115</v>
      </c>
      <c r="C5797" t="b">
        <v>1</v>
      </c>
      <c r="D5797" s="1">
        <v>43434</v>
      </c>
      <c r="E5797">
        <f>1+4</f>
        <v>5</v>
      </c>
    </row>
    <row r="5798" spans="1:10" hidden="1" x14ac:dyDescent="0.25">
      <c r="A5798" t="s">
        <v>75</v>
      </c>
      <c r="B5798" s="11" t="s">
        <v>115</v>
      </c>
      <c r="C5798" t="b">
        <v>1</v>
      </c>
      <c r="D5798" s="1">
        <v>43434</v>
      </c>
      <c r="E5798">
        <v>5</v>
      </c>
    </row>
    <row r="5799" spans="1:10" hidden="1" x14ac:dyDescent="0.25">
      <c r="A5799" t="s">
        <v>76</v>
      </c>
      <c r="B5799" s="11" t="s">
        <v>115</v>
      </c>
      <c r="C5799" t="b">
        <v>1</v>
      </c>
      <c r="D5799" s="1">
        <v>43434</v>
      </c>
      <c r="E5799">
        <v>1E-3</v>
      </c>
    </row>
    <row r="5800" spans="1:10" hidden="1" x14ac:dyDescent="0.25">
      <c r="A5800" t="s">
        <v>147</v>
      </c>
      <c r="B5800" s="11" t="s">
        <v>115</v>
      </c>
      <c r="C5800" t="b">
        <v>1</v>
      </c>
      <c r="D5800" s="1">
        <v>43434</v>
      </c>
      <c r="E5800">
        <v>5</v>
      </c>
    </row>
    <row r="5801" spans="1:10" hidden="1" x14ac:dyDescent="0.25">
      <c r="A5801" t="s">
        <v>82</v>
      </c>
      <c r="B5801" s="11" t="s">
        <v>115</v>
      </c>
      <c r="C5801" t="b">
        <v>1</v>
      </c>
      <c r="D5801" s="1">
        <v>43434</v>
      </c>
      <c r="E5801">
        <v>5</v>
      </c>
    </row>
    <row r="5802" spans="1:10" ht="17.25" hidden="1" customHeight="1" x14ac:dyDescent="0.25">
      <c r="A5802" t="s">
        <v>84</v>
      </c>
      <c r="B5802" s="11" t="s">
        <v>115</v>
      </c>
      <c r="C5802" t="b">
        <v>1</v>
      </c>
      <c r="D5802" s="1">
        <v>43434</v>
      </c>
      <c r="E5802">
        <v>5</v>
      </c>
    </row>
    <row r="5803" spans="1:10" hidden="1" x14ac:dyDescent="0.25">
      <c r="A5803" t="s">
        <v>83</v>
      </c>
      <c r="B5803" s="11" t="s">
        <v>115</v>
      </c>
      <c r="C5803" t="b">
        <v>1</v>
      </c>
      <c r="D5803" s="1">
        <v>43434</v>
      </c>
      <c r="E5803">
        <v>5</v>
      </c>
    </row>
    <row r="5804" spans="1:10" hidden="1" x14ac:dyDescent="0.25">
      <c r="A5804" t="s">
        <v>88</v>
      </c>
      <c r="B5804" s="11" t="s">
        <v>115</v>
      </c>
      <c r="C5804" t="b">
        <v>1</v>
      </c>
      <c r="D5804" s="1">
        <v>43434</v>
      </c>
      <c r="E5804">
        <v>5</v>
      </c>
    </row>
    <row r="5805" spans="1:10" hidden="1" x14ac:dyDescent="0.25">
      <c r="A5805" t="s">
        <v>87</v>
      </c>
      <c r="B5805" s="11" t="s">
        <v>115</v>
      </c>
      <c r="C5805" t="b">
        <v>1</v>
      </c>
      <c r="D5805" s="1">
        <v>43434</v>
      </c>
      <c r="E5805">
        <v>5</v>
      </c>
    </row>
    <row r="5806" spans="1:10" hidden="1" x14ac:dyDescent="0.25">
      <c r="A5806" t="s">
        <v>93</v>
      </c>
      <c r="B5806" s="11" t="s">
        <v>115</v>
      </c>
      <c r="C5806" t="b">
        <v>1</v>
      </c>
      <c r="D5806" s="1">
        <v>43434</v>
      </c>
      <c r="E5806">
        <v>5</v>
      </c>
    </row>
    <row r="5807" spans="1:10" hidden="1" x14ac:dyDescent="0.25">
      <c r="A5807" t="s">
        <v>148</v>
      </c>
      <c r="B5807" s="11" t="s">
        <v>115</v>
      </c>
      <c r="C5807" t="b">
        <v>1</v>
      </c>
      <c r="D5807" s="1">
        <v>43434</v>
      </c>
      <c r="E5807">
        <v>5</v>
      </c>
    </row>
    <row r="5808" spans="1:10" hidden="1" x14ac:dyDescent="0.25">
      <c r="A5808" t="s">
        <v>94</v>
      </c>
      <c r="B5808" s="11" t="s">
        <v>115</v>
      </c>
      <c r="C5808" t="b">
        <v>1</v>
      </c>
      <c r="D5808" s="1">
        <v>43434</v>
      </c>
      <c r="E5808">
        <v>5</v>
      </c>
    </row>
    <row r="5809" spans="1:15" hidden="1" x14ac:dyDescent="0.25">
      <c r="A5809" t="s">
        <v>96</v>
      </c>
      <c r="B5809" s="11" t="s">
        <v>115</v>
      </c>
      <c r="C5809" t="b">
        <v>1</v>
      </c>
      <c r="D5809" s="1">
        <v>43434</v>
      </c>
      <c r="E5809">
        <v>5</v>
      </c>
    </row>
    <row r="5810" spans="1:15" hidden="1" x14ac:dyDescent="0.25">
      <c r="A5810" t="s">
        <v>98</v>
      </c>
      <c r="B5810" s="11" t="s">
        <v>115</v>
      </c>
      <c r="C5810" t="b">
        <v>1</v>
      </c>
      <c r="D5810" s="1">
        <v>43434</v>
      </c>
      <c r="E5810">
        <v>5</v>
      </c>
      <c r="F5810" s="13"/>
      <c r="G5810" s="13"/>
      <c r="H5810" s="13"/>
      <c r="I5810" s="13"/>
      <c r="J5810" s="13"/>
    </row>
    <row r="5811" spans="1:15" hidden="1" x14ac:dyDescent="0.25">
      <c r="A5811" t="s">
        <v>97</v>
      </c>
      <c r="B5811" s="11" t="s">
        <v>115</v>
      </c>
      <c r="C5811" t="b">
        <v>1</v>
      </c>
      <c r="D5811" s="1">
        <v>43434</v>
      </c>
      <c r="E5811">
        <v>5</v>
      </c>
    </row>
    <row r="5812" spans="1:15" hidden="1" x14ac:dyDescent="0.25">
      <c r="A5812" t="s">
        <v>99</v>
      </c>
      <c r="B5812" s="11" t="s">
        <v>114</v>
      </c>
      <c r="C5812" t="b">
        <v>1</v>
      </c>
      <c r="D5812" s="1">
        <v>43434</v>
      </c>
      <c r="E5812" s="12">
        <f>SUM(K5812:O5812)</f>
        <v>18.52</v>
      </c>
      <c r="F5812" s="15">
        <f>1+2+3+4+1+2</f>
        <v>13</v>
      </c>
      <c r="G5812" s="15">
        <f>3+3+6+1+3</f>
        <v>16</v>
      </c>
      <c r="H5812" s="15">
        <f>4+4+5+1</f>
        <v>14</v>
      </c>
      <c r="I5812" s="15">
        <f>2</f>
        <v>2</v>
      </c>
      <c r="J5812" s="15">
        <f>2</f>
        <v>2</v>
      </c>
      <c r="K5812" s="14">
        <f>F5812*K$1</f>
        <v>13</v>
      </c>
      <c r="L5812" s="14">
        <f>G5812*L$1</f>
        <v>4</v>
      </c>
      <c r="M5812" s="14">
        <f>H5812*M$1</f>
        <v>1.4000000000000001</v>
      </c>
      <c r="N5812" s="14">
        <f>I5812*N$1</f>
        <v>0.1</v>
      </c>
      <c r="O5812" s="14">
        <f>J5812*O$1</f>
        <v>0.02</v>
      </c>
    </row>
    <row r="5813" spans="1:15" hidden="1" x14ac:dyDescent="0.25">
      <c r="A5813" t="s">
        <v>143</v>
      </c>
      <c r="B5813" t="s">
        <v>142</v>
      </c>
      <c r="C5813" t="b">
        <v>0</v>
      </c>
      <c r="D5813" s="1">
        <v>43434</v>
      </c>
      <c r="E5813" s="2">
        <f>-1*(29*5)</f>
        <v>-145</v>
      </c>
      <c r="F5813"/>
      <c r="G5813"/>
      <c r="H5813"/>
      <c r="I5813"/>
      <c r="J5813"/>
      <c r="K5813"/>
      <c r="L5813"/>
      <c r="M5813"/>
      <c r="N5813"/>
      <c r="O5813"/>
    </row>
    <row r="5814" spans="1:15" hidden="1" x14ac:dyDescent="0.25">
      <c r="A5814" t="s">
        <v>100</v>
      </c>
      <c r="B5814" s="11" t="s">
        <v>117</v>
      </c>
      <c r="C5814" t="b">
        <v>1</v>
      </c>
      <c r="D5814" s="1">
        <v>43465</v>
      </c>
      <c r="E5814" s="2">
        <f>-1*(2*9.98)</f>
        <v>-19.96</v>
      </c>
    </row>
    <row r="5815" spans="1:15" hidden="1" x14ac:dyDescent="0.25">
      <c r="A5815" t="s">
        <v>104</v>
      </c>
      <c r="B5815" s="11" t="s">
        <v>117</v>
      </c>
      <c r="C5815" t="b">
        <v>1</v>
      </c>
      <c r="D5815" s="1">
        <v>43465</v>
      </c>
      <c r="E5815">
        <v>-5</v>
      </c>
    </row>
    <row r="5816" spans="1:15" hidden="1" x14ac:dyDescent="0.25">
      <c r="A5816" t="s">
        <v>102</v>
      </c>
      <c r="B5816" s="11" t="s">
        <v>117</v>
      </c>
      <c r="C5816" t="b">
        <v>1</v>
      </c>
      <c r="D5816" s="1">
        <v>43465</v>
      </c>
      <c r="E5816">
        <f>-1*((3.18*1)+(5*8.79))</f>
        <v>-47.129999999999995</v>
      </c>
    </row>
    <row r="5817" spans="1:15" hidden="1" x14ac:dyDescent="0.25">
      <c r="A5817" t="s">
        <v>47</v>
      </c>
      <c r="B5817" s="11" t="s">
        <v>115</v>
      </c>
      <c r="C5817" t="b">
        <v>1</v>
      </c>
      <c r="D5817" s="1">
        <v>43465</v>
      </c>
      <c r="E5817">
        <v>5</v>
      </c>
    </row>
    <row r="5818" spans="1:15" hidden="1" x14ac:dyDescent="0.25">
      <c r="A5818" t="s">
        <v>43</v>
      </c>
      <c r="B5818" s="11" t="s">
        <v>115</v>
      </c>
      <c r="C5818" t="b">
        <v>1</v>
      </c>
      <c r="D5818" s="1">
        <v>43465</v>
      </c>
      <c r="E5818">
        <v>5</v>
      </c>
    </row>
    <row r="5819" spans="1:15" hidden="1" x14ac:dyDescent="0.25">
      <c r="A5819" t="s">
        <v>48</v>
      </c>
      <c r="B5819" s="11" t="s">
        <v>115</v>
      </c>
      <c r="C5819" t="b">
        <v>1</v>
      </c>
      <c r="D5819" s="1">
        <v>43465</v>
      </c>
      <c r="E5819">
        <v>5</v>
      </c>
    </row>
    <row r="5820" spans="1:15" hidden="1" x14ac:dyDescent="0.25">
      <c r="A5820" t="s">
        <v>49</v>
      </c>
      <c r="B5820" s="11" t="s">
        <v>115</v>
      </c>
      <c r="C5820" t="b">
        <v>1</v>
      </c>
      <c r="D5820" s="1">
        <v>43465</v>
      </c>
      <c r="E5820">
        <v>5</v>
      </c>
    </row>
    <row r="5821" spans="1:15" hidden="1" x14ac:dyDescent="0.25">
      <c r="A5821" t="s">
        <v>50</v>
      </c>
      <c r="B5821" s="11" t="s">
        <v>115</v>
      </c>
      <c r="C5821" t="b">
        <v>1</v>
      </c>
      <c r="D5821" s="1">
        <v>43465</v>
      </c>
      <c r="E5821">
        <v>5</v>
      </c>
    </row>
    <row r="5822" spans="1:15" hidden="1" x14ac:dyDescent="0.25">
      <c r="A5822" t="s">
        <v>51</v>
      </c>
      <c r="B5822" s="11" t="s">
        <v>115</v>
      </c>
      <c r="C5822" t="b">
        <v>1</v>
      </c>
      <c r="D5822" s="1">
        <v>43465</v>
      </c>
      <c r="E5822">
        <v>5</v>
      </c>
    </row>
    <row r="5823" spans="1:15" hidden="1" x14ac:dyDescent="0.25">
      <c r="A5823" t="s">
        <v>52</v>
      </c>
      <c r="B5823" s="11" t="s">
        <v>115</v>
      </c>
      <c r="C5823" t="b">
        <v>1</v>
      </c>
      <c r="D5823" s="1">
        <v>43465</v>
      </c>
      <c r="E5823">
        <v>5</v>
      </c>
    </row>
    <row r="5824" spans="1:15" hidden="1" x14ac:dyDescent="0.25">
      <c r="A5824" t="s">
        <v>189</v>
      </c>
      <c r="B5824" s="11" t="s">
        <v>115</v>
      </c>
      <c r="C5824" t="b">
        <v>1</v>
      </c>
      <c r="D5824" s="1">
        <v>43465</v>
      </c>
      <c r="E5824">
        <v>5</v>
      </c>
    </row>
    <row r="5825" spans="1:10" hidden="1" x14ac:dyDescent="0.25">
      <c r="A5825" t="s">
        <v>190</v>
      </c>
      <c r="B5825" s="11" t="s">
        <v>115</v>
      </c>
      <c r="C5825" t="b">
        <v>1</v>
      </c>
      <c r="D5825" s="1">
        <v>43465</v>
      </c>
      <c r="E5825">
        <v>5</v>
      </c>
      <c r="F5825" s="13"/>
      <c r="G5825" s="13"/>
      <c r="H5825" s="13"/>
      <c r="I5825" s="13"/>
      <c r="J5825" s="13"/>
    </row>
    <row r="5826" spans="1:10" hidden="1" x14ac:dyDescent="0.25">
      <c r="A5826" t="s">
        <v>55</v>
      </c>
      <c r="B5826" s="11" t="s">
        <v>115</v>
      </c>
      <c r="C5826" t="b">
        <v>1</v>
      </c>
      <c r="D5826" s="1">
        <v>43465</v>
      </c>
      <c r="E5826">
        <v>5</v>
      </c>
    </row>
    <row r="5827" spans="1:10" hidden="1" x14ac:dyDescent="0.25">
      <c r="A5827" t="s">
        <v>58</v>
      </c>
      <c r="B5827" s="11" t="s">
        <v>115</v>
      </c>
      <c r="C5827" t="b">
        <v>1</v>
      </c>
      <c r="D5827" s="1">
        <v>43465</v>
      </c>
      <c r="E5827">
        <v>5</v>
      </c>
    </row>
    <row r="5828" spans="1:10" hidden="1" x14ac:dyDescent="0.25">
      <c r="A5828" t="s">
        <v>144</v>
      </c>
      <c r="B5828" s="11" t="s">
        <v>115</v>
      </c>
      <c r="C5828" t="b">
        <v>1</v>
      </c>
      <c r="D5828" s="1">
        <v>43465</v>
      </c>
      <c r="E5828">
        <v>5</v>
      </c>
      <c r="F5828" s="13"/>
      <c r="G5828" s="13"/>
      <c r="H5828" s="13"/>
      <c r="I5828" s="13"/>
      <c r="J5828" s="13"/>
    </row>
    <row r="5829" spans="1:10" hidden="1" x14ac:dyDescent="0.25">
      <c r="A5829" t="s">
        <v>149</v>
      </c>
      <c r="B5829" s="11" t="s">
        <v>115</v>
      </c>
      <c r="C5829" t="b">
        <v>1</v>
      </c>
      <c r="D5829" s="1">
        <v>43465</v>
      </c>
      <c r="E5829">
        <v>5</v>
      </c>
    </row>
    <row r="5830" spans="1:10" hidden="1" x14ac:dyDescent="0.25">
      <c r="A5830" t="s">
        <v>65</v>
      </c>
      <c r="B5830" s="11" t="s">
        <v>115</v>
      </c>
      <c r="C5830" t="b">
        <v>1</v>
      </c>
      <c r="D5830" s="1">
        <v>43465</v>
      </c>
      <c r="E5830">
        <v>5</v>
      </c>
    </row>
    <row r="5831" spans="1:10" hidden="1" x14ac:dyDescent="0.25">
      <c r="A5831" t="s">
        <v>66</v>
      </c>
      <c r="B5831" s="11" t="s">
        <v>115</v>
      </c>
      <c r="C5831" t="b">
        <v>1</v>
      </c>
      <c r="D5831" s="1">
        <v>43465</v>
      </c>
      <c r="E5831">
        <v>5</v>
      </c>
    </row>
    <row r="5832" spans="1:10" hidden="1" x14ac:dyDescent="0.25">
      <c r="A5832" t="s">
        <v>146</v>
      </c>
      <c r="B5832" s="11" t="s">
        <v>115</v>
      </c>
      <c r="C5832" t="b">
        <v>1</v>
      </c>
      <c r="D5832" s="1">
        <v>43465</v>
      </c>
      <c r="E5832">
        <f>1+4</f>
        <v>5</v>
      </c>
    </row>
    <row r="5833" spans="1:10" ht="17.25" hidden="1" customHeight="1" x14ac:dyDescent="0.25">
      <c r="A5833" t="s">
        <v>75</v>
      </c>
      <c r="B5833" s="11" t="s">
        <v>115</v>
      </c>
      <c r="C5833" t="b">
        <v>1</v>
      </c>
      <c r="D5833" s="1">
        <v>43465</v>
      </c>
      <c r="E5833">
        <v>5</v>
      </c>
    </row>
    <row r="5834" spans="1:10" hidden="1" x14ac:dyDescent="0.25">
      <c r="A5834" t="s">
        <v>76</v>
      </c>
      <c r="B5834" s="11" t="s">
        <v>115</v>
      </c>
      <c r="C5834" t="b">
        <v>1</v>
      </c>
      <c r="D5834" s="1">
        <v>43465</v>
      </c>
      <c r="E5834">
        <v>1E-3</v>
      </c>
    </row>
    <row r="5835" spans="1:10" hidden="1" x14ac:dyDescent="0.25">
      <c r="A5835" t="s">
        <v>147</v>
      </c>
      <c r="B5835" s="11" t="s">
        <v>115</v>
      </c>
      <c r="C5835" t="b">
        <v>1</v>
      </c>
      <c r="D5835" s="1">
        <v>43465</v>
      </c>
      <c r="E5835">
        <v>5</v>
      </c>
    </row>
    <row r="5836" spans="1:10" hidden="1" x14ac:dyDescent="0.25">
      <c r="A5836" t="s">
        <v>82</v>
      </c>
      <c r="B5836" s="11" t="s">
        <v>115</v>
      </c>
      <c r="C5836" t="b">
        <v>1</v>
      </c>
      <c r="D5836" s="1">
        <v>43465</v>
      </c>
      <c r="E5836">
        <v>5</v>
      </c>
    </row>
    <row r="5837" spans="1:10" hidden="1" x14ac:dyDescent="0.25">
      <c r="A5837" t="s">
        <v>84</v>
      </c>
      <c r="B5837" s="11" t="s">
        <v>115</v>
      </c>
      <c r="C5837" t="b">
        <v>1</v>
      </c>
      <c r="D5837" s="1">
        <v>43465</v>
      </c>
      <c r="E5837">
        <v>5</v>
      </c>
    </row>
    <row r="5838" spans="1:10" hidden="1" x14ac:dyDescent="0.25">
      <c r="A5838" t="s">
        <v>83</v>
      </c>
      <c r="B5838" s="11" t="s">
        <v>115</v>
      </c>
      <c r="C5838" t="b">
        <v>1</v>
      </c>
      <c r="D5838" s="1">
        <v>43465</v>
      </c>
      <c r="E5838">
        <v>5</v>
      </c>
    </row>
    <row r="5839" spans="1:10" hidden="1" x14ac:dyDescent="0.25">
      <c r="A5839" t="s">
        <v>88</v>
      </c>
      <c r="B5839" s="11" t="s">
        <v>115</v>
      </c>
      <c r="C5839" t="b">
        <v>1</v>
      </c>
      <c r="D5839" s="1">
        <v>43465</v>
      </c>
      <c r="E5839">
        <v>5</v>
      </c>
    </row>
    <row r="5840" spans="1:10" hidden="1" x14ac:dyDescent="0.25">
      <c r="A5840" t="s">
        <v>87</v>
      </c>
      <c r="B5840" s="11" t="s">
        <v>115</v>
      </c>
      <c r="C5840" t="b">
        <v>1</v>
      </c>
      <c r="D5840" s="1">
        <v>43465</v>
      </c>
      <c r="E5840">
        <v>5</v>
      </c>
    </row>
    <row r="5841" spans="1:15" hidden="1" x14ac:dyDescent="0.25">
      <c r="A5841" t="s">
        <v>93</v>
      </c>
      <c r="B5841" s="11" t="s">
        <v>115</v>
      </c>
      <c r="C5841" t="b">
        <v>1</v>
      </c>
      <c r="D5841" s="1">
        <v>43465</v>
      </c>
      <c r="E5841">
        <v>5</v>
      </c>
    </row>
    <row r="5842" spans="1:15" hidden="1" x14ac:dyDescent="0.25">
      <c r="A5842" t="s">
        <v>148</v>
      </c>
      <c r="B5842" s="11" t="s">
        <v>115</v>
      </c>
      <c r="C5842" t="b">
        <v>1</v>
      </c>
      <c r="D5842" s="1">
        <v>43465</v>
      </c>
      <c r="E5842">
        <v>5</v>
      </c>
    </row>
    <row r="5843" spans="1:15" hidden="1" x14ac:dyDescent="0.25">
      <c r="A5843" t="s">
        <v>94</v>
      </c>
      <c r="B5843" s="11" t="s">
        <v>115</v>
      </c>
      <c r="C5843" t="b">
        <v>1</v>
      </c>
      <c r="D5843" s="1">
        <v>43465</v>
      </c>
      <c r="E5843">
        <v>5</v>
      </c>
    </row>
    <row r="5844" spans="1:15" hidden="1" x14ac:dyDescent="0.25">
      <c r="A5844" t="s">
        <v>96</v>
      </c>
      <c r="B5844" s="11" t="s">
        <v>115</v>
      </c>
      <c r="C5844" t="b">
        <v>1</v>
      </c>
      <c r="D5844" s="1">
        <v>43465</v>
      </c>
      <c r="E5844">
        <v>5</v>
      </c>
    </row>
    <row r="5845" spans="1:15" hidden="1" x14ac:dyDescent="0.25">
      <c r="A5845" t="s">
        <v>98</v>
      </c>
      <c r="B5845" s="11" t="s">
        <v>115</v>
      </c>
      <c r="C5845" t="b">
        <v>1</v>
      </c>
      <c r="D5845" s="1">
        <v>43465</v>
      </c>
      <c r="E5845">
        <v>5</v>
      </c>
      <c r="F5845" s="13"/>
      <c r="G5845" s="13"/>
      <c r="H5845" s="13"/>
      <c r="I5845" s="13"/>
      <c r="J5845" s="13"/>
    </row>
    <row r="5846" spans="1:15" hidden="1" x14ac:dyDescent="0.25">
      <c r="A5846" t="s">
        <v>97</v>
      </c>
      <c r="B5846" s="11" t="s">
        <v>115</v>
      </c>
      <c r="C5846" t="b">
        <v>1</v>
      </c>
      <c r="D5846" s="1">
        <v>43465</v>
      </c>
      <c r="E5846">
        <v>5</v>
      </c>
    </row>
    <row r="5847" spans="1:15" hidden="1" x14ac:dyDescent="0.25">
      <c r="A5847" t="s">
        <v>99</v>
      </c>
      <c r="B5847" s="11" t="s">
        <v>114</v>
      </c>
      <c r="C5847" t="b">
        <v>1</v>
      </c>
      <c r="D5847" s="1">
        <v>43465</v>
      </c>
      <c r="E5847" s="12">
        <f>SUM(K5847:O5847)</f>
        <v>11.91</v>
      </c>
      <c r="F5847" s="15">
        <f>2+1+1+1+3</f>
        <v>8</v>
      </c>
      <c r="G5847" s="15">
        <f>3+4+1+2+3</f>
        <v>13</v>
      </c>
      <c r="H5847" s="15">
        <f>3+1</f>
        <v>4</v>
      </c>
      <c r="I5847" s="15">
        <f>2+3</f>
        <v>5</v>
      </c>
      <c r="J5847" s="15">
        <f>1</f>
        <v>1</v>
      </c>
      <c r="K5847" s="14">
        <f>F5847*K$1</f>
        <v>8</v>
      </c>
      <c r="L5847" s="14">
        <f>G5847*L$1</f>
        <v>3.25</v>
      </c>
      <c r="M5847" s="14">
        <f>H5847*M$1</f>
        <v>0.4</v>
      </c>
      <c r="N5847" s="14">
        <f>I5847*N$1</f>
        <v>0.25</v>
      </c>
      <c r="O5847" s="14">
        <f>J5847*O$1</f>
        <v>0.01</v>
      </c>
    </row>
    <row r="5848" spans="1:15" x14ac:dyDescent="0.25">
      <c r="A5848" t="s">
        <v>100</v>
      </c>
      <c r="B5848" s="11" t="s">
        <v>117</v>
      </c>
      <c r="C5848" t="b">
        <v>1</v>
      </c>
      <c r="D5848" s="1">
        <v>43496</v>
      </c>
      <c r="E5848" s="2">
        <f>-1*(8*9.79)</f>
        <v>-78.319999999999993</v>
      </c>
    </row>
    <row r="5849" spans="1:15" x14ac:dyDescent="0.25">
      <c r="A5849" t="s">
        <v>104</v>
      </c>
      <c r="B5849" s="11" t="s">
        <v>117</v>
      </c>
      <c r="C5849" t="b">
        <v>1</v>
      </c>
      <c r="D5849" s="1">
        <v>43496</v>
      </c>
      <c r="E5849">
        <v>-5</v>
      </c>
    </row>
    <row r="5850" spans="1:15" x14ac:dyDescent="0.25">
      <c r="A5850" t="s">
        <v>102</v>
      </c>
      <c r="B5850" s="11" t="s">
        <v>117</v>
      </c>
      <c r="C5850" t="b">
        <v>1</v>
      </c>
      <c r="D5850" s="1">
        <v>43496</v>
      </c>
      <c r="E5850">
        <f>-1*((3.18*1)+(3*5.99)+3+2.99)</f>
        <v>-27.14</v>
      </c>
    </row>
    <row r="5851" spans="1:15" x14ac:dyDescent="0.25">
      <c r="A5851" t="s">
        <v>103</v>
      </c>
      <c r="B5851" s="11" t="s">
        <v>117</v>
      </c>
      <c r="C5851" t="b">
        <v>1</v>
      </c>
      <c r="D5851" s="1">
        <v>43496</v>
      </c>
      <c r="E5851" s="2">
        <f>2*-1.99</f>
        <v>-3.98</v>
      </c>
    </row>
    <row r="5852" spans="1:15" x14ac:dyDescent="0.25">
      <c r="A5852" t="s">
        <v>101</v>
      </c>
      <c r="B5852" s="11" t="s">
        <v>117</v>
      </c>
      <c r="C5852" t="b">
        <v>1</v>
      </c>
      <c r="D5852" s="1">
        <v>43496</v>
      </c>
      <c r="E5852" s="21">
        <f>-9.29+2-5</f>
        <v>-12.29</v>
      </c>
    </row>
    <row r="5853" spans="1:15" hidden="1" x14ac:dyDescent="0.25">
      <c r="A5853" t="s">
        <v>47</v>
      </c>
      <c r="B5853" s="11" t="s">
        <v>115</v>
      </c>
      <c r="C5853" t="b">
        <v>0</v>
      </c>
      <c r="D5853" s="1">
        <v>43496</v>
      </c>
      <c r="E5853">
        <v>5</v>
      </c>
    </row>
    <row r="5854" spans="1:15" x14ac:dyDescent="0.25">
      <c r="A5854" t="s">
        <v>43</v>
      </c>
      <c r="B5854" s="11" t="s">
        <v>115</v>
      </c>
      <c r="C5854" t="b">
        <v>1</v>
      </c>
      <c r="D5854" s="1">
        <v>43496</v>
      </c>
      <c r="E5854">
        <v>5</v>
      </c>
    </row>
    <row r="5855" spans="1:15" x14ac:dyDescent="0.25">
      <c r="A5855" t="s">
        <v>48</v>
      </c>
      <c r="B5855" s="11" t="s">
        <v>115</v>
      </c>
      <c r="C5855" t="b">
        <v>1</v>
      </c>
      <c r="D5855" s="1">
        <v>43496</v>
      </c>
      <c r="E5855">
        <v>5</v>
      </c>
    </row>
    <row r="5856" spans="1:15" x14ac:dyDescent="0.25">
      <c r="A5856" t="s">
        <v>49</v>
      </c>
      <c r="B5856" s="11" t="s">
        <v>115</v>
      </c>
      <c r="C5856" t="b">
        <v>1</v>
      </c>
      <c r="D5856" s="1">
        <v>43496</v>
      </c>
      <c r="E5856">
        <v>5</v>
      </c>
    </row>
    <row r="5857" spans="1:10" x14ac:dyDescent="0.25">
      <c r="A5857" t="s">
        <v>50</v>
      </c>
      <c r="B5857" s="11" t="s">
        <v>115</v>
      </c>
      <c r="C5857" t="b">
        <v>1</v>
      </c>
      <c r="D5857" s="1">
        <v>43496</v>
      </c>
      <c r="E5857">
        <v>5</v>
      </c>
    </row>
    <row r="5858" spans="1:10" x14ac:dyDescent="0.25">
      <c r="A5858" t="s">
        <v>51</v>
      </c>
      <c r="B5858" s="11" t="s">
        <v>115</v>
      </c>
      <c r="C5858" t="b">
        <v>1</v>
      </c>
      <c r="D5858" s="1">
        <v>43496</v>
      </c>
      <c r="E5858">
        <v>5</v>
      </c>
    </row>
    <row r="5859" spans="1:10" x14ac:dyDescent="0.25">
      <c r="A5859" t="s">
        <v>52</v>
      </c>
      <c r="B5859" s="11" t="s">
        <v>115</v>
      </c>
      <c r="C5859" t="b">
        <v>1</v>
      </c>
      <c r="D5859" s="1">
        <v>43496</v>
      </c>
      <c r="E5859">
        <v>5</v>
      </c>
    </row>
    <row r="5860" spans="1:10" hidden="1" x14ac:dyDescent="0.25">
      <c r="A5860" t="s">
        <v>189</v>
      </c>
      <c r="B5860" s="11" t="s">
        <v>115</v>
      </c>
      <c r="C5860" t="b">
        <v>0</v>
      </c>
      <c r="D5860" s="1">
        <v>43496</v>
      </c>
      <c r="E5860">
        <v>5</v>
      </c>
    </row>
    <row r="5861" spans="1:10" x14ac:dyDescent="0.25">
      <c r="A5861" t="s">
        <v>190</v>
      </c>
      <c r="B5861" s="11" t="s">
        <v>115</v>
      </c>
      <c r="C5861" t="b">
        <v>1</v>
      </c>
      <c r="D5861" s="1">
        <v>43496</v>
      </c>
      <c r="E5861">
        <v>5</v>
      </c>
      <c r="F5861" s="13"/>
      <c r="G5861" s="13"/>
      <c r="H5861" s="13"/>
      <c r="I5861" s="13"/>
      <c r="J5861" s="13"/>
    </row>
    <row r="5862" spans="1:10" x14ac:dyDescent="0.25">
      <c r="A5862" t="s">
        <v>55</v>
      </c>
      <c r="B5862" s="11" t="s">
        <v>115</v>
      </c>
      <c r="C5862" t="b">
        <v>1</v>
      </c>
      <c r="D5862" s="1">
        <v>43496</v>
      </c>
      <c r="E5862">
        <v>5</v>
      </c>
    </row>
    <row r="5863" spans="1:10" x14ac:dyDescent="0.25">
      <c r="A5863" t="s">
        <v>58</v>
      </c>
      <c r="B5863" s="11" t="s">
        <v>115</v>
      </c>
      <c r="C5863" t="b">
        <v>1</v>
      </c>
      <c r="D5863" s="1">
        <v>43496</v>
      </c>
      <c r="E5863">
        <v>5</v>
      </c>
    </row>
    <row r="5864" spans="1:10" x14ac:dyDescent="0.25">
      <c r="A5864" t="s">
        <v>144</v>
      </c>
      <c r="B5864" s="11" t="s">
        <v>115</v>
      </c>
      <c r="C5864" t="b">
        <v>1</v>
      </c>
      <c r="D5864" s="1">
        <v>43496</v>
      </c>
      <c r="E5864">
        <v>5</v>
      </c>
      <c r="F5864" s="13"/>
      <c r="G5864" s="13"/>
      <c r="H5864" s="13"/>
      <c r="I5864" s="13"/>
      <c r="J5864" s="13"/>
    </row>
    <row r="5865" spans="1:10" x14ac:dyDescent="0.25">
      <c r="A5865" t="s">
        <v>149</v>
      </c>
      <c r="B5865" s="11" t="s">
        <v>115</v>
      </c>
      <c r="C5865" t="b">
        <v>1</v>
      </c>
      <c r="D5865" s="1">
        <v>43496</v>
      </c>
      <c r="E5865">
        <v>5</v>
      </c>
    </row>
    <row r="5866" spans="1:10" x14ac:dyDescent="0.25">
      <c r="A5866" t="s">
        <v>65</v>
      </c>
      <c r="B5866" s="11" t="s">
        <v>115</v>
      </c>
      <c r="C5866" t="b">
        <v>1</v>
      </c>
      <c r="D5866" s="1">
        <v>43496</v>
      </c>
      <c r="E5866">
        <v>5</v>
      </c>
    </row>
    <row r="5867" spans="1:10" x14ac:dyDescent="0.25">
      <c r="A5867" t="s">
        <v>66</v>
      </c>
      <c r="B5867" s="11" t="s">
        <v>115</v>
      </c>
      <c r="C5867" t="b">
        <v>1</v>
      </c>
      <c r="D5867" s="1">
        <v>43496</v>
      </c>
      <c r="E5867">
        <v>5</v>
      </c>
    </row>
    <row r="5868" spans="1:10" x14ac:dyDescent="0.25">
      <c r="A5868" t="s">
        <v>146</v>
      </c>
      <c r="B5868" s="11" t="s">
        <v>115</v>
      </c>
      <c r="C5868" t="b">
        <v>1</v>
      </c>
      <c r="D5868" s="1">
        <v>43496</v>
      </c>
      <c r="E5868">
        <f>1+4</f>
        <v>5</v>
      </c>
    </row>
    <row r="5869" spans="1:10" x14ac:dyDescent="0.25">
      <c r="A5869" t="s">
        <v>75</v>
      </c>
      <c r="B5869" s="11" t="s">
        <v>115</v>
      </c>
      <c r="C5869" t="b">
        <v>1</v>
      </c>
      <c r="D5869" s="1">
        <v>43496</v>
      </c>
      <c r="E5869">
        <v>5</v>
      </c>
    </row>
    <row r="5870" spans="1:10" x14ac:dyDescent="0.25">
      <c r="A5870" t="s">
        <v>76</v>
      </c>
      <c r="B5870" s="11" t="s">
        <v>115</v>
      </c>
      <c r="C5870" t="b">
        <v>1</v>
      </c>
      <c r="D5870" s="1">
        <v>43496</v>
      </c>
      <c r="E5870">
        <v>1E-3</v>
      </c>
    </row>
    <row r="5871" spans="1:10" x14ac:dyDescent="0.25">
      <c r="A5871" t="s">
        <v>147</v>
      </c>
      <c r="B5871" s="11" t="s">
        <v>115</v>
      </c>
      <c r="C5871" t="b">
        <v>1</v>
      </c>
      <c r="D5871" s="1">
        <v>43496</v>
      </c>
      <c r="E5871">
        <v>5</v>
      </c>
    </row>
    <row r="5872" spans="1:10" x14ac:dyDescent="0.25">
      <c r="A5872" t="s">
        <v>82</v>
      </c>
      <c r="B5872" s="11" t="s">
        <v>115</v>
      </c>
      <c r="C5872" t="b">
        <v>1</v>
      </c>
      <c r="D5872" s="1">
        <v>43496</v>
      </c>
      <c r="E5872">
        <v>5</v>
      </c>
    </row>
    <row r="5873" spans="1:15" x14ac:dyDescent="0.25">
      <c r="A5873" t="s">
        <v>84</v>
      </c>
      <c r="B5873" s="11" t="s">
        <v>115</v>
      </c>
      <c r="C5873" t="b">
        <v>1</v>
      </c>
      <c r="D5873" s="1">
        <v>43496</v>
      </c>
      <c r="E5873">
        <v>5</v>
      </c>
    </row>
    <row r="5874" spans="1:15" x14ac:dyDescent="0.25">
      <c r="A5874" t="s">
        <v>83</v>
      </c>
      <c r="B5874" s="11" t="s">
        <v>115</v>
      </c>
      <c r="C5874" t="b">
        <v>1</v>
      </c>
      <c r="D5874" s="1">
        <v>43496</v>
      </c>
      <c r="E5874">
        <v>1.0000000000000001E-5</v>
      </c>
      <c r="F5874" s="19"/>
    </row>
    <row r="5875" spans="1:15" x14ac:dyDescent="0.25">
      <c r="A5875" t="s">
        <v>88</v>
      </c>
      <c r="B5875" s="11" t="s">
        <v>115</v>
      </c>
      <c r="C5875" t="b">
        <v>1</v>
      </c>
      <c r="D5875" s="1">
        <v>43496</v>
      </c>
      <c r="E5875">
        <v>5</v>
      </c>
    </row>
    <row r="5876" spans="1:15" x14ac:dyDescent="0.25">
      <c r="A5876" t="s">
        <v>87</v>
      </c>
      <c r="B5876" s="11" t="s">
        <v>115</v>
      </c>
      <c r="C5876" t="b">
        <v>1</v>
      </c>
      <c r="D5876" s="1">
        <v>43496</v>
      </c>
      <c r="E5876">
        <v>5</v>
      </c>
    </row>
    <row r="5877" spans="1:15" x14ac:dyDescent="0.25">
      <c r="A5877" t="s">
        <v>93</v>
      </c>
      <c r="B5877" s="11" t="s">
        <v>115</v>
      </c>
      <c r="C5877" t="b">
        <v>1</v>
      </c>
      <c r="D5877" s="1">
        <v>43496</v>
      </c>
      <c r="E5877">
        <v>5</v>
      </c>
    </row>
    <row r="5878" spans="1:15" x14ac:dyDescent="0.25">
      <c r="A5878" t="s">
        <v>148</v>
      </c>
      <c r="B5878" s="11" t="s">
        <v>115</v>
      </c>
      <c r="C5878" t="b">
        <v>1</v>
      </c>
      <c r="D5878" s="1">
        <v>43496</v>
      </c>
      <c r="E5878">
        <v>5</v>
      </c>
    </row>
    <row r="5879" spans="1:15" hidden="1" x14ac:dyDescent="0.25">
      <c r="A5879" t="s">
        <v>94</v>
      </c>
      <c r="B5879" s="11" t="s">
        <v>115</v>
      </c>
      <c r="C5879" t="b">
        <v>0</v>
      </c>
      <c r="D5879" s="1">
        <v>43496</v>
      </c>
      <c r="E5879">
        <v>5</v>
      </c>
    </row>
    <row r="5880" spans="1:15" x14ac:dyDescent="0.25">
      <c r="A5880" t="s">
        <v>96</v>
      </c>
      <c r="B5880" s="11" t="s">
        <v>115</v>
      </c>
      <c r="C5880" t="b">
        <v>1</v>
      </c>
      <c r="D5880" s="1">
        <v>43496</v>
      </c>
      <c r="E5880">
        <v>5</v>
      </c>
    </row>
    <row r="5881" spans="1:15" x14ac:dyDescent="0.25">
      <c r="A5881" t="s">
        <v>98</v>
      </c>
      <c r="B5881" s="11" t="s">
        <v>115</v>
      </c>
      <c r="C5881" t="b">
        <v>1</v>
      </c>
      <c r="D5881" s="1">
        <v>43496</v>
      </c>
      <c r="E5881">
        <v>5</v>
      </c>
      <c r="F5881" s="13"/>
      <c r="G5881" s="13"/>
      <c r="H5881" s="13"/>
      <c r="I5881" s="13"/>
      <c r="J5881" s="13"/>
    </row>
    <row r="5882" spans="1:15" x14ac:dyDescent="0.25">
      <c r="A5882" t="s">
        <v>97</v>
      </c>
      <c r="B5882" s="11" t="s">
        <v>115</v>
      </c>
      <c r="C5882" t="b">
        <v>1</v>
      </c>
      <c r="D5882" s="1">
        <v>43496</v>
      </c>
      <c r="E5882">
        <v>5</v>
      </c>
    </row>
    <row r="5883" spans="1:15" x14ac:dyDescent="0.25">
      <c r="A5883" t="s">
        <v>99</v>
      </c>
      <c r="B5883" s="11" t="s">
        <v>114</v>
      </c>
      <c r="C5883" t="b">
        <v>1</v>
      </c>
      <c r="D5883" s="1">
        <v>43496</v>
      </c>
      <c r="E5883" s="12">
        <f>SUM(K5883:O5883)</f>
        <v>13.110000000000001</v>
      </c>
      <c r="F5883" s="15">
        <f>1+1+3+1+1+1</f>
        <v>8</v>
      </c>
      <c r="G5883" s="15">
        <f>3+4+3+3+5</f>
        <v>18</v>
      </c>
      <c r="H5883" s="15">
        <f>2+1</f>
        <v>3</v>
      </c>
      <c r="I5883" s="15">
        <f>1+3+2</f>
        <v>6</v>
      </c>
      <c r="J5883" s="15">
        <v>1</v>
      </c>
      <c r="K5883" s="14">
        <f>F5883*K$1</f>
        <v>8</v>
      </c>
      <c r="L5883" s="14">
        <f>G5883*L$1</f>
        <v>4.5</v>
      </c>
      <c r="M5883" s="14">
        <f>H5883*M$1</f>
        <v>0.30000000000000004</v>
      </c>
      <c r="N5883" s="14">
        <f>I5883*N$1</f>
        <v>0.30000000000000004</v>
      </c>
      <c r="O5883" s="14">
        <f>J5883*O$1</f>
        <v>0.01</v>
      </c>
    </row>
    <row r="5884" spans="1:15" x14ac:dyDescent="0.25">
      <c r="A5884" t="s">
        <v>100</v>
      </c>
      <c r="B5884" s="11" t="s">
        <v>117</v>
      </c>
      <c r="C5884" t="b">
        <v>1</v>
      </c>
      <c r="D5884" s="1">
        <v>43524</v>
      </c>
      <c r="E5884" s="2">
        <f>-1*(8*9.79)</f>
        <v>-78.319999999999993</v>
      </c>
    </row>
    <row r="5885" spans="1:15" x14ac:dyDescent="0.25">
      <c r="A5885" t="s">
        <v>104</v>
      </c>
      <c r="B5885" s="11" t="s">
        <v>117</v>
      </c>
      <c r="C5885" t="b">
        <v>1</v>
      </c>
      <c r="D5885" s="1">
        <v>43524</v>
      </c>
      <c r="E5885">
        <f>-5-8.98</f>
        <v>-13.98</v>
      </c>
    </row>
    <row r="5886" spans="1:15" x14ac:dyDescent="0.25">
      <c r="A5886" t="s">
        <v>102</v>
      </c>
      <c r="B5886" s="11" t="s">
        <v>117</v>
      </c>
      <c r="C5886" t="b">
        <v>1</v>
      </c>
      <c r="D5886" s="1">
        <v>43524</v>
      </c>
      <c r="E5886">
        <f>-1*((3.18*3)+(3.69*1)+(4*8.79)+(2*5.99)+(6.39))</f>
        <v>-66.760000000000005</v>
      </c>
    </row>
    <row r="5887" spans="1:15" x14ac:dyDescent="0.25">
      <c r="A5887" t="s">
        <v>103</v>
      </c>
      <c r="B5887" s="11" t="s">
        <v>117</v>
      </c>
      <c r="C5887" t="b">
        <v>1</v>
      </c>
      <c r="D5887" s="1">
        <v>43524</v>
      </c>
      <c r="E5887" s="2">
        <f>-2.99-25.5</f>
        <v>-28.490000000000002</v>
      </c>
    </row>
    <row r="5888" spans="1:15" x14ac:dyDescent="0.25">
      <c r="A5888" t="s">
        <v>101</v>
      </c>
      <c r="B5888" s="11" t="s">
        <v>117</v>
      </c>
      <c r="C5888" t="b">
        <v>1</v>
      </c>
      <c r="D5888" s="1">
        <v>43524</v>
      </c>
      <c r="E5888" s="21">
        <f>-2.69</f>
        <v>-2.69</v>
      </c>
    </row>
    <row r="5889" spans="1:10" hidden="1" x14ac:dyDescent="0.25">
      <c r="A5889" t="s">
        <v>47</v>
      </c>
      <c r="B5889" s="11" t="s">
        <v>115</v>
      </c>
      <c r="C5889" t="b">
        <v>0</v>
      </c>
      <c r="D5889" s="1">
        <v>43524</v>
      </c>
      <c r="E5889">
        <v>5</v>
      </c>
    </row>
    <row r="5890" spans="1:10" x14ac:dyDescent="0.25">
      <c r="A5890" t="s">
        <v>43</v>
      </c>
      <c r="B5890" s="11" t="s">
        <v>115</v>
      </c>
      <c r="C5890" t="b">
        <v>1</v>
      </c>
      <c r="D5890" s="1">
        <v>43524</v>
      </c>
      <c r="E5890">
        <v>5</v>
      </c>
    </row>
    <row r="5891" spans="1:10" ht="15.75" customHeight="1" x14ac:dyDescent="0.25">
      <c r="A5891" t="s">
        <v>48</v>
      </c>
      <c r="B5891" s="11" t="s">
        <v>115</v>
      </c>
      <c r="C5891" t="b">
        <v>1</v>
      </c>
      <c r="D5891" s="1">
        <v>43524</v>
      </c>
      <c r="E5891">
        <v>5</v>
      </c>
    </row>
    <row r="5892" spans="1:10" x14ac:dyDescent="0.25">
      <c r="A5892" t="s">
        <v>49</v>
      </c>
      <c r="B5892" s="11" t="s">
        <v>115</v>
      </c>
      <c r="C5892" t="b">
        <v>1</v>
      </c>
      <c r="D5892" s="1">
        <v>43524</v>
      </c>
      <c r="E5892">
        <v>5</v>
      </c>
    </row>
    <row r="5893" spans="1:10" x14ac:dyDescent="0.25">
      <c r="A5893" t="s">
        <v>50</v>
      </c>
      <c r="B5893" s="11" t="s">
        <v>115</v>
      </c>
      <c r="C5893" t="b">
        <v>1</v>
      </c>
      <c r="D5893" s="1">
        <v>43524</v>
      </c>
      <c r="E5893">
        <v>5</v>
      </c>
    </row>
    <row r="5894" spans="1:10" x14ac:dyDescent="0.25">
      <c r="A5894" t="s">
        <v>51</v>
      </c>
      <c r="B5894" s="11" t="s">
        <v>115</v>
      </c>
      <c r="C5894" t="b">
        <v>1</v>
      </c>
      <c r="D5894" s="1">
        <v>43524</v>
      </c>
      <c r="E5894">
        <v>5</v>
      </c>
    </row>
    <row r="5895" spans="1:10" x14ac:dyDescent="0.25">
      <c r="A5895" t="s">
        <v>52</v>
      </c>
      <c r="B5895" s="11" t="s">
        <v>115</v>
      </c>
      <c r="C5895" t="b">
        <v>1</v>
      </c>
      <c r="D5895" s="1">
        <v>43524</v>
      </c>
      <c r="E5895">
        <v>5</v>
      </c>
    </row>
    <row r="5896" spans="1:10" hidden="1" x14ac:dyDescent="0.25">
      <c r="A5896" t="s">
        <v>189</v>
      </c>
      <c r="B5896" s="11" t="s">
        <v>115</v>
      </c>
      <c r="C5896" t="b">
        <v>0</v>
      </c>
      <c r="D5896" s="1">
        <v>43524</v>
      </c>
      <c r="E5896">
        <v>5</v>
      </c>
    </row>
    <row r="5897" spans="1:10" x14ac:dyDescent="0.25">
      <c r="A5897" t="s">
        <v>190</v>
      </c>
      <c r="B5897" s="11" t="s">
        <v>115</v>
      </c>
      <c r="C5897" t="b">
        <v>1</v>
      </c>
      <c r="D5897" s="1">
        <v>43524</v>
      </c>
      <c r="E5897">
        <v>5</v>
      </c>
      <c r="F5897" s="13"/>
      <c r="G5897" s="13"/>
      <c r="H5897" s="13"/>
      <c r="I5897" s="13"/>
      <c r="J5897" s="13"/>
    </row>
    <row r="5898" spans="1:10" x14ac:dyDescent="0.25">
      <c r="A5898" t="s">
        <v>55</v>
      </c>
      <c r="B5898" s="11" t="s">
        <v>115</v>
      </c>
      <c r="C5898" t="b">
        <v>1</v>
      </c>
      <c r="D5898" s="1">
        <v>43524</v>
      </c>
      <c r="E5898">
        <v>5</v>
      </c>
    </row>
    <row r="5899" spans="1:10" x14ac:dyDescent="0.25">
      <c r="A5899" t="s">
        <v>58</v>
      </c>
      <c r="B5899" s="11" t="s">
        <v>115</v>
      </c>
      <c r="C5899" t="b">
        <v>1</v>
      </c>
      <c r="D5899" s="1">
        <v>43524</v>
      </c>
      <c r="E5899">
        <v>5</v>
      </c>
    </row>
    <row r="5900" spans="1:10" x14ac:dyDescent="0.25">
      <c r="A5900" t="s">
        <v>144</v>
      </c>
      <c r="B5900" s="11" t="s">
        <v>115</v>
      </c>
      <c r="C5900" t="b">
        <v>1</v>
      </c>
      <c r="D5900" s="1">
        <v>43524</v>
      </c>
      <c r="E5900">
        <v>5</v>
      </c>
      <c r="F5900" s="13"/>
      <c r="G5900" s="13"/>
      <c r="H5900" s="13"/>
      <c r="I5900" s="13"/>
      <c r="J5900" s="13"/>
    </row>
    <row r="5901" spans="1:10" x14ac:dyDescent="0.25">
      <c r="A5901" t="s">
        <v>149</v>
      </c>
      <c r="B5901" s="11" t="s">
        <v>115</v>
      </c>
      <c r="C5901" t="b">
        <v>1</v>
      </c>
      <c r="D5901" s="1">
        <v>43524</v>
      </c>
      <c r="E5901">
        <v>5</v>
      </c>
    </row>
    <row r="5902" spans="1:10" x14ac:dyDescent="0.25">
      <c r="A5902" t="s">
        <v>65</v>
      </c>
      <c r="B5902" s="11" t="s">
        <v>115</v>
      </c>
      <c r="C5902" t="b">
        <v>1</v>
      </c>
      <c r="D5902" s="1">
        <v>43524</v>
      </c>
      <c r="E5902">
        <v>5</v>
      </c>
    </row>
    <row r="5903" spans="1:10" x14ac:dyDescent="0.25">
      <c r="A5903" t="s">
        <v>66</v>
      </c>
      <c r="B5903" s="11" t="s">
        <v>115</v>
      </c>
      <c r="C5903" t="b">
        <v>1</v>
      </c>
      <c r="D5903" s="1">
        <v>43524</v>
      </c>
      <c r="E5903">
        <v>5</v>
      </c>
    </row>
    <row r="5904" spans="1:10" x14ac:dyDescent="0.25">
      <c r="A5904" t="s">
        <v>146</v>
      </c>
      <c r="B5904" s="11" t="s">
        <v>115</v>
      </c>
      <c r="C5904" t="b">
        <v>1</v>
      </c>
      <c r="D5904" s="1">
        <v>43524</v>
      </c>
      <c r="E5904">
        <f>1+4</f>
        <v>5</v>
      </c>
    </row>
    <row r="5905" spans="1:15" x14ac:dyDescent="0.25">
      <c r="A5905" t="s">
        <v>75</v>
      </c>
      <c r="B5905" s="11" t="s">
        <v>115</v>
      </c>
      <c r="C5905" t="b">
        <v>1</v>
      </c>
      <c r="D5905" s="1">
        <v>43524</v>
      </c>
      <c r="E5905">
        <v>5</v>
      </c>
    </row>
    <row r="5906" spans="1:15" x14ac:dyDescent="0.25">
      <c r="A5906" t="s">
        <v>76</v>
      </c>
      <c r="B5906" s="11" t="s">
        <v>115</v>
      </c>
      <c r="C5906" t="b">
        <v>1</v>
      </c>
      <c r="D5906" s="1">
        <v>43524</v>
      </c>
      <c r="E5906">
        <v>1E-3</v>
      </c>
    </row>
    <row r="5907" spans="1:15" x14ac:dyDescent="0.25">
      <c r="A5907" t="s">
        <v>147</v>
      </c>
      <c r="B5907" s="11" t="s">
        <v>115</v>
      </c>
      <c r="C5907" t="b">
        <v>1</v>
      </c>
      <c r="D5907" s="1">
        <v>43524</v>
      </c>
      <c r="E5907">
        <v>5</v>
      </c>
    </row>
    <row r="5908" spans="1:15" x14ac:dyDescent="0.25">
      <c r="A5908" t="s">
        <v>82</v>
      </c>
      <c r="B5908" s="11" t="s">
        <v>115</v>
      </c>
      <c r="C5908" t="b">
        <v>1</v>
      </c>
      <c r="D5908" s="1">
        <v>43524</v>
      </c>
      <c r="E5908">
        <v>5</v>
      </c>
    </row>
    <row r="5909" spans="1:15" x14ac:dyDescent="0.25">
      <c r="A5909" t="s">
        <v>84</v>
      </c>
      <c r="B5909" s="11" t="s">
        <v>115</v>
      </c>
      <c r="C5909" t="b">
        <v>1</v>
      </c>
      <c r="D5909" s="1">
        <v>43524</v>
      </c>
      <c r="E5909">
        <v>5</v>
      </c>
    </row>
    <row r="5910" spans="1:15" hidden="1" x14ac:dyDescent="0.25">
      <c r="A5910" t="s">
        <v>83</v>
      </c>
      <c r="B5910" s="11" t="s">
        <v>115</v>
      </c>
      <c r="C5910" t="b">
        <v>0</v>
      </c>
      <c r="D5910" s="1">
        <v>43524</v>
      </c>
      <c r="E5910">
        <v>5</v>
      </c>
    </row>
    <row r="5911" spans="1:15" hidden="1" x14ac:dyDescent="0.25">
      <c r="A5911" t="s">
        <v>88</v>
      </c>
      <c r="B5911" s="11" t="s">
        <v>115</v>
      </c>
      <c r="C5911" t="b">
        <v>0</v>
      </c>
      <c r="D5911" s="1">
        <v>43524</v>
      </c>
      <c r="E5911">
        <v>5</v>
      </c>
    </row>
    <row r="5912" spans="1:15" x14ac:dyDescent="0.25">
      <c r="A5912" t="s">
        <v>87</v>
      </c>
      <c r="B5912" s="11" t="s">
        <v>115</v>
      </c>
      <c r="C5912" t="b">
        <v>1</v>
      </c>
      <c r="D5912" s="1">
        <v>43524</v>
      </c>
      <c r="E5912">
        <v>5</v>
      </c>
    </row>
    <row r="5913" spans="1:15" x14ac:dyDescent="0.25">
      <c r="A5913" t="s">
        <v>93</v>
      </c>
      <c r="B5913" s="11" t="s">
        <v>115</v>
      </c>
      <c r="C5913" t="b">
        <v>1</v>
      </c>
      <c r="D5913" s="1">
        <v>43524</v>
      </c>
      <c r="E5913">
        <v>5</v>
      </c>
    </row>
    <row r="5914" spans="1:15" x14ac:dyDescent="0.25">
      <c r="A5914" t="s">
        <v>148</v>
      </c>
      <c r="B5914" s="11" t="s">
        <v>115</v>
      </c>
      <c r="C5914" t="b">
        <v>1</v>
      </c>
      <c r="D5914" s="1">
        <v>43524</v>
      </c>
      <c r="E5914">
        <v>5</v>
      </c>
    </row>
    <row r="5915" spans="1:15" hidden="1" x14ac:dyDescent="0.25">
      <c r="A5915" t="s">
        <v>94</v>
      </c>
      <c r="B5915" s="11" t="s">
        <v>115</v>
      </c>
      <c r="C5915" t="b">
        <v>0</v>
      </c>
      <c r="D5915" s="1">
        <v>43524</v>
      </c>
      <c r="E5915">
        <v>5</v>
      </c>
    </row>
    <row r="5916" spans="1:15" x14ac:dyDescent="0.25">
      <c r="A5916" t="s">
        <v>96</v>
      </c>
      <c r="B5916" s="11" t="s">
        <v>115</v>
      </c>
      <c r="C5916" t="b">
        <v>1</v>
      </c>
      <c r="D5916" s="1">
        <v>43524</v>
      </c>
      <c r="E5916">
        <v>5</v>
      </c>
    </row>
    <row r="5917" spans="1:15" x14ac:dyDescent="0.25">
      <c r="A5917" t="s">
        <v>98</v>
      </c>
      <c r="B5917" s="11" t="s">
        <v>115</v>
      </c>
      <c r="C5917" t="b">
        <v>1</v>
      </c>
      <c r="D5917" s="1">
        <v>43524</v>
      </c>
      <c r="E5917">
        <v>5</v>
      </c>
      <c r="F5917" s="13"/>
      <c r="G5917" s="13"/>
      <c r="H5917" s="13"/>
      <c r="I5917" s="13"/>
      <c r="J5917" s="13"/>
    </row>
    <row r="5918" spans="1:15" x14ac:dyDescent="0.25">
      <c r="A5918" t="s">
        <v>97</v>
      </c>
      <c r="B5918" s="11" t="s">
        <v>115</v>
      </c>
      <c r="C5918" t="b">
        <v>1</v>
      </c>
      <c r="D5918" s="1">
        <v>43524</v>
      </c>
      <c r="E5918">
        <v>5</v>
      </c>
    </row>
    <row r="5919" spans="1:15" x14ac:dyDescent="0.25">
      <c r="A5919" t="s">
        <v>99</v>
      </c>
      <c r="B5919" s="11" t="s">
        <v>114</v>
      </c>
      <c r="C5919" t="b">
        <v>1</v>
      </c>
      <c r="D5919" s="1">
        <v>43524</v>
      </c>
      <c r="E5919" s="37">
        <f>SUM(K5919:O5919)</f>
        <v>14.350000000000001</v>
      </c>
      <c r="F5919" s="15">
        <f>2+1+2+1+1+1+1</f>
        <v>9</v>
      </c>
      <c r="G5919" s="15">
        <f>4+3+7+3</f>
        <v>17</v>
      </c>
      <c r="H5919" s="15">
        <f>2+2+2+2</f>
        <v>8</v>
      </c>
      <c r="I5919" s="15">
        <f>1+3+2</f>
        <v>6</v>
      </c>
      <c r="J5919" s="15">
        <v>0</v>
      </c>
      <c r="K5919" s="38">
        <f>F5919*K$1</f>
        <v>9</v>
      </c>
      <c r="L5919" s="38">
        <f>G5919*L$1</f>
        <v>4.25</v>
      </c>
      <c r="M5919" s="38">
        <f>H5919*M$1</f>
        <v>0.8</v>
      </c>
      <c r="N5919" s="38">
        <f>I5919*N$1</f>
        <v>0.30000000000000004</v>
      </c>
      <c r="O5919" s="38">
        <f>J5919*O$1</f>
        <v>0</v>
      </c>
    </row>
    <row r="5920" spans="1:15" x14ac:dyDescent="0.25">
      <c r="A5920" t="s">
        <v>100</v>
      </c>
      <c r="B5920" s="11" t="s">
        <v>117</v>
      </c>
      <c r="C5920" t="b">
        <v>1</v>
      </c>
      <c r="D5920" s="1">
        <v>43555</v>
      </c>
      <c r="E5920" s="2">
        <f>-1*(8*9.29)</f>
        <v>-74.319999999999993</v>
      </c>
    </row>
    <row r="5921" spans="1:10" x14ac:dyDescent="0.25">
      <c r="A5921" t="s">
        <v>104</v>
      </c>
      <c r="B5921" s="11" t="s">
        <v>117</v>
      </c>
      <c r="C5921" t="b">
        <v>1</v>
      </c>
      <c r="D5921" s="1">
        <v>43555</v>
      </c>
      <c r="E5921">
        <f>-5-5</f>
        <v>-10</v>
      </c>
    </row>
    <row r="5922" spans="1:10" x14ac:dyDescent="0.25">
      <c r="A5922" t="s">
        <v>102</v>
      </c>
      <c r="B5922" s="11" t="s">
        <v>117</v>
      </c>
      <c r="C5922" t="b">
        <v>1</v>
      </c>
      <c r="D5922" s="1">
        <v>43555</v>
      </c>
      <c r="E5922">
        <f>-1*((4*8.79)+(3*5.99)+(2*3)+(2.09))</f>
        <v>-61.22</v>
      </c>
    </row>
    <row r="5923" spans="1:10" x14ac:dyDescent="0.25">
      <c r="A5923" t="s">
        <v>103</v>
      </c>
      <c r="B5923" s="11" t="s">
        <v>117</v>
      </c>
      <c r="C5923" t="b">
        <v>1</v>
      </c>
      <c r="D5923" s="1">
        <v>43555</v>
      </c>
      <c r="E5923" s="2">
        <f>(-1*(2*2.99))</f>
        <v>-5.98</v>
      </c>
    </row>
    <row r="5924" spans="1:10" x14ac:dyDescent="0.25">
      <c r="A5924" t="s">
        <v>101</v>
      </c>
      <c r="B5924" s="11" t="s">
        <v>117</v>
      </c>
      <c r="C5924" t="b">
        <v>1</v>
      </c>
      <c r="D5924" s="1">
        <v>43555</v>
      </c>
      <c r="E5924" s="21">
        <f>-4.69</f>
        <v>-4.6900000000000004</v>
      </c>
    </row>
    <row r="5925" spans="1:10" hidden="1" x14ac:dyDescent="0.25">
      <c r="A5925" t="s">
        <v>47</v>
      </c>
      <c r="B5925" s="11" t="s">
        <v>115</v>
      </c>
      <c r="C5925" t="b">
        <v>0</v>
      </c>
      <c r="D5925" s="1">
        <v>43555</v>
      </c>
      <c r="E5925">
        <v>5</v>
      </c>
    </row>
    <row r="5926" spans="1:10" x14ac:dyDescent="0.25">
      <c r="A5926" t="s">
        <v>43</v>
      </c>
      <c r="B5926" s="11" t="s">
        <v>115</v>
      </c>
      <c r="C5926" t="b">
        <v>1</v>
      </c>
      <c r="D5926" s="1">
        <v>43555</v>
      </c>
      <c r="E5926">
        <v>5</v>
      </c>
    </row>
    <row r="5927" spans="1:10" x14ac:dyDescent="0.25">
      <c r="A5927" t="s">
        <v>48</v>
      </c>
      <c r="B5927" s="11" t="s">
        <v>115</v>
      </c>
      <c r="C5927" t="b">
        <v>1</v>
      </c>
      <c r="D5927" s="1">
        <v>43555</v>
      </c>
      <c r="E5927">
        <v>5</v>
      </c>
    </row>
    <row r="5928" spans="1:10" x14ac:dyDescent="0.25">
      <c r="A5928" t="s">
        <v>49</v>
      </c>
      <c r="B5928" s="11" t="s">
        <v>115</v>
      </c>
      <c r="C5928" t="b">
        <v>1</v>
      </c>
      <c r="D5928" s="1">
        <v>43555</v>
      </c>
      <c r="E5928">
        <v>5</v>
      </c>
    </row>
    <row r="5929" spans="1:10" x14ac:dyDescent="0.25">
      <c r="A5929" t="s">
        <v>50</v>
      </c>
      <c r="B5929" s="11" t="s">
        <v>115</v>
      </c>
      <c r="C5929" t="b">
        <v>1</v>
      </c>
      <c r="D5929" s="1">
        <v>43555</v>
      </c>
      <c r="E5929">
        <v>5</v>
      </c>
    </row>
    <row r="5930" spans="1:10" x14ac:dyDescent="0.25">
      <c r="A5930" t="s">
        <v>51</v>
      </c>
      <c r="B5930" s="11" t="s">
        <v>115</v>
      </c>
      <c r="C5930" t="b">
        <v>1</v>
      </c>
      <c r="D5930" s="1">
        <v>43555</v>
      </c>
      <c r="E5930">
        <v>5</v>
      </c>
    </row>
    <row r="5931" spans="1:10" x14ac:dyDescent="0.25">
      <c r="A5931" t="s">
        <v>52</v>
      </c>
      <c r="B5931" s="11" t="s">
        <v>115</v>
      </c>
      <c r="C5931" t="b">
        <v>1</v>
      </c>
      <c r="D5931" s="1">
        <v>43555</v>
      </c>
      <c r="E5931">
        <v>5</v>
      </c>
    </row>
    <row r="5932" spans="1:10" hidden="1" x14ac:dyDescent="0.25">
      <c r="A5932" t="s">
        <v>189</v>
      </c>
      <c r="B5932" s="11" t="s">
        <v>115</v>
      </c>
      <c r="C5932" t="b">
        <v>0</v>
      </c>
      <c r="D5932" s="1">
        <v>43555</v>
      </c>
      <c r="E5932">
        <v>5</v>
      </c>
    </row>
    <row r="5933" spans="1:10" x14ac:dyDescent="0.25">
      <c r="A5933" t="s">
        <v>190</v>
      </c>
      <c r="B5933" s="11" t="s">
        <v>115</v>
      </c>
      <c r="C5933" t="b">
        <v>1</v>
      </c>
      <c r="D5933" s="1">
        <v>43555</v>
      </c>
      <c r="E5933">
        <v>5</v>
      </c>
      <c r="F5933" s="13"/>
      <c r="G5933" s="13"/>
      <c r="H5933" s="13"/>
      <c r="I5933" s="13"/>
      <c r="J5933" s="13"/>
    </row>
    <row r="5934" spans="1:10" x14ac:dyDescent="0.25">
      <c r="A5934" t="s">
        <v>55</v>
      </c>
      <c r="B5934" s="11" t="s">
        <v>115</v>
      </c>
      <c r="C5934" t="b">
        <v>1</v>
      </c>
      <c r="D5934" s="1">
        <v>43555</v>
      </c>
      <c r="E5934">
        <v>5</v>
      </c>
    </row>
    <row r="5935" spans="1:10" x14ac:dyDescent="0.25">
      <c r="A5935" t="s">
        <v>58</v>
      </c>
      <c r="B5935" s="11" t="s">
        <v>115</v>
      </c>
      <c r="C5935" t="b">
        <v>1</v>
      </c>
      <c r="D5935" s="1">
        <v>43555</v>
      </c>
      <c r="E5935">
        <v>5</v>
      </c>
    </row>
    <row r="5936" spans="1:10" x14ac:dyDescent="0.25">
      <c r="A5936" t="s">
        <v>144</v>
      </c>
      <c r="B5936" s="11" t="s">
        <v>115</v>
      </c>
      <c r="C5936" t="b">
        <v>1</v>
      </c>
      <c r="D5936" s="1">
        <v>43555</v>
      </c>
      <c r="E5936">
        <v>5</v>
      </c>
      <c r="F5936" s="13"/>
      <c r="G5936" s="13"/>
      <c r="H5936" s="13"/>
      <c r="I5936" s="13"/>
      <c r="J5936" s="13"/>
    </row>
    <row r="5937" spans="1:5" x14ac:dyDescent="0.25">
      <c r="A5937" t="s">
        <v>149</v>
      </c>
      <c r="B5937" s="11" t="s">
        <v>115</v>
      </c>
      <c r="C5937" t="b">
        <v>1</v>
      </c>
      <c r="D5937" s="1">
        <v>43555</v>
      </c>
      <c r="E5937">
        <v>5</v>
      </c>
    </row>
    <row r="5938" spans="1:5" x14ac:dyDescent="0.25">
      <c r="A5938" t="s">
        <v>65</v>
      </c>
      <c r="B5938" s="11" t="s">
        <v>115</v>
      </c>
      <c r="C5938" t="b">
        <v>1</v>
      </c>
      <c r="D5938" s="1">
        <v>43555</v>
      </c>
      <c r="E5938">
        <v>5</v>
      </c>
    </row>
    <row r="5939" spans="1:5" x14ac:dyDescent="0.25">
      <c r="A5939" t="s">
        <v>66</v>
      </c>
      <c r="B5939" s="11" t="s">
        <v>115</v>
      </c>
      <c r="C5939" t="b">
        <v>1</v>
      </c>
      <c r="D5939" s="1">
        <v>43555</v>
      </c>
      <c r="E5939">
        <v>5</v>
      </c>
    </row>
    <row r="5940" spans="1:5" x14ac:dyDescent="0.25">
      <c r="A5940" t="s">
        <v>146</v>
      </c>
      <c r="B5940" s="11" t="s">
        <v>115</v>
      </c>
      <c r="C5940" t="b">
        <v>1</v>
      </c>
      <c r="D5940" s="1">
        <v>43555</v>
      </c>
      <c r="E5940">
        <f>1+4</f>
        <v>5</v>
      </c>
    </row>
    <row r="5941" spans="1:5" x14ac:dyDescent="0.25">
      <c r="A5941" t="s">
        <v>75</v>
      </c>
      <c r="B5941" s="11" t="s">
        <v>115</v>
      </c>
      <c r="C5941" t="b">
        <v>1</v>
      </c>
      <c r="D5941" s="1">
        <v>43555</v>
      </c>
      <c r="E5941">
        <v>5</v>
      </c>
    </row>
    <row r="5942" spans="1:5" x14ac:dyDescent="0.25">
      <c r="A5942" t="s">
        <v>76</v>
      </c>
      <c r="B5942" s="11" t="s">
        <v>115</v>
      </c>
      <c r="C5942" t="b">
        <v>1</v>
      </c>
      <c r="D5942" s="1">
        <v>43555</v>
      </c>
      <c r="E5942">
        <v>1E-3</v>
      </c>
    </row>
    <row r="5943" spans="1:5" x14ac:dyDescent="0.25">
      <c r="A5943" t="s">
        <v>147</v>
      </c>
      <c r="B5943" s="11" t="s">
        <v>115</v>
      </c>
      <c r="C5943" t="b">
        <v>1</v>
      </c>
      <c r="D5943" s="1">
        <v>43555</v>
      </c>
      <c r="E5943">
        <v>5</v>
      </c>
    </row>
    <row r="5944" spans="1:5" x14ac:dyDescent="0.25">
      <c r="A5944" t="s">
        <v>82</v>
      </c>
      <c r="B5944" s="11" t="s">
        <v>115</v>
      </c>
      <c r="C5944" t="b">
        <v>1</v>
      </c>
      <c r="D5944" s="1">
        <v>43555</v>
      </c>
      <c r="E5944">
        <v>5</v>
      </c>
    </row>
    <row r="5945" spans="1:5" x14ac:dyDescent="0.25">
      <c r="A5945" t="s">
        <v>84</v>
      </c>
      <c r="B5945" s="11" t="s">
        <v>115</v>
      </c>
      <c r="C5945" t="b">
        <v>1</v>
      </c>
      <c r="D5945" s="1">
        <v>43555</v>
      </c>
      <c r="E5945">
        <v>5</v>
      </c>
    </row>
    <row r="5946" spans="1:5" hidden="1" x14ac:dyDescent="0.25">
      <c r="A5946" t="s">
        <v>83</v>
      </c>
      <c r="B5946" s="11" t="s">
        <v>115</v>
      </c>
      <c r="C5946" t="b">
        <v>0</v>
      </c>
      <c r="D5946" s="1">
        <v>43555</v>
      </c>
      <c r="E5946">
        <v>5</v>
      </c>
    </row>
    <row r="5947" spans="1:5" hidden="1" x14ac:dyDescent="0.25">
      <c r="A5947" t="s">
        <v>88</v>
      </c>
      <c r="B5947" s="11" t="s">
        <v>115</v>
      </c>
      <c r="C5947" t="b">
        <v>0</v>
      </c>
      <c r="D5947" s="1">
        <v>43555</v>
      </c>
      <c r="E5947">
        <v>5</v>
      </c>
    </row>
    <row r="5948" spans="1:5" x14ac:dyDescent="0.25">
      <c r="A5948" t="s">
        <v>87</v>
      </c>
      <c r="B5948" s="11" t="s">
        <v>115</v>
      </c>
      <c r="C5948" t="b">
        <v>1</v>
      </c>
      <c r="D5948" s="1">
        <v>43555</v>
      </c>
      <c r="E5948">
        <v>5</v>
      </c>
    </row>
    <row r="5949" spans="1:5" x14ac:dyDescent="0.25">
      <c r="A5949" t="s">
        <v>93</v>
      </c>
      <c r="B5949" s="11" t="s">
        <v>115</v>
      </c>
      <c r="C5949" t="b">
        <v>1</v>
      </c>
      <c r="D5949" s="1">
        <v>43555</v>
      </c>
      <c r="E5949">
        <v>5</v>
      </c>
    </row>
    <row r="5950" spans="1:5" x14ac:dyDescent="0.25">
      <c r="A5950" t="s">
        <v>148</v>
      </c>
      <c r="B5950" s="11" t="s">
        <v>115</v>
      </c>
      <c r="C5950" t="b">
        <v>1</v>
      </c>
      <c r="D5950" s="1">
        <v>43555</v>
      </c>
      <c r="E5950">
        <v>5</v>
      </c>
    </row>
    <row r="5951" spans="1:5" hidden="1" x14ac:dyDescent="0.25">
      <c r="A5951" t="s">
        <v>94</v>
      </c>
      <c r="B5951" s="11" t="s">
        <v>115</v>
      </c>
      <c r="C5951" t="b">
        <v>0</v>
      </c>
      <c r="D5951" s="1">
        <v>43555</v>
      </c>
      <c r="E5951">
        <v>5</v>
      </c>
    </row>
    <row r="5952" spans="1:5" x14ac:dyDescent="0.25">
      <c r="A5952" t="s">
        <v>96</v>
      </c>
      <c r="B5952" s="11" t="s">
        <v>115</v>
      </c>
      <c r="C5952" t="b">
        <v>1</v>
      </c>
      <c r="D5952" s="1">
        <v>43555</v>
      </c>
      <c r="E5952">
        <v>5</v>
      </c>
    </row>
    <row r="5953" spans="1:15" x14ac:dyDescent="0.25">
      <c r="A5953" t="s">
        <v>98</v>
      </c>
      <c r="B5953" s="11" t="s">
        <v>115</v>
      </c>
      <c r="C5953" t="b">
        <v>1</v>
      </c>
      <c r="D5953" s="1">
        <v>43555</v>
      </c>
      <c r="E5953">
        <v>5</v>
      </c>
      <c r="F5953" s="13"/>
      <c r="G5953" s="13"/>
      <c r="H5953" s="13"/>
      <c r="I5953" s="13"/>
      <c r="J5953" s="13"/>
    </row>
    <row r="5954" spans="1:15" x14ac:dyDescent="0.25">
      <c r="A5954" t="s">
        <v>97</v>
      </c>
      <c r="B5954" s="11" t="s">
        <v>115</v>
      </c>
      <c r="C5954" t="b">
        <v>1</v>
      </c>
      <c r="D5954" s="1">
        <v>43555</v>
      </c>
      <c r="E5954">
        <v>5</v>
      </c>
    </row>
    <row r="5955" spans="1:15" x14ac:dyDescent="0.25">
      <c r="A5955" t="s">
        <v>99</v>
      </c>
      <c r="B5955" s="11" t="s">
        <v>114</v>
      </c>
      <c r="C5955" t="b">
        <v>1</v>
      </c>
      <c r="D5955" s="1">
        <v>43555</v>
      </c>
      <c r="E5955" s="37">
        <f>SUM(K5955:O5955)</f>
        <v>18.740000000000002</v>
      </c>
      <c r="F5955" s="15">
        <f>1+1+1+1+1+2+1+1+3</f>
        <v>12</v>
      </c>
      <c r="G5955" s="15">
        <f>4+3+3+4+4+5</f>
        <v>23</v>
      </c>
      <c r="H5955" s="15">
        <f>2+1+1+1+1</f>
        <v>6</v>
      </c>
      <c r="I5955" s="15">
        <f>4+1</f>
        <v>5</v>
      </c>
      <c r="J5955" s="15">
        <v>14</v>
      </c>
      <c r="K5955" s="38">
        <f>F5955*K$1</f>
        <v>12</v>
      </c>
      <c r="L5955" s="38">
        <f>G5955*L$1</f>
        <v>5.75</v>
      </c>
      <c r="M5955" s="38">
        <f>H5955*M$1</f>
        <v>0.60000000000000009</v>
      </c>
      <c r="N5955" s="38">
        <f>I5955*N$1</f>
        <v>0.25</v>
      </c>
      <c r="O5955" s="38">
        <f>J5955*O$1</f>
        <v>0.14000000000000001</v>
      </c>
    </row>
    <row r="5956" spans="1:15" x14ac:dyDescent="0.25">
      <c r="A5956" t="s">
        <v>104</v>
      </c>
      <c r="B5956" s="11" t="s">
        <v>117</v>
      </c>
      <c r="C5956" t="b">
        <v>1</v>
      </c>
      <c r="D5956" s="1">
        <v>43585</v>
      </c>
      <c r="E5956">
        <f>-5-11.19</f>
        <v>-16.189999999999998</v>
      </c>
    </row>
    <row r="5957" spans="1:15" ht="15.75" customHeight="1" x14ac:dyDescent="0.25">
      <c r="A5957" t="s">
        <v>102</v>
      </c>
      <c r="B5957" s="11" t="s">
        <v>117</v>
      </c>
      <c r="C5957" t="b">
        <v>1</v>
      </c>
      <c r="D5957" s="1">
        <v>43585</v>
      </c>
      <c r="E5957">
        <f>-1*((2*3)+(2*3)+(2.49)+1.93+2.99)</f>
        <v>-19.410000000000004</v>
      </c>
    </row>
    <row r="5958" spans="1:15" x14ac:dyDescent="0.25">
      <c r="A5958" t="s">
        <v>103</v>
      </c>
      <c r="B5958" s="11" t="s">
        <v>117</v>
      </c>
      <c r="C5958" t="b">
        <v>1</v>
      </c>
      <c r="D5958" s="1">
        <v>43585</v>
      </c>
      <c r="E5958" s="2">
        <f>(-1*((1*2.99)+(1*5.73)))</f>
        <v>-8.7200000000000006</v>
      </c>
    </row>
    <row r="5959" spans="1:15" x14ac:dyDescent="0.25">
      <c r="A5959" t="s">
        <v>101</v>
      </c>
      <c r="B5959" s="11" t="s">
        <v>117</v>
      </c>
      <c r="C5959" t="b">
        <v>1</v>
      </c>
      <c r="D5959" s="1">
        <v>43585</v>
      </c>
      <c r="E5959" s="21">
        <f>-1*(2*2.89)</f>
        <v>-5.78</v>
      </c>
    </row>
    <row r="5960" spans="1:15" hidden="1" x14ac:dyDescent="0.25">
      <c r="A5960" t="s">
        <v>47</v>
      </c>
      <c r="B5960" s="11" t="s">
        <v>115</v>
      </c>
      <c r="C5960" t="b">
        <v>0</v>
      </c>
      <c r="D5960" s="1">
        <v>43585</v>
      </c>
      <c r="E5960">
        <v>5</v>
      </c>
    </row>
    <row r="5961" spans="1:15" x14ac:dyDescent="0.25">
      <c r="A5961" t="s">
        <v>43</v>
      </c>
      <c r="B5961" s="11" t="s">
        <v>115</v>
      </c>
      <c r="C5961" t="b">
        <v>1</v>
      </c>
      <c r="D5961" s="1">
        <v>43585</v>
      </c>
      <c r="E5961">
        <v>5</v>
      </c>
    </row>
    <row r="5962" spans="1:15" x14ac:dyDescent="0.25">
      <c r="A5962" t="s">
        <v>48</v>
      </c>
      <c r="B5962" s="11" t="s">
        <v>115</v>
      </c>
      <c r="C5962" t="b">
        <v>1</v>
      </c>
      <c r="D5962" s="1">
        <v>43585</v>
      </c>
      <c r="E5962">
        <v>5</v>
      </c>
    </row>
    <row r="5963" spans="1:15" x14ac:dyDescent="0.25">
      <c r="A5963" t="s">
        <v>49</v>
      </c>
      <c r="B5963" s="11" t="s">
        <v>115</v>
      </c>
      <c r="C5963" t="b">
        <v>1</v>
      </c>
      <c r="D5963" s="1">
        <v>43585</v>
      </c>
      <c r="E5963">
        <v>5</v>
      </c>
    </row>
    <row r="5964" spans="1:15" x14ac:dyDescent="0.25">
      <c r="A5964" t="s">
        <v>50</v>
      </c>
      <c r="B5964" s="11" t="s">
        <v>115</v>
      </c>
      <c r="C5964" t="b">
        <v>1</v>
      </c>
      <c r="D5964" s="1">
        <v>43585</v>
      </c>
      <c r="E5964">
        <v>5</v>
      </c>
    </row>
    <row r="5965" spans="1:15" x14ac:dyDescent="0.25">
      <c r="A5965" t="s">
        <v>51</v>
      </c>
      <c r="B5965" s="11" t="s">
        <v>115</v>
      </c>
      <c r="C5965" t="b">
        <v>1</v>
      </c>
      <c r="D5965" s="1">
        <v>43585</v>
      </c>
      <c r="E5965">
        <v>5</v>
      </c>
    </row>
    <row r="5966" spans="1:15" x14ac:dyDescent="0.25">
      <c r="A5966" t="s">
        <v>52</v>
      </c>
      <c r="B5966" s="11" t="s">
        <v>115</v>
      </c>
      <c r="C5966" t="b">
        <v>1</v>
      </c>
      <c r="D5966" s="1">
        <v>43585</v>
      </c>
      <c r="E5966">
        <v>5</v>
      </c>
    </row>
    <row r="5967" spans="1:15" x14ac:dyDescent="0.25">
      <c r="A5967" t="s">
        <v>190</v>
      </c>
      <c r="B5967" s="11" t="s">
        <v>115</v>
      </c>
      <c r="C5967" t="b">
        <v>1</v>
      </c>
      <c r="D5967" s="1">
        <v>43585</v>
      </c>
      <c r="E5967">
        <v>5</v>
      </c>
      <c r="F5967" s="13"/>
      <c r="G5967" s="13"/>
      <c r="H5967" s="13"/>
      <c r="I5967" s="13"/>
      <c r="J5967" s="13"/>
    </row>
    <row r="5968" spans="1:15" x14ac:dyDescent="0.25">
      <c r="A5968" t="s">
        <v>55</v>
      </c>
      <c r="B5968" s="11" t="s">
        <v>115</v>
      </c>
      <c r="C5968" t="b">
        <v>1</v>
      </c>
      <c r="D5968" s="1">
        <v>43585</v>
      </c>
      <c r="E5968">
        <v>5</v>
      </c>
    </row>
    <row r="5969" spans="1:10" x14ac:dyDescent="0.25">
      <c r="A5969" t="s">
        <v>58</v>
      </c>
      <c r="B5969" s="11" t="s">
        <v>115</v>
      </c>
      <c r="C5969" t="b">
        <v>1</v>
      </c>
      <c r="D5969" s="1">
        <v>43585</v>
      </c>
      <c r="E5969">
        <v>5</v>
      </c>
    </row>
    <row r="5970" spans="1:10" x14ac:dyDescent="0.25">
      <c r="A5970" t="s">
        <v>144</v>
      </c>
      <c r="B5970" s="11" t="s">
        <v>115</v>
      </c>
      <c r="C5970" t="b">
        <v>1</v>
      </c>
      <c r="D5970" s="1">
        <v>43585</v>
      </c>
      <c r="E5970">
        <v>5</v>
      </c>
      <c r="F5970" s="13"/>
      <c r="G5970" s="13"/>
      <c r="H5970" s="13"/>
      <c r="I5970" s="13"/>
      <c r="J5970" s="13"/>
    </row>
    <row r="5971" spans="1:10" x14ac:dyDescent="0.25">
      <c r="A5971" t="s">
        <v>149</v>
      </c>
      <c r="B5971" s="11" t="s">
        <v>115</v>
      </c>
      <c r="C5971" t="b">
        <v>1</v>
      </c>
      <c r="D5971" s="1">
        <v>43585</v>
      </c>
      <c r="E5971">
        <v>5</v>
      </c>
    </row>
    <row r="5972" spans="1:10" x14ac:dyDescent="0.25">
      <c r="A5972" t="s">
        <v>65</v>
      </c>
      <c r="B5972" s="11" t="s">
        <v>115</v>
      </c>
      <c r="C5972" t="b">
        <v>1</v>
      </c>
      <c r="D5972" s="1">
        <v>43585</v>
      </c>
      <c r="E5972">
        <v>5</v>
      </c>
    </row>
    <row r="5973" spans="1:10" x14ac:dyDescent="0.25">
      <c r="A5973" t="s">
        <v>66</v>
      </c>
      <c r="B5973" s="11" t="s">
        <v>115</v>
      </c>
      <c r="C5973" t="b">
        <v>1</v>
      </c>
      <c r="D5973" s="1">
        <v>43585</v>
      </c>
      <c r="E5973">
        <v>5</v>
      </c>
    </row>
    <row r="5974" spans="1:10" hidden="1" x14ac:dyDescent="0.25">
      <c r="A5974" t="s">
        <v>146</v>
      </c>
      <c r="B5974" s="11" t="s">
        <v>115</v>
      </c>
      <c r="C5974" t="b">
        <v>0</v>
      </c>
      <c r="D5974" s="1">
        <v>43585</v>
      </c>
      <c r="E5974">
        <f>1+4</f>
        <v>5</v>
      </c>
    </row>
    <row r="5975" spans="1:10" x14ac:dyDescent="0.25">
      <c r="A5975" t="s">
        <v>75</v>
      </c>
      <c r="B5975" s="11" t="s">
        <v>115</v>
      </c>
      <c r="C5975" t="b">
        <v>1</v>
      </c>
      <c r="D5975" s="1">
        <v>43585</v>
      </c>
      <c r="E5975">
        <v>5</v>
      </c>
    </row>
    <row r="5976" spans="1:10" x14ac:dyDescent="0.25">
      <c r="A5976" t="s">
        <v>76</v>
      </c>
      <c r="B5976" s="11" t="s">
        <v>115</v>
      </c>
      <c r="C5976" t="b">
        <v>1</v>
      </c>
      <c r="D5976" s="1">
        <v>43585</v>
      </c>
      <c r="E5976">
        <v>1E-3</v>
      </c>
    </row>
    <row r="5977" spans="1:10" x14ac:dyDescent="0.25">
      <c r="A5977" t="s">
        <v>147</v>
      </c>
      <c r="B5977" s="11" t="s">
        <v>115</v>
      </c>
      <c r="C5977" t="b">
        <v>1</v>
      </c>
      <c r="D5977" s="1">
        <v>43585</v>
      </c>
      <c r="E5977">
        <v>5</v>
      </c>
    </row>
    <row r="5978" spans="1:10" x14ac:dyDescent="0.25">
      <c r="A5978" t="s">
        <v>82</v>
      </c>
      <c r="B5978" s="11" t="s">
        <v>115</v>
      </c>
      <c r="C5978" t="b">
        <v>1</v>
      </c>
      <c r="D5978" s="1">
        <v>43585</v>
      </c>
      <c r="E5978">
        <v>5</v>
      </c>
    </row>
    <row r="5979" spans="1:10" x14ac:dyDescent="0.25">
      <c r="A5979" t="s">
        <v>84</v>
      </c>
      <c r="B5979" s="11" t="s">
        <v>115</v>
      </c>
      <c r="C5979" t="b">
        <v>1</v>
      </c>
      <c r="D5979" s="1">
        <v>43585</v>
      </c>
      <c r="E5979">
        <v>5</v>
      </c>
    </row>
    <row r="5980" spans="1:10" x14ac:dyDescent="0.25">
      <c r="A5980" t="s">
        <v>87</v>
      </c>
      <c r="B5980" s="11" t="s">
        <v>115</v>
      </c>
      <c r="C5980" t="b">
        <v>1</v>
      </c>
      <c r="D5980" s="1">
        <v>43585</v>
      </c>
      <c r="E5980">
        <v>5</v>
      </c>
    </row>
    <row r="5981" spans="1:10" x14ac:dyDescent="0.25">
      <c r="A5981" t="s">
        <v>93</v>
      </c>
      <c r="B5981" s="11" t="s">
        <v>115</v>
      </c>
      <c r="C5981" t="b">
        <v>1</v>
      </c>
      <c r="D5981" s="1">
        <v>43585</v>
      </c>
      <c r="E5981">
        <v>5</v>
      </c>
    </row>
    <row r="5982" spans="1:10" x14ac:dyDescent="0.25">
      <c r="A5982" t="s">
        <v>148</v>
      </c>
      <c r="B5982" s="11" t="s">
        <v>115</v>
      </c>
      <c r="C5982" t="b">
        <v>1</v>
      </c>
      <c r="D5982" s="1">
        <v>43585</v>
      </c>
      <c r="E5982">
        <v>5</v>
      </c>
    </row>
    <row r="5983" spans="1:10" hidden="1" x14ac:dyDescent="0.25">
      <c r="A5983" t="s">
        <v>94</v>
      </c>
      <c r="B5983" s="11" t="s">
        <v>115</v>
      </c>
      <c r="C5983" t="b">
        <v>0</v>
      </c>
      <c r="D5983" s="1">
        <v>43585</v>
      </c>
      <c r="E5983">
        <v>5</v>
      </c>
    </row>
    <row r="5984" spans="1:10" x14ac:dyDescent="0.25">
      <c r="A5984" t="s">
        <v>96</v>
      </c>
      <c r="B5984" s="11" t="s">
        <v>115</v>
      </c>
      <c r="C5984" t="b">
        <v>1</v>
      </c>
      <c r="D5984" s="1">
        <v>43585</v>
      </c>
      <c r="E5984">
        <v>5</v>
      </c>
    </row>
    <row r="5985" spans="1:15" x14ac:dyDescent="0.25">
      <c r="A5985" t="s">
        <v>98</v>
      </c>
      <c r="B5985" s="11" t="s">
        <v>115</v>
      </c>
      <c r="C5985" t="b">
        <v>1</v>
      </c>
      <c r="D5985" s="1">
        <v>43585</v>
      </c>
      <c r="E5985">
        <v>5</v>
      </c>
      <c r="F5985" s="13"/>
      <c r="G5985" s="13"/>
      <c r="H5985" s="13"/>
      <c r="I5985" s="13"/>
      <c r="J5985" s="13"/>
    </row>
    <row r="5986" spans="1:15" x14ac:dyDescent="0.25">
      <c r="A5986" t="s">
        <v>97</v>
      </c>
      <c r="B5986" s="11" t="s">
        <v>115</v>
      </c>
      <c r="C5986" t="b">
        <v>1</v>
      </c>
      <c r="D5986" s="1">
        <v>43585</v>
      </c>
      <c r="E5986">
        <v>5</v>
      </c>
    </row>
    <row r="5987" spans="1:15" x14ac:dyDescent="0.25">
      <c r="A5987" t="s">
        <v>99</v>
      </c>
      <c r="B5987" s="11" t="s">
        <v>114</v>
      </c>
      <c r="C5987" t="b">
        <v>1</v>
      </c>
      <c r="D5987" s="1">
        <v>43585</v>
      </c>
      <c r="E5987" s="37">
        <f>SUM(K5987:O5987)</f>
        <v>20.2</v>
      </c>
      <c r="F5987" s="15">
        <f>1+1+1+1+4+1+1+4+2</f>
        <v>16</v>
      </c>
      <c r="G5987" s="15">
        <f>1+3+3+1+2+3+1</f>
        <v>14</v>
      </c>
      <c r="H5987" s="15">
        <f>2+1+2</f>
        <v>5</v>
      </c>
      <c r="I5987" s="15">
        <f>3+1</f>
        <v>4</v>
      </c>
      <c r="J5987" s="15">
        <v>0</v>
      </c>
      <c r="K5987" s="38">
        <f>F5987*K$1</f>
        <v>16</v>
      </c>
      <c r="L5987" s="38">
        <f>G5987*L$1</f>
        <v>3.5</v>
      </c>
      <c r="M5987" s="38">
        <f>H5987*M$1</f>
        <v>0.5</v>
      </c>
      <c r="N5987" s="38">
        <f>I5987*N$1</f>
        <v>0.2</v>
      </c>
      <c r="O5987" s="38">
        <f>J5987*O$1</f>
        <v>0</v>
      </c>
    </row>
    <row r="5988" spans="1:15" x14ac:dyDescent="0.25">
      <c r="A5988" t="s">
        <v>100</v>
      </c>
      <c r="B5988" s="11" t="s">
        <v>117</v>
      </c>
      <c r="C5988" t="b">
        <v>1</v>
      </c>
      <c r="D5988" s="1">
        <v>43616</v>
      </c>
      <c r="E5988" s="2">
        <f>-1*(8*9.29)</f>
        <v>-74.319999999999993</v>
      </c>
    </row>
    <row r="5989" spans="1:15" x14ac:dyDescent="0.25">
      <c r="A5989" t="s">
        <v>104</v>
      </c>
      <c r="B5989" s="11" t="s">
        <v>117</v>
      </c>
      <c r="C5989" t="b">
        <v>1</v>
      </c>
      <c r="D5989" s="1">
        <v>43616</v>
      </c>
      <c r="E5989">
        <v>-5</v>
      </c>
    </row>
    <row r="5990" spans="1:15" x14ac:dyDescent="0.25">
      <c r="A5990" t="s">
        <v>102</v>
      </c>
      <c r="B5990" s="11" t="s">
        <v>117</v>
      </c>
      <c r="C5990" t="b">
        <v>1</v>
      </c>
      <c r="D5990" s="1">
        <v>43616</v>
      </c>
      <c r="E5990">
        <f>-1*((4*8.79)+(4*5.99)+9+3+4.89+3.99)</f>
        <v>-80</v>
      </c>
    </row>
    <row r="5991" spans="1:15" x14ac:dyDescent="0.25">
      <c r="A5991" t="s">
        <v>103</v>
      </c>
      <c r="B5991" s="11" t="s">
        <v>117</v>
      </c>
      <c r="C5991" t="b">
        <v>1</v>
      </c>
      <c r="D5991" s="1">
        <v>43616</v>
      </c>
      <c r="E5991" s="2">
        <f>(-1*(2*2.99))</f>
        <v>-5.98</v>
      </c>
    </row>
    <row r="5992" spans="1:15" x14ac:dyDescent="0.25">
      <c r="A5992" t="s">
        <v>101</v>
      </c>
      <c r="B5992" s="11" t="s">
        <v>117</v>
      </c>
      <c r="C5992" t="b">
        <v>1</v>
      </c>
      <c r="D5992" s="1">
        <v>43616</v>
      </c>
      <c r="E5992" s="21">
        <f>-1*(9.79+4.89)</f>
        <v>-14.68</v>
      </c>
    </row>
    <row r="5993" spans="1:15" ht="14.25" customHeight="1" x14ac:dyDescent="0.25">
      <c r="A5993" t="s">
        <v>43</v>
      </c>
      <c r="B5993" s="11" t="s">
        <v>115</v>
      </c>
      <c r="C5993" t="b">
        <v>0</v>
      </c>
      <c r="D5993" s="1">
        <v>43616</v>
      </c>
      <c r="E5993">
        <v>5</v>
      </c>
    </row>
    <row r="5994" spans="1:15" x14ac:dyDescent="0.25">
      <c r="A5994" t="s">
        <v>48</v>
      </c>
      <c r="B5994" s="11" t="s">
        <v>115</v>
      </c>
      <c r="C5994" t="b">
        <v>1</v>
      </c>
      <c r="D5994" s="1">
        <v>43616</v>
      </c>
      <c r="E5994">
        <v>5</v>
      </c>
    </row>
    <row r="5995" spans="1:15" x14ac:dyDescent="0.25">
      <c r="A5995" t="s">
        <v>49</v>
      </c>
      <c r="B5995" s="11" t="s">
        <v>115</v>
      </c>
      <c r="C5995" t="b">
        <v>1</v>
      </c>
      <c r="D5995" s="1">
        <v>43616</v>
      </c>
      <c r="E5995">
        <v>5</v>
      </c>
    </row>
    <row r="5996" spans="1:15" x14ac:dyDescent="0.25">
      <c r="A5996" t="s">
        <v>50</v>
      </c>
      <c r="B5996" s="11" t="s">
        <v>115</v>
      </c>
      <c r="C5996" t="b">
        <v>1</v>
      </c>
      <c r="D5996" s="1">
        <v>43616</v>
      </c>
      <c r="E5996">
        <v>5</v>
      </c>
    </row>
    <row r="5997" spans="1:15" x14ac:dyDescent="0.25">
      <c r="A5997" t="s">
        <v>51</v>
      </c>
      <c r="B5997" s="11" t="s">
        <v>115</v>
      </c>
      <c r="C5997" t="b">
        <v>1</v>
      </c>
      <c r="D5997" s="1">
        <v>43616</v>
      </c>
      <c r="E5997">
        <v>5</v>
      </c>
    </row>
    <row r="5998" spans="1:15" x14ac:dyDescent="0.25">
      <c r="A5998" t="s">
        <v>52</v>
      </c>
      <c r="B5998" s="11" t="s">
        <v>115</v>
      </c>
      <c r="C5998" t="b">
        <v>1</v>
      </c>
      <c r="D5998" s="1">
        <v>43616</v>
      </c>
      <c r="E5998">
        <v>5</v>
      </c>
    </row>
    <row r="5999" spans="1:15" x14ac:dyDescent="0.25">
      <c r="A5999" t="s">
        <v>190</v>
      </c>
      <c r="B5999" s="11" t="s">
        <v>115</v>
      </c>
      <c r="C5999" t="b">
        <v>1</v>
      </c>
      <c r="D5999" s="1">
        <v>43616</v>
      </c>
      <c r="E5999">
        <v>5</v>
      </c>
      <c r="F5999" s="13"/>
      <c r="G5999" s="13"/>
      <c r="H5999" s="13"/>
      <c r="I5999" s="13"/>
      <c r="J5999" s="13"/>
    </row>
    <row r="6000" spans="1:15" x14ac:dyDescent="0.25">
      <c r="A6000" t="s">
        <v>55</v>
      </c>
      <c r="B6000" s="11" t="s">
        <v>115</v>
      </c>
      <c r="C6000" t="b">
        <v>1</v>
      </c>
      <c r="D6000" s="1">
        <v>43616</v>
      </c>
      <c r="E6000">
        <v>5</v>
      </c>
    </row>
    <row r="6001" spans="1:10" x14ac:dyDescent="0.25">
      <c r="A6001" t="s">
        <v>58</v>
      </c>
      <c r="B6001" s="11" t="s">
        <v>115</v>
      </c>
      <c r="C6001" t="b">
        <v>1</v>
      </c>
      <c r="D6001" s="1">
        <v>43616</v>
      </c>
      <c r="E6001">
        <v>5</v>
      </c>
    </row>
    <row r="6002" spans="1:10" x14ac:dyDescent="0.25">
      <c r="A6002" t="s">
        <v>144</v>
      </c>
      <c r="B6002" s="11" t="s">
        <v>115</v>
      </c>
      <c r="C6002" t="b">
        <v>0</v>
      </c>
      <c r="D6002" s="1">
        <v>43616</v>
      </c>
      <c r="E6002">
        <v>5</v>
      </c>
      <c r="F6002" s="13"/>
      <c r="G6002" s="13"/>
      <c r="H6002" s="13"/>
      <c r="I6002" s="13"/>
      <c r="J6002" s="13"/>
    </row>
    <row r="6003" spans="1:10" hidden="1" x14ac:dyDescent="0.25">
      <c r="A6003" t="s">
        <v>149</v>
      </c>
      <c r="B6003" s="11" t="s">
        <v>115</v>
      </c>
      <c r="C6003" t="b">
        <v>0</v>
      </c>
      <c r="D6003" s="1">
        <v>43616</v>
      </c>
      <c r="E6003">
        <v>5</v>
      </c>
    </row>
    <row r="6004" spans="1:10" x14ac:dyDescent="0.25">
      <c r="A6004" t="s">
        <v>65</v>
      </c>
      <c r="B6004" s="11" t="s">
        <v>115</v>
      </c>
      <c r="C6004" t="b">
        <v>1</v>
      </c>
      <c r="D6004" s="1">
        <v>43616</v>
      </c>
      <c r="E6004">
        <v>5</v>
      </c>
    </row>
    <row r="6005" spans="1:10" x14ac:dyDescent="0.25">
      <c r="A6005" t="s">
        <v>66</v>
      </c>
      <c r="B6005" s="11" t="s">
        <v>115</v>
      </c>
      <c r="C6005" t="b">
        <v>1</v>
      </c>
      <c r="D6005" s="1">
        <v>43616</v>
      </c>
      <c r="E6005">
        <v>5</v>
      </c>
    </row>
    <row r="6006" spans="1:10" hidden="1" x14ac:dyDescent="0.25">
      <c r="A6006" t="s">
        <v>146</v>
      </c>
      <c r="B6006" s="11" t="s">
        <v>115</v>
      </c>
      <c r="C6006" t="b">
        <v>0</v>
      </c>
      <c r="D6006" s="1">
        <v>43616</v>
      </c>
      <c r="E6006">
        <f>1+4</f>
        <v>5</v>
      </c>
    </row>
    <row r="6007" spans="1:10" x14ac:dyDescent="0.25">
      <c r="A6007" t="s">
        <v>75</v>
      </c>
      <c r="B6007" s="11" t="s">
        <v>115</v>
      </c>
      <c r="C6007" t="b">
        <v>1</v>
      </c>
      <c r="D6007" s="1">
        <v>43616</v>
      </c>
      <c r="E6007">
        <v>5</v>
      </c>
    </row>
    <row r="6008" spans="1:10" x14ac:dyDescent="0.25">
      <c r="A6008" t="s">
        <v>76</v>
      </c>
      <c r="B6008" s="11" t="s">
        <v>115</v>
      </c>
      <c r="C6008" t="b">
        <v>1</v>
      </c>
      <c r="D6008" s="1">
        <v>43616</v>
      </c>
      <c r="E6008">
        <v>1E-3</v>
      </c>
    </row>
    <row r="6009" spans="1:10" hidden="1" x14ac:dyDescent="0.25">
      <c r="A6009" t="s">
        <v>147</v>
      </c>
      <c r="B6009" s="11" t="s">
        <v>115</v>
      </c>
      <c r="C6009" t="b">
        <v>0</v>
      </c>
      <c r="D6009" s="1">
        <v>43616</v>
      </c>
      <c r="E6009">
        <v>5</v>
      </c>
    </row>
    <row r="6010" spans="1:10" x14ac:dyDescent="0.25">
      <c r="A6010" t="s">
        <v>82</v>
      </c>
      <c r="B6010" s="11" t="s">
        <v>115</v>
      </c>
      <c r="C6010" t="b">
        <v>1</v>
      </c>
      <c r="D6010" s="1">
        <v>43616</v>
      </c>
      <c r="E6010">
        <v>5</v>
      </c>
    </row>
    <row r="6011" spans="1:10" x14ac:dyDescent="0.25">
      <c r="A6011" t="s">
        <v>84</v>
      </c>
      <c r="B6011" s="11" t="s">
        <v>115</v>
      </c>
      <c r="C6011" t="b">
        <v>1</v>
      </c>
      <c r="D6011" s="1">
        <v>43616</v>
      </c>
      <c r="E6011">
        <v>5</v>
      </c>
    </row>
    <row r="6012" spans="1:10" x14ac:dyDescent="0.25">
      <c r="A6012" t="s">
        <v>87</v>
      </c>
      <c r="B6012" s="11" t="s">
        <v>115</v>
      </c>
      <c r="C6012" t="b">
        <v>1</v>
      </c>
      <c r="D6012" s="1">
        <v>43616</v>
      </c>
      <c r="E6012">
        <v>5</v>
      </c>
    </row>
    <row r="6013" spans="1:10" x14ac:dyDescent="0.25">
      <c r="A6013" t="s">
        <v>93</v>
      </c>
      <c r="B6013" s="11" t="s">
        <v>115</v>
      </c>
      <c r="C6013" t="b">
        <v>1</v>
      </c>
      <c r="D6013" s="1">
        <v>43616</v>
      </c>
      <c r="E6013">
        <v>5</v>
      </c>
    </row>
    <row r="6014" spans="1:10" x14ac:dyDescent="0.25">
      <c r="A6014" t="s">
        <v>148</v>
      </c>
      <c r="B6014" s="11" t="s">
        <v>115</v>
      </c>
      <c r="C6014" t="b">
        <v>1</v>
      </c>
      <c r="D6014" s="1">
        <v>43616</v>
      </c>
      <c r="E6014">
        <v>5</v>
      </c>
    </row>
    <row r="6015" spans="1:10" x14ac:dyDescent="0.25">
      <c r="A6015" t="s">
        <v>96</v>
      </c>
      <c r="B6015" s="11" t="s">
        <v>115</v>
      </c>
      <c r="C6015" t="b">
        <v>1</v>
      </c>
      <c r="D6015" s="1">
        <v>43616</v>
      </c>
      <c r="E6015">
        <v>5</v>
      </c>
    </row>
    <row r="6016" spans="1:10" x14ac:dyDescent="0.25">
      <c r="A6016" t="s">
        <v>98</v>
      </c>
      <c r="B6016" s="11" t="s">
        <v>115</v>
      </c>
      <c r="C6016" t="b">
        <v>1</v>
      </c>
      <c r="D6016" s="1">
        <v>43616</v>
      </c>
      <c r="E6016">
        <v>5</v>
      </c>
      <c r="F6016" s="13"/>
      <c r="G6016" s="13"/>
      <c r="H6016" s="13"/>
      <c r="I6016" s="13"/>
      <c r="J6016" s="13"/>
    </row>
    <row r="6017" spans="1:15" x14ac:dyDescent="0.25">
      <c r="A6017" t="s">
        <v>97</v>
      </c>
      <c r="B6017" s="11" t="s">
        <v>115</v>
      </c>
      <c r="C6017" t="b">
        <v>1</v>
      </c>
      <c r="D6017" s="1">
        <v>43616</v>
      </c>
      <c r="E6017">
        <v>5</v>
      </c>
    </row>
    <row r="6018" spans="1:15" x14ac:dyDescent="0.25">
      <c r="A6018" t="s">
        <v>99</v>
      </c>
      <c r="B6018" s="11" t="s">
        <v>114</v>
      </c>
      <c r="C6018" t="b">
        <v>1</v>
      </c>
      <c r="D6018" s="1">
        <v>43616</v>
      </c>
      <c r="E6018" s="37">
        <f>SUM(K6018:O6018)</f>
        <v>19.75</v>
      </c>
      <c r="F6018" s="15">
        <f>1+1+1+2+2+5+1</f>
        <v>13</v>
      </c>
      <c r="G6018" s="15">
        <f>5+3+2+3+1+1+4</f>
        <v>19</v>
      </c>
      <c r="H6018" s="15">
        <f>8+1+5</f>
        <v>14</v>
      </c>
      <c r="I6018" s="15">
        <f>7+1+4</f>
        <v>12</v>
      </c>
      <c r="J6018" s="15">
        <v>0</v>
      </c>
      <c r="K6018" s="38">
        <f>F6018*K$1</f>
        <v>13</v>
      </c>
      <c r="L6018" s="38">
        <f>G6018*L$1</f>
        <v>4.75</v>
      </c>
      <c r="M6018" s="38">
        <f>H6018*M$1</f>
        <v>1.4000000000000001</v>
      </c>
      <c r="N6018" s="38">
        <f>I6018*N$1</f>
        <v>0.60000000000000009</v>
      </c>
      <c r="O6018" s="38">
        <f>J6018*O$1</f>
        <v>0</v>
      </c>
    </row>
    <row r="6019" spans="1:15" x14ac:dyDescent="0.25">
      <c r="A6019" t="s">
        <v>100</v>
      </c>
      <c r="B6019" s="11" t="s">
        <v>117</v>
      </c>
      <c r="C6019" t="b">
        <v>1</v>
      </c>
      <c r="D6019" s="1">
        <v>43646</v>
      </c>
      <c r="E6019" s="2">
        <f>-1*(5*12.49)</f>
        <v>-62.45</v>
      </c>
    </row>
    <row r="6020" spans="1:15" x14ac:dyDescent="0.25">
      <c r="A6020" t="s">
        <v>104</v>
      </c>
      <c r="B6020" s="11" t="s">
        <v>117</v>
      </c>
      <c r="C6020" t="b">
        <v>1</v>
      </c>
      <c r="D6020" s="1">
        <v>43646</v>
      </c>
      <c r="E6020">
        <f>(-5)+(-10.98)</f>
        <v>-15.98</v>
      </c>
    </row>
    <row r="6021" spans="1:15" x14ac:dyDescent="0.25">
      <c r="A6021" t="s">
        <v>102</v>
      </c>
      <c r="B6021" s="11" t="s">
        <v>117</v>
      </c>
      <c r="C6021" t="b">
        <v>1</v>
      </c>
      <c r="D6021" s="1">
        <v>43646</v>
      </c>
      <c r="E6021">
        <f>-1*((3*8.79)+(3*5.99)+(4.89+3)+(2*3))</f>
        <v>-58.23</v>
      </c>
    </row>
    <row r="6022" spans="1:15" x14ac:dyDescent="0.25">
      <c r="A6022" t="s">
        <v>103</v>
      </c>
      <c r="B6022" s="11" t="s">
        <v>117</v>
      </c>
      <c r="C6022" t="b">
        <v>1</v>
      </c>
      <c r="D6022" s="1">
        <v>43646</v>
      </c>
      <c r="E6022" s="2">
        <f>(-1*(1*4.99+(2.99)))</f>
        <v>-7.98</v>
      </c>
    </row>
    <row r="6023" spans="1:15" x14ac:dyDescent="0.25">
      <c r="A6023" t="s">
        <v>103</v>
      </c>
      <c r="B6023" s="11" t="s">
        <v>117</v>
      </c>
      <c r="C6023" t="b">
        <v>1</v>
      </c>
      <c r="D6023" s="1">
        <v>43646</v>
      </c>
      <c r="E6023" s="2">
        <f>(-1*(2.99))</f>
        <v>-2.99</v>
      </c>
    </row>
    <row r="6024" spans="1:15" x14ac:dyDescent="0.25">
      <c r="A6024" t="s">
        <v>43</v>
      </c>
      <c r="B6024" s="11" t="s">
        <v>115</v>
      </c>
      <c r="C6024" t="b">
        <v>0</v>
      </c>
      <c r="D6024" s="1">
        <v>43646</v>
      </c>
      <c r="E6024">
        <v>5</v>
      </c>
    </row>
    <row r="6025" spans="1:15" x14ac:dyDescent="0.25">
      <c r="A6025" t="s">
        <v>48</v>
      </c>
      <c r="B6025" s="11" t="s">
        <v>115</v>
      </c>
      <c r="C6025" t="b">
        <v>1</v>
      </c>
      <c r="D6025" s="1">
        <v>43646</v>
      </c>
      <c r="E6025">
        <v>5</v>
      </c>
    </row>
    <row r="6026" spans="1:15" x14ac:dyDescent="0.25">
      <c r="A6026" t="s">
        <v>49</v>
      </c>
      <c r="B6026" s="11" t="s">
        <v>115</v>
      </c>
      <c r="C6026" t="b">
        <v>1</v>
      </c>
      <c r="D6026" s="1">
        <v>43646</v>
      </c>
      <c r="E6026">
        <v>5</v>
      </c>
    </row>
    <row r="6027" spans="1:15" x14ac:dyDescent="0.25">
      <c r="A6027" t="s">
        <v>50</v>
      </c>
      <c r="B6027" s="11" t="s">
        <v>115</v>
      </c>
      <c r="C6027" t="b">
        <v>1</v>
      </c>
      <c r="D6027" s="1">
        <v>43646</v>
      </c>
      <c r="E6027">
        <v>5</v>
      </c>
    </row>
    <row r="6028" spans="1:15" x14ac:dyDescent="0.25">
      <c r="A6028" t="s">
        <v>51</v>
      </c>
      <c r="B6028" s="11" t="s">
        <v>115</v>
      </c>
      <c r="C6028" t="b">
        <v>1</v>
      </c>
      <c r="D6028" s="1">
        <v>43646</v>
      </c>
      <c r="E6028">
        <v>5</v>
      </c>
    </row>
    <row r="6029" spans="1:15" x14ac:dyDescent="0.25">
      <c r="A6029" t="s">
        <v>52</v>
      </c>
      <c r="B6029" s="11" t="s">
        <v>115</v>
      </c>
      <c r="C6029" t="b">
        <v>1</v>
      </c>
      <c r="D6029" s="1">
        <v>43646</v>
      </c>
      <c r="E6029">
        <v>5</v>
      </c>
    </row>
    <row r="6030" spans="1:15" x14ac:dyDescent="0.25">
      <c r="A6030" t="s">
        <v>190</v>
      </c>
      <c r="B6030" s="11" t="s">
        <v>115</v>
      </c>
      <c r="C6030" t="b">
        <v>1</v>
      </c>
      <c r="D6030" s="1">
        <v>43646</v>
      </c>
      <c r="E6030">
        <v>5</v>
      </c>
      <c r="F6030" s="13"/>
      <c r="G6030" s="13"/>
      <c r="H6030" s="13"/>
      <c r="I6030" s="13"/>
      <c r="J6030" s="13"/>
    </row>
    <row r="6031" spans="1:15" x14ac:dyDescent="0.25">
      <c r="A6031" t="s">
        <v>55</v>
      </c>
      <c r="B6031" s="11" t="s">
        <v>115</v>
      </c>
      <c r="C6031" t="b">
        <v>1</v>
      </c>
      <c r="D6031" s="1">
        <v>43646</v>
      </c>
      <c r="E6031">
        <v>5</v>
      </c>
    </row>
    <row r="6032" spans="1:15" x14ac:dyDescent="0.25">
      <c r="A6032" t="s">
        <v>58</v>
      </c>
      <c r="B6032" s="11" t="s">
        <v>115</v>
      </c>
      <c r="C6032" t="b">
        <v>1</v>
      </c>
      <c r="D6032" s="1">
        <v>43646</v>
      </c>
      <c r="E6032">
        <v>5</v>
      </c>
    </row>
    <row r="6033" spans="1:10" hidden="1" x14ac:dyDescent="0.25">
      <c r="A6033" t="s">
        <v>149</v>
      </c>
      <c r="B6033" s="11" t="s">
        <v>115</v>
      </c>
      <c r="C6033" t="b">
        <v>0</v>
      </c>
      <c r="D6033" s="1">
        <v>43646</v>
      </c>
      <c r="E6033">
        <v>5</v>
      </c>
    </row>
    <row r="6034" spans="1:10" x14ac:dyDescent="0.25">
      <c r="A6034" t="s">
        <v>144</v>
      </c>
      <c r="B6034" s="11" t="s">
        <v>115</v>
      </c>
      <c r="C6034" t="b">
        <v>0</v>
      </c>
      <c r="D6034" s="1">
        <v>43646</v>
      </c>
      <c r="E6034">
        <v>5</v>
      </c>
      <c r="F6034" s="13"/>
      <c r="G6034" s="13"/>
      <c r="H6034" s="13"/>
      <c r="I6034" s="13"/>
      <c r="J6034" s="13"/>
    </row>
    <row r="6035" spans="1:10" x14ac:dyDescent="0.25">
      <c r="A6035" t="s">
        <v>65</v>
      </c>
      <c r="B6035" s="11" t="s">
        <v>115</v>
      </c>
      <c r="C6035" t="b">
        <v>1</v>
      </c>
      <c r="D6035" s="1">
        <v>43646</v>
      </c>
      <c r="E6035">
        <v>5</v>
      </c>
    </row>
    <row r="6036" spans="1:10" hidden="1" x14ac:dyDescent="0.25">
      <c r="A6036" t="s">
        <v>146</v>
      </c>
      <c r="B6036" s="11" t="s">
        <v>115</v>
      </c>
      <c r="C6036" t="b">
        <v>0</v>
      </c>
      <c r="D6036" s="1">
        <v>43646</v>
      </c>
      <c r="E6036">
        <f>1+4</f>
        <v>5</v>
      </c>
    </row>
    <row r="6037" spans="1:10" x14ac:dyDescent="0.25">
      <c r="A6037" t="s">
        <v>66</v>
      </c>
      <c r="B6037" s="11" t="s">
        <v>115</v>
      </c>
      <c r="C6037" t="b">
        <v>1</v>
      </c>
      <c r="D6037" s="1">
        <v>43646</v>
      </c>
      <c r="E6037">
        <v>5</v>
      </c>
    </row>
    <row r="6038" spans="1:10" x14ac:dyDescent="0.25">
      <c r="A6038" t="s">
        <v>75</v>
      </c>
      <c r="B6038" s="11" t="s">
        <v>115</v>
      </c>
      <c r="C6038" t="b">
        <v>1</v>
      </c>
      <c r="D6038" s="1">
        <v>43646</v>
      </c>
      <c r="E6038">
        <v>5</v>
      </c>
    </row>
    <row r="6039" spans="1:10" hidden="1" x14ac:dyDescent="0.25">
      <c r="A6039" t="s">
        <v>147</v>
      </c>
      <c r="B6039" s="11" t="s">
        <v>115</v>
      </c>
      <c r="C6039" t="b">
        <v>0</v>
      </c>
      <c r="D6039" s="1">
        <v>43646</v>
      </c>
      <c r="E6039">
        <v>5</v>
      </c>
    </row>
    <row r="6040" spans="1:10" x14ac:dyDescent="0.25">
      <c r="A6040" t="s">
        <v>76</v>
      </c>
      <c r="B6040" s="11" t="s">
        <v>115</v>
      </c>
      <c r="C6040" t="b">
        <v>1</v>
      </c>
      <c r="D6040" s="1">
        <v>43646</v>
      </c>
      <c r="E6040">
        <v>1E-3</v>
      </c>
    </row>
    <row r="6041" spans="1:10" x14ac:dyDescent="0.25">
      <c r="A6041" t="s">
        <v>82</v>
      </c>
      <c r="B6041" s="11" t="s">
        <v>115</v>
      </c>
      <c r="C6041" t="b">
        <v>1</v>
      </c>
      <c r="D6041" s="1">
        <v>43646</v>
      </c>
      <c r="E6041">
        <v>5</v>
      </c>
    </row>
    <row r="6042" spans="1:10" x14ac:dyDescent="0.25">
      <c r="A6042" t="s">
        <v>84</v>
      </c>
      <c r="B6042" s="11" t="s">
        <v>115</v>
      </c>
      <c r="C6042" t="b">
        <v>1</v>
      </c>
      <c r="D6042" s="1">
        <v>43646</v>
      </c>
      <c r="E6042">
        <v>5</v>
      </c>
    </row>
    <row r="6043" spans="1:10" x14ac:dyDescent="0.25">
      <c r="A6043" t="s">
        <v>87</v>
      </c>
      <c r="B6043" s="11" t="s">
        <v>115</v>
      </c>
      <c r="C6043" t="b">
        <v>1</v>
      </c>
      <c r="D6043" s="1">
        <v>43646</v>
      </c>
      <c r="E6043">
        <v>5</v>
      </c>
    </row>
    <row r="6044" spans="1:10" x14ac:dyDescent="0.25">
      <c r="A6044" t="s">
        <v>93</v>
      </c>
      <c r="B6044" s="11" t="s">
        <v>115</v>
      </c>
      <c r="C6044" t="b">
        <v>0</v>
      </c>
      <c r="D6044" s="1">
        <v>43646</v>
      </c>
      <c r="E6044">
        <v>1</v>
      </c>
    </row>
    <row r="6045" spans="1:10" x14ac:dyDescent="0.25">
      <c r="A6045" t="s">
        <v>148</v>
      </c>
      <c r="B6045" s="11" t="s">
        <v>115</v>
      </c>
      <c r="C6045" t="b">
        <v>1</v>
      </c>
      <c r="D6045" s="1">
        <v>43646</v>
      </c>
      <c r="E6045">
        <v>5</v>
      </c>
    </row>
    <row r="6046" spans="1:10" x14ac:dyDescent="0.25">
      <c r="A6046" t="s">
        <v>96</v>
      </c>
      <c r="B6046" s="11" t="s">
        <v>115</v>
      </c>
      <c r="C6046" t="b">
        <v>1</v>
      </c>
      <c r="D6046" s="1">
        <v>43646</v>
      </c>
      <c r="E6046">
        <v>5</v>
      </c>
    </row>
    <row r="6047" spans="1:10" x14ac:dyDescent="0.25">
      <c r="A6047" t="s">
        <v>98</v>
      </c>
      <c r="B6047" s="11" t="s">
        <v>115</v>
      </c>
      <c r="C6047" t="b">
        <v>1</v>
      </c>
      <c r="D6047" s="1">
        <v>43646</v>
      </c>
      <c r="E6047">
        <v>5</v>
      </c>
      <c r="F6047" s="13"/>
      <c r="G6047" s="13"/>
      <c r="H6047" s="13"/>
      <c r="I6047" s="13"/>
      <c r="J6047" s="13"/>
    </row>
    <row r="6048" spans="1:10" x14ac:dyDescent="0.25">
      <c r="A6048" t="s">
        <v>97</v>
      </c>
      <c r="B6048" s="11" t="s">
        <v>115</v>
      </c>
      <c r="C6048" t="b">
        <v>1</v>
      </c>
      <c r="D6048" s="1">
        <v>43646</v>
      </c>
      <c r="E6048">
        <v>5</v>
      </c>
    </row>
    <row r="6049" spans="1:15" x14ac:dyDescent="0.25">
      <c r="A6049" t="s">
        <v>99</v>
      </c>
      <c r="B6049" s="11" t="s">
        <v>114</v>
      </c>
      <c r="C6049" t="b">
        <v>1</v>
      </c>
      <c r="D6049" s="1">
        <v>43646</v>
      </c>
      <c r="E6049" s="37">
        <f>SUM(K6049:O6049)</f>
        <v>7.95</v>
      </c>
      <c r="F6049" s="15">
        <f>1+1+1+1</f>
        <v>4</v>
      </c>
      <c r="G6049" s="15">
        <f>4+3+2</f>
        <v>9</v>
      </c>
      <c r="H6049" s="15">
        <f>2+9+3</f>
        <v>14</v>
      </c>
      <c r="I6049" s="15">
        <v>6</v>
      </c>
      <c r="J6049" s="15">
        <v>0</v>
      </c>
      <c r="K6049" s="38">
        <f>F6049*K$1</f>
        <v>4</v>
      </c>
      <c r="L6049" s="38">
        <f>G6049*L$1</f>
        <v>2.25</v>
      </c>
      <c r="M6049" s="38">
        <f>H6049*M$1</f>
        <v>1.4000000000000001</v>
      </c>
      <c r="N6049" s="38">
        <f>I6049*N$1</f>
        <v>0.30000000000000004</v>
      </c>
      <c r="O6049" s="38">
        <f>J6049*O$1</f>
        <v>0</v>
      </c>
    </row>
    <row r="6050" spans="1:15" x14ac:dyDescent="0.25">
      <c r="A6050" t="s">
        <v>104</v>
      </c>
      <c r="B6050" s="11" t="s">
        <v>117</v>
      </c>
      <c r="C6050" t="b">
        <v>1</v>
      </c>
      <c r="D6050" s="1">
        <v>43677</v>
      </c>
      <c r="E6050">
        <v>-5</v>
      </c>
    </row>
    <row r="6051" spans="1:15" x14ac:dyDescent="0.25">
      <c r="A6051" t="s">
        <v>102</v>
      </c>
      <c r="B6051" s="11" t="s">
        <v>117</v>
      </c>
      <c r="C6051" t="b">
        <v>1</v>
      </c>
      <c r="D6051" s="1">
        <v>43677</v>
      </c>
      <c r="E6051">
        <f>-1*((8*3)+5*8.79)</f>
        <v>-67.949999999999989</v>
      </c>
    </row>
    <row r="6052" spans="1:15" x14ac:dyDescent="0.25">
      <c r="A6052" t="s">
        <v>101</v>
      </c>
      <c r="B6052" s="11" t="s">
        <v>117</v>
      </c>
      <c r="C6052" t="b">
        <v>1</v>
      </c>
      <c r="D6052" s="1">
        <v>43677</v>
      </c>
      <c r="E6052" s="21">
        <f>-1*(3.99)</f>
        <v>-3.99</v>
      </c>
    </row>
    <row r="6053" spans="1:15" x14ac:dyDescent="0.25">
      <c r="A6053" t="s">
        <v>43</v>
      </c>
      <c r="B6053" s="11" t="s">
        <v>115</v>
      </c>
      <c r="C6053" t="b">
        <v>0</v>
      </c>
      <c r="D6053" s="1">
        <v>43677</v>
      </c>
      <c r="E6053">
        <v>5</v>
      </c>
    </row>
    <row r="6054" spans="1:15" x14ac:dyDescent="0.25">
      <c r="A6054" t="s">
        <v>48</v>
      </c>
      <c r="B6054" s="11" t="s">
        <v>115</v>
      </c>
      <c r="C6054" t="b">
        <v>1</v>
      </c>
      <c r="D6054" s="1">
        <v>43677</v>
      </c>
      <c r="E6054">
        <v>5</v>
      </c>
    </row>
    <row r="6055" spans="1:15" x14ac:dyDescent="0.25">
      <c r="A6055" t="s">
        <v>49</v>
      </c>
      <c r="B6055" s="11" t="s">
        <v>115</v>
      </c>
      <c r="C6055" t="b">
        <v>1</v>
      </c>
      <c r="D6055" s="1">
        <v>43677</v>
      </c>
      <c r="E6055">
        <v>5</v>
      </c>
    </row>
    <row r="6056" spans="1:15" x14ac:dyDescent="0.25">
      <c r="A6056" t="s">
        <v>50</v>
      </c>
      <c r="B6056" s="11" t="s">
        <v>115</v>
      </c>
      <c r="C6056" t="b">
        <v>1</v>
      </c>
      <c r="D6056" s="1">
        <v>43677</v>
      </c>
      <c r="E6056">
        <v>5</v>
      </c>
    </row>
    <row r="6057" spans="1:15" x14ac:dyDescent="0.25">
      <c r="A6057" t="s">
        <v>51</v>
      </c>
      <c r="B6057" s="11" t="s">
        <v>115</v>
      </c>
      <c r="C6057" t="b">
        <v>1</v>
      </c>
      <c r="D6057" s="1">
        <v>43677</v>
      </c>
      <c r="E6057">
        <v>5</v>
      </c>
    </row>
    <row r="6058" spans="1:15" x14ac:dyDescent="0.25">
      <c r="A6058" t="s">
        <v>52</v>
      </c>
      <c r="B6058" s="11" t="s">
        <v>115</v>
      </c>
      <c r="C6058" t="b">
        <v>1</v>
      </c>
      <c r="D6058" s="1">
        <v>43677</v>
      </c>
      <c r="E6058">
        <v>5</v>
      </c>
    </row>
    <row r="6059" spans="1:15" x14ac:dyDescent="0.25">
      <c r="A6059" t="s">
        <v>190</v>
      </c>
      <c r="B6059" s="11" t="s">
        <v>115</v>
      </c>
      <c r="C6059" t="b">
        <v>1</v>
      </c>
      <c r="D6059" s="1">
        <v>43677</v>
      </c>
      <c r="E6059">
        <v>5</v>
      </c>
      <c r="F6059" s="13"/>
      <c r="G6059" s="13"/>
      <c r="H6059" s="13"/>
      <c r="I6059" s="13"/>
      <c r="J6059" s="13"/>
    </row>
    <row r="6060" spans="1:15" x14ac:dyDescent="0.25">
      <c r="A6060" t="s">
        <v>55</v>
      </c>
      <c r="B6060" s="11" t="s">
        <v>115</v>
      </c>
      <c r="C6060" t="b">
        <v>1</v>
      </c>
      <c r="D6060" s="1">
        <v>43677</v>
      </c>
      <c r="E6060">
        <v>5</v>
      </c>
    </row>
    <row r="6061" spans="1:15" x14ac:dyDescent="0.25">
      <c r="A6061" t="s">
        <v>58</v>
      </c>
      <c r="B6061" s="11" t="s">
        <v>115</v>
      </c>
      <c r="C6061" t="b">
        <v>1</v>
      </c>
      <c r="D6061" s="1">
        <v>43677</v>
      </c>
      <c r="E6061">
        <v>5</v>
      </c>
    </row>
    <row r="6062" spans="1:15" x14ac:dyDescent="0.25">
      <c r="A6062" t="s">
        <v>65</v>
      </c>
      <c r="B6062" s="11" t="s">
        <v>115</v>
      </c>
      <c r="C6062" t="b">
        <v>1</v>
      </c>
      <c r="D6062" s="1">
        <v>43677</v>
      </c>
      <c r="E6062">
        <v>5</v>
      </c>
    </row>
    <row r="6063" spans="1:15" x14ac:dyDescent="0.25">
      <c r="A6063" t="s">
        <v>66</v>
      </c>
      <c r="B6063" s="11" t="s">
        <v>115</v>
      </c>
      <c r="C6063" t="b">
        <v>1</v>
      </c>
      <c r="D6063" s="1">
        <v>43677</v>
      </c>
      <c r="E6063">
        <v>5</v>
      </c>
    </row>
    <row r="6064" spans="1:15" x14ac:dyDescent="0.25">
      <c r="A6064" t="s">
        <v>75</v>
      </c>
      <c r="B6064" s="11" t="s">
        <v>115</v>
      </c>
      <c r="C6064" t="b">
        <v>1</v>
      </c>
      <c r="D6064" s="1">
        <v>43677</v>
      </c>
      <c r="E6064">
        <v>5</v>
      </c>
    </row>
    <row r="6065" spans="1:15" x14ac:dyDescent="0.25">
      <c r="A6065" t="s">
        <v>76</v>
      </c>
      <c r="B6065" s="11" t="s">
        <v>115</v>
      </c>
      <c r="C6065" t="b">
        <v>1</v>
      </c>
      <c r="D6065" s="1">
        <v>43677</v>
      </c>
      <c r="E6065">
        <v>1E-3</v>
      </c>
    </row>
    <row r="6066" spans="1:15" x14ac:dyDescent="0.25">
      <c r="A6066" t="s">
        <v>82</v>
      </c>
      <c r="B6066" s="11" t="s">
        <v>115</v>
      </c>
      <c r="C6066" t="b">
        <v>1</v>
      </c>
      <c r="D6066" s="1">
        <v>43677</v>
      </c>
      <c r="E6066">
        <v>5</v>
      </c>
    </row>
    <row r="6067" spans="1:15" ht="15.75" customHeight="1" x14ac:dyDescent="0.25">
      <c r="A6067" t="s">
        <v>84</v>
      </c>
      <c r="B6067" s="11" t="s">
        <v>115</v>
      </c>
      <c r="C6067" t="b">
        <v>1</v>
      </c>
      <c r="D6067" s="1">
        <v>43677</v>
      </c>
      <c r="E6067">
        <v>5</v>
      </c>
    </row>
    <row r="6068" spans="1:15" hidden="1" x14ac:dyDescent="0.25">
      <c r="A6068" t="s">
        <v>147</v>
      </c>
      <c r="B6068" s="11" t="s">
        <v>115</v>
      </c>
      <c r="C6068" t="b">
        <v>0</v>
      </c>
      <c r="D6068" s="1">
        <v>43677</v>
      </c>
      <c r="E6068">
        <v>5</v>
      </c>
    </row>
    <row r="6069" spans="1:15" ht="15.75" customHeight="1" x14ac:dyDescent="0.25">
      <c r="A6069" t="s">
        <v>87</v>
      </c>
      <c r="B6069" s="11" t="s">
        <v>115</v>
      </c>
      <c r="C6069" t="b">
        <v>1</v>
      </c>
      <c r="D6069" s="1">
        <v>43677</v>
      </c>
      <c r="E6069">
        <v>5</v>
      </c>
    </row>
    <row r="6070" spans="1:15" ht="15.75" customHeight="1" x14ac:dyDescent="0.25">
      <c r="A6070" t="s">
        <v>93</v>
      </c>
      <c r="B6070" s="11" t="s">
        <v>115</v>
      </c>
      <c r="C6070" t="b">
        <v>1</v>
      </c>
      <c r="D6070" s="1">
        <v>43677</v>
      </c>
      <c r="E6070">
        <v>5</v>
      </c>
    </row>
    <row r="6071" spans="1:15" ht="15.75" customHeight="1" x14ac:dyDescent="0.25">
      <c r="A6071" t="s">
        <v>148</v>
      </c>
      <c r="B6071" s="11" t="s">
        <v>115</v>
      </c>
      <c r="C6071" t="b">
        <v>1</v>
      </c>
      <c r="D6071" s="1">
        <v>43677</v>
      </c>
      <c r="E6071">
        <v>5</v>
      </c>
    </row>
    <row r="6072" spans="1:15" ht="15.75" customHeight="1" x14ac:dyDescent="0.25">
      <c r="A6072" t="s">
        <v>96</v>
      </c>
      <c r="B6072" s="11" t="s">
        <v>115</v>
      </c>
      <c r="C6072" t="b">
        <v>1</v>
      </c>
      <c r="D6072" s="1">
        <v>43677</v>
      </c>
      <c r="E6072">
        <v>5</v>
      </c>
    </row>
    <row r="6073" spans="1:15" ht="15.75" customHeight="1" x14ac:dyDescent="0.25">
      <c r="A6073" t="s">
        <v>98</v>
      </c>
      <c r="B6073" s="11" t="s">
        <v>115</v>
      </c>
      <c r="C6073" t="b">
        <v>1</v>
      </c>
      <c r="D6073" s="1">
        <v>43677</v>
      </c>
      <c r="E6073">
        <v>5</v>
      </c>
      <c r="F6073" s="13"/>
      <c r="G6073" s="13"/>
      <c r="H6073" s="13"/>
      <c r="I6073" s="13"/>
      <c r="J6073" s="13"/>
    </row>
    <row r="6074" spans="1:15" ht="15.75" customHeight="1" x14ac:dyDescent="0.25">
      <c r="A6074" t="s">
        <v>97</v>
      </c>
      <c r="B6074" s="11" t="s">
        <v>115</v>
      </c>
      <c r="C6074" t="b">
        <v>1</v>
      </c>
      <c r="D6074" s="1">
        <v>43677</v>
      </c>
      <c r="E6074">
        <v>5</v>
      </c>
    </row>
    <row r="6075" spans="1:15" ht="15.75" customHeight="1" x14ac:dyDescent="0.25">
      <c r="A6075" t="s">
        <v>99</v>
      </c>
      <c r="B6075" s="11" t="s">
        <v>114</v>
      </c>
      <c r="C6075" t="b">
        <v>1</v>
      </c>
      <c r="D6075" s="1">
        <v>43677</v>
      </c>
      <c r="E6075" s="37">
        <f>SUM(K6075:O6075)</f>
        <v>15.1</v>
      </c>
      <c r="F6075" s="15">
        <f>3+3+1+2+1+1+1</f>
        <v>12</v>
      </c>
      <c r="G6075" s="15">
        <f>3+3+2</f>
        <v>8</v>
      </c>
      <c r="H6075" s="15">
        <f>9</f>
        <v>9</v>
      </c>
      <c r="I6075" s="15">
        <f>2+2</f>
        <v>4</v>
      </c>
      <c r="J6075" s="15">
        <v>0</v>
      </c>
      <c r="K6075" s="38">
        <f>F6075*K$1</f>
        <v>12</v>
      </c>
      <c r="L6075" s="38">
        <f>G6075*L$1</f>
        <v>2</v>
      </c>
      <c r="M6075" s="38">
        <f>H6075*M$1</f>
        <v>0.9</v>
      </c>
      <c r="N6075" s="38">
        <f>I6075*N$1</f>
        <v>0.2</v>
      </c>
      <c r="O6075" s="38">
        <f>J6075*O$1</f>
        <v>0</v>
      </c>
    </row>
    <row r="6076" spans="1:15" x14ac:dyDescent="0.25">
      <c r="A6076" t="s">
        <v>100</v>
      </c>
      <c r="B6076" s="11" t="s">
        <v>117</v>
      </c>
      <c r="C6076" t="b">
        <v>1</v>
      </c>
      <c r="D6076" s="1">
        <v>43708</v>
      </c>
      <c r="E6076" s="2">
        <f>-1*(8*9.69)</f>
        <v>-77.52</v>
      </c>
    </row>
    <row r="6077" spans="1:15" x14ac:dyDescent="0.25">
      <c r="A6077" t="s">
        <v>104</v>
      </c>
      <c r="B6077" s="11" t="s">
        <v>117</v>
      </c>
      <c r="C6077" t="b">
        <v>1</v>
      </c>
      <c r="D6077" s="1">
        <v>43708</v>
      </c>
      <c r="E6077">
        <v>-5</v>
      </c>
    </row>
    <row r="6078" spans="1:15" x14ac:dyDescent="0.25">
      <c r="A6078" t="s">
        <v>102</v>
      </c>
      <c r="B6078" s="11" t="s">
        <v>117</v>
      </c>
      <c r="C6078" t="b">
        <v>1</v>
      </c>
      <c r="D6078" s="1">
        <v>43708</v>
      </c>
      <c r="E6078">
        <f>-1*(5*3)</f>
        <v>-15</v>
      </c>
    </row>
    <row r="6079" spans="1:15" x14ac:dyDescent="0.25">
      <c r="A6079" t="s">
        <v>48</v>
      </c>
      <c r="B6079" s="11" t="s">
        <v>115</v>
      </c>
      <c r="C6079" t="b">
        <v>1</v>
      </c>
      <c r="D6079" s="1">
        <v>43708</v>
      </c>
      <c r="E6079">
        <v>5</v>
      </c>
    </row>
    <row r="6080" spans="1:15" x14ac:dyDescent="0.25">
      <c r="A6080" t="s">
        <v>49</v>
      </c>
      <c r="B6080" s="11" t="s">
        <v>115</v>
      </c>
      <c r="C6080" t="b">
        <v>1</v>
      </c>
      <c r="D6080" s="1">
        <v>43708</v>
      </c>
      <c r="E6080">
        <v>5</v>
      </c>
    </row>
    <row r="6081" spans="1:10" x14ac:dyDescent="0.25">
      <c r="A6081" t="s">
        <v>50</v>
      </c>
      <c r="B6081" s="11" t="s">
        <v>115</v>
      </c>
      <c r="C6081" t="b">
        <v>1</v>
      </c>
      <c r="D6081" s="1">
        <v>43708</v>
      </c>
      <c r="E6081">
        <v>5</v>
      </c>
    </row>
    <row r="6082" spans="1:10" x14ac:dyDescent="0.25">
      <c r="A6082" t="s">
        <v>51</v>
      </c>
      <c r="B6082" s="11" t="s">
        <v>115</v>
      </c>
      <c r="C6082" t="b">
        <v>1</v>
      </c>
      <c r="D6082" s="1">
        <v>43708</v>
      </c>
      <c r="E6082">
        <v>5</v>
      </c>
    </row>
    <row r="6083" spans="1:10" x14ac:dyDescent="0.25">
      <c r="A6083" t="s">
        <v>52</v>
      </c>
      <c r="B6083" s="11" t="s">
        <v>115</v>
      </c>
      <c r="C6083" t="b">
        <v>1</v>
      </c>
      <c r="D6083" s="1">
        <v>43708</v>
      </c>
      <c r="E6083">
        <v>5</v>
      </c>
    </row>
    <row r="6084" spans="1:10" x14ac:dyDescent="0.25">
      <c r="A6084" t="s">
        <v>190</v>
      </c>
      <c r="B6084" s="11" t="s">
        <v>115</v>
      </c>
      <c r="C6084" t="b">
        <v>1</v>
      </c>
      <c r="D6084" s="1">
        <v>43708</v>
      </c>
      <c r="E6084">
        <v>5</v>
      </c>
      <c r="F6084" s="13"/>
      <c r="G6084" s="13"/>
      <c r="H6084" s="13"/>
      <c r="I6084" s="13"/>
      <c r="J6084" s="13"/>
    </row>
    <row r="6085" spans="1:10" x14ac:dyDescent="0.25">
      <c r="A6085" t="s">
        <v>55</v>
      </c>
      <c r="B6085" s="11" t="s">
        <v>115</v>
      </c>
      <c r="C6085" t="b">
        <v>1</v>
      </c>
      <c r="D6085" s="1">
        <v>43708</v>
      </c>
      <c r="E6085">
        <v>5</v>
      </c>
    </row>
    <row r="6086" spans="1:10" x14ac:dyDescent="0.25">
      <c r="A6086" t="s">
        <v>58</v>
      </c>
      <c r="B6086" s="11" t="s">
        <v>115</v>
      </c>
      <c r="C6086" t="b">
        <v>1</v>
      </c>
      <c r="D6086" s="1">
        <v>43708</v>
      </c>
      <c r="E6086">
        <v>5</v>
      </c>
    </row>
    <row r="6087" spans="1:10" x14ac:dyDescent="0.25">
      <c r="A6087" t="s">
        <v>65</v>
      </c>
      <c r="B6087" s="11" t="s">
        <v>115</v>
      </c>
      <c r="C6087" t="b">
        <v>1</v>
      </c>
      <c r="D6087" s="1">
        <v>43708</v>
      </c>
      <c r="E6087">
        <v>5</v>
      </c>
    </row>
    <row r="6088" spans="1:10" x14ac:dyDescent="0.25">
      <c r="A6088" t="s">
        <v>66</v>
      </c>
      <c r="B6088" s="11" t="s">
        <v>115</v>
      </c>
      <c r="C6088" t="b">
        <v>1</v>
      </c>
      <c r="D6088" s="1">
        <v>43708</v>
      </c>
      <c r="E6088">
        <v>5</v>
      </c>
    </row>
    <row r="6089" spans="1:10" x14ac:dyDescent="0.25">
      <c r="A6089" t="s">
        <v>75</v>
      </c>
      <c r="B6089" s="11" t="s">
        <v>115</v>
      </c>
      <c r="C6089" t="b">
        <v>1</v>
      </c>
      <c r="D6089" s="1">
        <v>43708</v>
      </c>
      <c r="E6089">
        <v>5</v>
      </c>
    </row>
    <row r="6090" spans="1:10" x14ac:dyDescent="0.25">
      <c r="A6090" t="s">
        <v>76</v>
      </c>
      <c r="B6090" s="11" t="s">
        <v>115</v>
      </c>
      <c r="C6090" t="b">
        <v>1</v>
      </c>
      <c r="D6090" s="1">
        <v>43708</v>
      </c>
      <c r="E6090">
        <v>1E-3</v>
      </c>
    </row>
    <row r="6091" spans="1:10" x14ac:dyDescent="0.25">
      <c r="A6091" t="s">
        <v>82</v>
      </c>
      <c r="B6091" s="11" t="s">
        <v>115</v>
      </c>
      <c r="C6091" t="b">
        <v>1</v>
      </c>
      <c r="D6091" s="1">
        <v>43708</v>
      </c>
      <c r="E6091">
        <v>5</v>
      </c>
    </row>
    <row r="6092" spans="1:10" x14ac:dyDescent="0.25">
      <c r="A6092" t="s">
        <v>84</v>
      </c>
      <c r="B6092" s="11" t="s">
        <v>115</v>
      </c>
      <c r="C6092" t="b">
        <v>1</v>
      </c>
      <c r="D6092" s="1">
        <v>43708</v>
      </c>
      <c r="E6092">
        <v>5</v>
      </c>
    </row>
    <row r="6093" spans="1:10" x14ac:dyDescent="0.25">
      <c r="A6093" t="s">
        <v>87</v>
      </c>
      <c r="B6093" s="11" t="s">
        <v>115</v>
      </c>
      <c r="C6093" t="b">
        <v>1</v>
      </c>
      <c r="D6093" s="1">
        <v>43708</v>
      </c>
      <c r="E6093">
        <v>5</v>
      </c>
    </row>
    <row r="6094" spans="1:10" x14ac:dyDescent="0.25">
      <c r="A6094" t="s">
        <v>93</v>
      </c>
      <c r="B6094" s="11" t="s">
        <v>115</v>
      </c>
      <c r="C6094" t="b">
        <v>1</v>
      </c>
      <c r="D6094" s="1">
        <v>43708</v>
      </c>
      <c r="E6094">
        <v>5</v>
      </c>
    </row>
    <row r="6095" spans="1:10" x14ac:dyDescent="0.25">
      <c r="A6095" t="s">
        <v>148</v>
      </c>
      <c r="B6095" s="11" t="s">
        <v>115</v>
      </c>
      <c r="C6095" t="b">
        <v>1</v>
      </c>
      <c r="D6095" s="1">
        <v>43708</v>
      </c>
      <c r="E6095">
        <v>5</v>
      </c>
    </row>
    <row r="6096" spans="1:10" x14ac:dyDescent="0.25">
      <c r="A6096" t="s">
        <v>199</v>
      </c>
      <c r="B6096" s="11" t="s">
        <v>115</v>
      </c>
      <c r="C6096" t="b">
        <v>1</v>
      </c>
      <c r="D6096" s="1">
        <v>43708</v>
      </c>
      <c r="E6096">
        <v>5</v>
      </c>
    </row>
    <row r="6097" spans="1:15" x14ac:dyDescent="0.25">
      <c r="A6097" t="s">
        <v>96</v>
      </c>
      <c r="B6097" s="11" t="s">
        <v>115</v>
      </c>
      <c r="C6097" t="b">
        <v>1</v>
      </c>
      <c r="D6097" s="1">
        <v>43708</v>
      </c>
      <c r="E6097">
        <v>5</v>
      </c>
    </row>
    <row r="6098" spans="1:15" x14ac:dyDescent="0.25">
      <c r="A6098" t="s">
        <v>98</v>
      </c>
      <c r="B6098" s="11" t="s">
        <v>115</v>
      </c>
      <c r="C6098" t="b">
        <v>1</v>
      </c>
      <c r="D6098" s="1">
        <v>43708</v>
      </c>
      <c r="E6098">
        <v>5</v>
      </c>
      <c r="F6098" s="13"/>
      <c r="G6098" s="13"/>
      <c r="H6098" s="13"/>
      <c r="I6098" s="13"/>
      <c r="J6098" s="13"/>
    </row>
    <row r="6099" spans="1:15" x14ac:dyDescent="0.25">
      <c r="A6099" t="s">
        <v>97</v>
      </c>
      <c r="B6099" s="11" t="s">
        <v>115</v>
      </c>
      <c r="C6099" t="b">
        <v>1</v>
      </c>
      <c r="D6099" s="1">
        <v>43708</v>
      </c>
      <c r="E6099">
        <v>5</v>
      </c>
    </row>
    <row r="6100" spans="1:15" x14ac:dyDescent="0.25">
      <c r="A6100" t="s">
        <v>99</v>
      </c>
      <c r="B6100" s="11" t="s">
        <v>114</v>
      </c>
      <c r="C6100" t="b">
        <v>1</v>
      </c>
      <c r="D6100" s="1">
        <v>43708</v>
      </c>
      <c r="E6100" s="37">
        <f>SUM(K6100:O6100)</f>
        <v>8.26</v>
      </c>
      <c r="F6100" s="15">
        <f>2+1+1+1</f>
        <v>5</v>
      </c>
      <c r="G6100" s="15">
        <f>1+2+6</f>
        <v>9</v>
      </c>
      <c r="H6100" s="15">
        <f>8</f>
        <v>8</v>
      </c>
      <c r="I6100" s="15">
        <f>3+1</f>
        <v>4</v>
      </c>
      <c r="J6100" s="15">
        <f>1</f>
        <v>1</v>
      </c>
      <c r="K6100" s="38">
        <f>F6100*K$1</f>
        <v>5</v>
      </c>
      <c r="L6100" s="38">
        <f>G6100*L$1</f>
        <v>2.25</v>
      </c>
      <c r="M6100" s="38">
        <f>H6100*M$1</f>
        <v>0.8</v>
      </c>
      <c r="N6100" s="38">
        <f>I6100*N$1</f>
        <v>0.2</v>
      </c>
      <c r="O6100" s="38">
        <f>J6100*O$1</f>
        <v>0.01</v>
      </c>
    </row>
    <row r="6101" spans="1:15" x14ac:dyDescent="0.25">
      <c r="A6101" t="s">
        <v>100</v>
      </c>
      <c r="B6101" s="11" t="s">
        <v>117</v>
      </c>
      <c r="C6101" t="b">
        <v>1</v>
      </c>
      <c r="D6101" s="1">
        <v>43738</v>
      </c>
      <c r="E6101" s="2">
        <f>-1*(8*8.99)</f>
        <v>-71.92</v>
      </c>
    </row>
    <row r="6102" spans="1:15" ht="15.75" customHeight="1" x14ac:dyDescent="0.25">
      <c r="A6102" t="s">
        <v>104</v>
      </c>
      <c r="B6102" s="11" t="s">
        <v>117</v>
      </c>
      <c r="C6102" t="b">
        <v>1</v>
      </c>
      <c r="D6102" s="1">
        <v>43738</v>
      </c>
      <c r="E6102">
        <v>-5</v>
      </c>
    </row>
    <row r="6103" spans="1:15" ht="15.75" customHeight="1" x14ac:dyDescent="0.25">
      <c r="A6103" t="s">
        <v>102</v>
      </c>
      <c r="B6103" s="11" t="s">
        <v>117</v>
      </c>
      <c r="C6103" t="b">
        <v>1</v>
      </c>
      <c r="D6103" s="1">
        <v>43738</v>
      </c>
      <c r="E6103">
        <f>-1*(4*3)</f>
        <v>-12</v>
      </c>
    </row>
    <row r="6104" spans="1:15" ht="15.75" customHeight="1" x14ac:dyDescent="0.25">
      <c r="A6104" t="s">
        <v>102</v>
      </c>
      <c r="B6104" s="11" t="s">
        <v>117</v>
      </c>
      <c r="C6104" t="b">
        <v>1</v>
      </c>
      <c r="D6104" s="1">
        <v>43738</v>
      </c>
      <c r="E6104">
        <f>-1*(4*8.79)</f>
        <v>-35.159999999999997</v>
      </c>
    </row>
    <row r="6105" spans="1:15" ht="15.75" customHeight="1" x14ac:dyDescent="0.25">
      <c r="A6105" t="s">
        <v>102</v>
      </c>
      <c r="B6105" s="11" t="s">
        <v>117</v>
      </c>
      <c r="C6105" t="b">
        <v>1</v>
      </c>
      <c r="D6105" s="1">
        <v>43738</v>
      </c>
      <c r="E6105">
        <f>-1*(2*5.99)</f>
        <v>-11.98</v>
      </c>
    </row>
    <row r="6106" spans="1:15" x14ac:dyDescent="0.25">
      <c r="A6106" t="s">
        <v>103</v>
      </c>
      <c r="B6106" s="11" t="s">
        <v>117</v>
      </c>
      <c r="C6106" t="b">
        <v>1</v>
      </c>
      <c r="D6106" s="1">
        <v>43738</v>
      </c>
      <c r="E6106" s="2">
        <f>(-1*(1*4.99+(2.99)))</f>
        <v>-7.98</v>
      </c>
    </row>
    <row r="6107" spans="1:15" x14ac:dyDescent="0.25">
      <c r="A6107" t="s">
        <v>103</v>
      </c>
      <c r="B6107" s="11" t="s">
        <v>117</v>
      </c>
      <c r="C6107" t="b">
        <v>1</v>
      </c>
      <c r="D6107" s="1">
        <v>43738</v>
      </c>
      <c r="E6107" s="2">
        <f>(-1*(2.99))</f>
        <v>-2.99</v>
      </c>
    </row>
    <row r="6108" spans="1:15" x14ac:dyDescent="0.25">
      <c r="A6108" t="s">
        <v>48</v>
      </c>
      <c r="B6108" s="11" t="s">
        <v>115</v>
      </c>
      <c r="C6108" t="b">
        <v>1</v>
      </c>
      <c r="D6108" s="1">
        <v>43738</v>
      </c>
      <c r="E6108">
        <v>5</v>
      </c>
    </row>
    <row r="6109" spans="1:15" ht="15.75" customHeight="1" x14ac:dyDescent="0.25">
      <c r="A6109" t="s">
        <v>49</v>
      </c>
      <c r="B6109" s="11" t="s">
        <v>115</v>
      </c>
      <c r="C6109" t="b">
        <v>1</v>
      </c>
      <c r="D6109" s="1">
        <v>43738</v>
      </c>
      <c r="E6109">
        <v>5</v>
      </c>
    </row>
    <row r="6110" spans="1:15" x14ac:dyDescent="0.25">
      <c r="A6110" t="s">
        <v>50</v>
      </c>
      <c r="B6110" s="11" t="s">
        <v>115</v>
      </c>
      <c r="C6110" t="b">
        <v>1</v>
      </c>
      <c r="D6110" s="1">
        <v>43738</v>
      </c>
      <c r="E6110">
        <v>5</v>
      </c>
    </row>
    <row r="6111" spans="1:15" x14ac:dyDescent="0.25">
      <c r="A6111" t="s">
        <v>51</v>
      </c>
      <c r="B6111" s="11" t="s">
        <v>115</v>
      </c>
      <c r="C6111" t="b">
        <v>1</v>
      </c>
      <c r="D6111" s="1">
        <v>43738</v>
      </c>
      <c r="E6111">
        <v>5</v>
      </c>
    </row>
    <row r="6112" spans="1:15" x14ac:dyDescent="0.25">
      <c r="A6112" t="s">
        <v>52</v>
      </c>
      <c r="B6112" s="11" t="s">
        <v>115</v>
      </c>
      <c r="C6112" t="b">
        <v>1</v>
      </c>
      <c r="D6112" s="1">
        <v>43738</v>
      </c>
      <c r="E6112">
        <v>5</v>
      </c>
    </row>
    <row r="6113" spans="1:10" x14ac:dyDescent="0.25">
      <c r="A6113" t="s">
        <v>190</v>
      </c>
      <c r="B6113" s="11" t="s">
        <v>115</v>
      </c>
      <c r="C6113" t="b">
        <v>1</v>
      </c>
      <c r="D6113" s="1">
        <v>43738</v>
      </c>
      <c r="E6113">
        <v>5</v>
      </c>
      <c r="F6113" s="13"/>
      <c r="G6113" s="13"/>
      <c r="H6113" s="13"/>
      <c r="I6113" s="13"/>
      <c r="J6113" s="13"/>
    </row>
    <row r="6114" spans="1:10" x14ac:dyDescent="0.25">
      <c r="A6114" t="s">
        <v>55</v>
      </c>
      <c r="B6114" s="11" t="s">
        <v>115</v>
      </c>
      <c r="C6114" t="b">
        <v>1</v>
      </c>
      <c r="D6114" s="1">
        <v>43738</v>
      </c>
      <c r="E6114">
        <v>5</v>
      </c>
    </row>
    <row r="6115" spans="1:10" x14ac:dyDescent="0.25">
      <c r="A6115" t="s">
        <v>58</v>
      </c>
      <c r="B6115" s="11" t="s">
        <v>115</v>
      </c>
      <c r="C6115" t="b">
        <v>1</v>
      </c>
      <c r="D6115" s="1">
        <v>43738</v>
      </c>
      <c r="E6115">
        <v>5</v>
      </c>
    </row>
    <row r="6116" spans="1:10" x14ac:dyDescent="0.25">
      <c r="A6116" t="s">
        <v>149</v>
      </c>
      <c r="B6116" s="11" t="s">
        <v>115</v>
      </c>
      <c r="C6116" t="b">
        <v>1</v>
      </c>
      <c r="D6116" s="1">
        <v>43738</v>
      </c>
      <c r="E6116">
        <v>5</v>
      </c>
    </row>
    <row r="6117" spans="1:10" x14ac:dyDescent="0.25">
      <c r="A6117" t="s">
        <v>65</v>
      </c>
      <c r="B6117" s="11" t="s">
        <v>115</v>
      </c>
      <c r="C6117" t="b">
        <v>1</v>
      </c>
      <c r="D6117" s="1">
        <v>43738</v>
      </c>
      <c r="E6117">
        <v>5</v>
      </c>
    </row>
    <row r="6118" spans="1:10" x14ac:dyDescent="0.25">
      <c r="A6118" t="s">
        <v>66</v>
      </c>
      <c r="B6118" s="11" t="s">
        <v>115</v>
      </c>
      <c r="C6118" t="b">
        <v>1</v>
      </c>
      <c r="D6118" s="1">
        <v>43738</v>
      </c>
      <c r="E6118">
        <v>5</v>
      </c>
    </row>
    <row r="6119" spans="1:10" x14ac:dyDescent="0.25">
      <c r="A6119" t="s">
        <v>75</v>
      </c>
      <c r="B6119" s="11" t="s">
        <v>115</v>
      </c>
      <c r="C6119" t="b">
        <v>1</v>
      </c>
      <c r="D6119" s="1">
        <v>43738</v>
      </c>
      <c r="E6119">
        <v>5</v>
      </c>
    </row>
    <row r="6120" spans="1:10" x14ac:dyDescent="0.25">
      <c r="A6120" t="s">
        <v>76</v>
      </c>
      <c r="B6120" s="11" t="s">
        <v>115</v>
      </c>
      <c r="C6120" t="b">
        <v>1</v>
      </c>
      <c r="D6120" s="1">
        <v>43738</v>
      </c>
      <c r="E6120">
        <v>1E-3</v>
      </c>
    </row>
    <row r="6121" spans="1:10" x14ac:dyDescent="0.25">
      <c r="A6121" t="s">
        <v>204</v>
      </c>
      <c r="B6121" s="11" t="s">
        <v>115</v>
      </c>
      <c r="C6121" t="b">
        <v>1</v>
      </c>
      <c r="D6121" s="1">
        <v>43738</v>
      </c>
      <c r="E6121">
        <v>5</v>
      </c>
    </row>
    <row r="6122" spans="1:10" x14ac:dyDescent="0.25">
      <c r="A6122" t="s">
        <v>147</v>
      </c>
      <c r="B6122" s="11" t="s">
        <v>115</v>
      </c>
      <c r="C6122" t="b">
        <v>1</v>
      </c>
      <c r="D6122" s="1">
        <v>43738</v>
      </c>
      <c r="E6122">
        <v>5</v>
      </c>
    </row>
    <row r="6123" spans="1:10" x14ac:dyDescent="0.25">
      <c r="A6123" t="s">
        <v>82</v>
      </c>
      <c r="B6123" s="11" t="s">
        <v>115</v>
      </c>
      <c r="C6123" t="b">
        <v>1</v>
      </c>
      <c r="D6123" s="1">
        <v>43738</v>
      </c>
      <c r="E6123">
        <v>5</v>
      </c>
    </row>
    <row r="6124" spans="1:10" x14ac:dyDescent="0.25">
      <c r="A6124" t="s">
        <v>84</v>
      </c>
      <c r="B6124" s="11" t="s">
        <v>115</v>
      </c>
      <c r="C6124" t="b">
        <v>1</v>
      </c>
      <c r="D6124" s="1">
        <v>43738</v>
      </c>
      <c r="E6124">
        <v>5</v>
      </c>
    </row>
    <row r="6125" spans="1:10" x14ac:dyDescent="0.25">
      <c r="A6125" t="s">
        <v>87</v>
      </c>
      <c r="B6125" s="11" t="s">
        <v>115</v>
      </c>
      <c r="C6125" t="b">
        <v>1</v>
      </c>
      <c r="D6125" s="1">
        <v>43738</v>
      </c>
      <c r="E6125">
        <v>5</v>
      </c>
    </row>
    <row r="6126" spans="1:10" x14ac:dyDescent="0.25">
      <c r="A6126" t="s">
        <v>93</v>
      </c>
      <c r="B6126" s="11" t="s">
        <v>115</v>
      </c>
      <c r="C6126" t="b">
        <v>1</v>
      </c>
      <c r="D6126" s="1">
        <v>43738</v>
      </c>
      <c r="E6126">
        <v>5</v>
      </c>
    </row>
    <row r="6127" spans="1:10" x14ac:dyDescent="0.25">
      <c r="A6127" t="s">
        <v>148</v>
      </c>
      <c r="B6127" s="11" t="s">
        <v>115</v>
      </c>
      <c r="C6127" t="b">
        <v>1</v>
      </c>
      <c r="D6127" s="1">
        <v>43738</v>
      </c>
      <c r="E6127">
        <v>5</v>
      </c>
    </row>
    <row r="6128" spans="1:10" x14ac:dyDescent="0.25">
      <c r="A6128" t="s">
        <v>199</v>
      </c>
      <c r="B6128" s="11" t="s">
        <v>115</v>
      </c>
      <c r="C6128" t="b">
        <v>1</v>
      </c>
      <c r="D6128" s="1">
        <v>43738</v>
      </c>
      <c r="E6128">
        <v>5</v>
      </c>
    </row>
    <row r="6129" spans="1:15" x14ac:dyDescent="0.25">
      <c r="A6129" t="s">
        <v>96</v>
      </c>
      <c r="B6129" s="11" t="s">
        <v>115</v>
      </c>
      <c r="C6129" t="b">
        <v>1</v>
      </c>
      <c r="D6129" s="1">
        <v>43738</v>
      </c>
      <c r="E6129">
        <v>5</v>
      </c>
    </row>
    <row r="6130" spans="1:15" x14ac:dyDescent="0.25">
      <c r="A6130" t="s">
        <v>98</v>
      </c>
      <c r="B6130" s="11" t="s">
        <v>115</v>
      </c>
      <c r="C6130" t="b">
        <v>1</v>
      </c>
      <c r="D6130" s="1">
        <v>43738</v>
      </c>
      <c r="E6130">
        <v>5</v>
      </c>
      <c r="F6130" s="13"/>
      <c r="G6130" s="13"/>
      <c r="H6130" s="13"/>
      <c r="I6130" s="13"/>
      <c r="J6130" s="13"/>
    </row>
    <row r="6131" spans="1:15" x14ac:dyDescent="0.25">
      <c r="A6131" t="s">
        <v>97</v>
      </c>
      <c r="B6131" s="11" t="s">
        <v>115</v>
      </c>
      <c r="C6131" t="b">
        <v>1</v>
      </c>
      <c r="D6131" s="1">
        <v>43738</v>
      </c>
      <c r="E6131">
        <v>5</v>
      </c>
    </row>
    <row r="6132" spans="1:15" x14ac:dyDescent="0.25">
      <c r="A6132" t="s">
        <v>99</v>
      </c>
      <c r="B6132" s="11" t="s">
        <v>114</v>
      </c>
      <c r="C6132" t="b">
        <v>1</v>
      </c>
      <c r="D6132" s="1">
        <v>43738</v>
      </c>
      <c r="E6132" s="37">
        <f>SUM(K6132:O6132)</f>
        <v>14.3</v>
      </c>
      <c r="F6132" s="15">
        <f>2+5+1+1+1+1</f>
        <v>11</v>
      </c>
      <c r="G6132" s="15">
        <f>3+2+5</f>
        <v>10</v>
      </c>
      <c r="H6132" s="15">
        <f>3+1+1</f>
        <v>5</v>
      </c>
      <c r="I6132" s="15">
        <f>1</f>
        <v>1</v>
      </c>
      <c r="J6132" s="15">
        <f>25</f>
        <v>25</v>
      </c>
      <c r="K6132" s="38">
        <f>F6132*K$1</f>
        <v>11</v>
      </c>
      <c r="L6132" s="38">
        <f>G6132*L$1</f>
        <v>2.5</v>
      </c>
      <c r="M6132" s="38">
        <f>H6132*M$1</f>
        <v>0.5</v>
      </c>
      <c r="N6132" s="38">
        <f>I6132*N$1</f>
        <v>0.05</v>
      </c>
      <c r="O6132" s="38">
        <f>J6132*O$1</f>
        <v>0.25</v>
      </c>
    </row>
    <row r="6133" spans="1:15" x14ac:dyDescent="0.25">
      <c r="A6133" t="s">
        <v>104</v>
      </c>
      <c r="B6133" s="11" t="s">
        <v>117</v>
      </c>
      <c r="C6133" t="b">
        <v>1</v>
      </c>
      <c r="D6133" s="1">
        <v>43769</v>
      </c>
      <c r="E6133">
        <v>-5</v>
      </c>
    </row>
    <row r="6134" spans="1:15" ht="15.75" customHeight="1" x14ac:dyDescent="0.25">
      <c r="A6134" t="s">
        <v>102</v>
      </c>
      <c r="B6134" s="11" t="s">
        <v>117</v>
      </c>
      <c r="C6134" t="b">
        <v>1</v>
      </c>
      <c r="D6134" s="1">
        <v>43769</v>
      </c>
      <c r="E6134">
        <f>-1*(1*3)</f>
        <v>-3</v>
      </c>
    </row>
    <row r="6135" spans="1:15" x14ac:dyDescent="0.25">
      <c r="A6135" t="s">
        <v>48</v>
      </c>
      <c r="B6135" s="11" t="s">
        <v>115</v>
      </c>
      <c r="C6135" t="b">
        <v>1</v>
      </c>
      <c r="D6135" s="1">
        <v>43769</v>
      </c>
      <c r="E6135">
        <v>5</v>
      </c>
    </row>
    <row r="6136" spans="1:15" x14ac:dyDescent="0.25">
      <c r="A6136" t="s">
        <v>49</v>
      </c>
      <c r="B6136" s="11" t="s">
        <v>115</v>
      </c>
      <c r="C6136" t="b">
        <v>1</v>
      </c>
      <c r="D6136" s="1">
        <v>43769</v>
      </c>
      <c r="E6136">
        <v>5</v>
      </c>
    </row>
    <row r="6137" spans="1:15" x14ac:dyDescent="0.25">
      <c r="A6137" t="s">
        <v>50</v>
      </c>
      <c r="B6137" s="11" t="s">
        <v>115</v>
      </c>
      <c r="C6137" t="b">
        <v>1</v>
      </c>
      <c r="D6137" s="1">
        <v>43769</v>
      </c>
      <c r="E6137">
        <v>5</v>
      </c>
    </row>
    <row r="6138" spans="1:15" x14ac:dyDescent="0.25">
      <c r="A6138" t="s">
        <v>51</v>
      </c>
      <c r="B6138" s="11" t="s">
        <v>115</v>
      </c>
      <c r="C6138" t="b">
        <v>1</v>
      </c>
      <c r="D6138" s="1">
        <v>43769</v>
      </c>
      <c r="E6138">
        <v>5</v>
      </c>
    </row>
    <row r="6139" spans="1:15" x14ac:dyDescent="0.25">
      <c r="A6139" t="s">
        <v>52</v>
      </c>
      <c r="B6139" s="11" t="s">
        <v>115</v>
      </c>
      <c r="C6139" t="b">
        <v>1</v>
      </c>
      <c r="D6139" s="1">
        <v>43769</v>
      </c>
      <c r="E6139">
        <v>5</v>
      </c>
    </row>
    <row r="6140" spans="1:15" x14ac:dyDescent="0.25">
      <c r="A6140" t="s">
        <v>190</v>
      </c>
      <c r="B6140" s="11" t="s">
        <v>115</v>
      </c>
      <c r="C6140" t="b">
        <v>1</v>
      </c>
      <c r="D6140" s="1">
        <v>43769</v>
      </c>
      <c r="E6140">
        <v>5</v>
      </c>
      <c r="F6140" s="13"/>
      <c r="G6140" s="13"/>
      <c r="H6140" s="13"/>
      <c r="I6140" s="13"/>
      <c r="J6140" s="13"/>
    </row>
    <row r="6141" spans="1:15" x14ac:dyDescent="0.25">
      <c r="A6141" t="s">
        <v>55</v>
      </c>
      <c r="B6141" s="11" t="s">
        <v>115</v>
      </c>
      <c r="C6141" t="b">
        <v>1</v>
      </c>
      <c r="D6141" s="1">
        <v>43769</v>
      </c>
      <c r="E6141">
        <v>5</v>
      </c>
    </row>
    <row r="6142" spans="1:15" x14ac:dyDescent="0.25">
      <c r="A6142" t="s">
        <v>58</v>
      </c>
      <c r="B6142" s="11" t="s">
        <v>115</v>
      </c>
      <c r="C6142" t="b">
        <v>1</v>
      </c>
      <c r="D6142" s="1">
        <v>43769</v>
      </c>
      <c r="E6142">
        <v>5</v>
      </c>
    </row>
    <row r="6143" spans="1:15" x14ac:dyDescent="0.25">
      <c r="A6143" t="s">
        <v>149</v>
      </c>
      <c r="B6143" s="11" t="s">
        <v>115</v>
      </c>
      <c r="C6143" t="b">
        <v>1</v>
      </c>
      <c r="D6143" s="1">
        <v>43769</v>
      </c>
      <c r="E6143">
        <v>5</v>
      </c>
    </row>
    <row r="6144" spans="1:15" x14ac:dyDescent="0.25">
      <c r="A6144" t="s">
        <v>65</v>
      </c>
      <c r="B6144" s="11" t="s">
        <v>115</v>
      </c>
      <c r="C6144" t="b">
        <v>1</v>
      </c>
      <c r="D6144" s="1">
        <v>43769</v>
      </c>
      <c r="E6144">
        <v>5</v>
      </c>
    </row>
    <row r="6145" spans="1:15" x14ac:dyDescent="0.25">
      <c r="A6145" t="s">
        <v>66</v>
      </c>
      <c r="B6145" s="11" t="s">
        <v>115</v>
      </c>
      <c r="C6145" t="b">
        <v>1</v>
      </c>
      <c r="D6145" s="1">
        <v>43769</v>
      </c>
      <c r="E6145">
        <v>5</v>
      </c>
    </row>
    <row r="6146" spans="1:15" x14ac:dyDescent="0.25">
      <c r="A6146" t="s">
        <v>76</v>
      </c>
      <c r="B6146" s="11" t="s">
        <v>115</v>
      </c>
      <c r="C6146" t="b">
        <v>1</v>
      </c>
      <c r="D6146" s="1">
        <v>43769</v>
      </c>
      <c r="E6146">
        <v>1E-3</v>
      </c>
    </row>
    <row r="6147" spans="1:15" x14ac:dyDescent="0.25">
      <c r="A6147" t="s">
        <v>204</v>
      </c>
      <c r="B6147" s="11" t="s">
        <v>115</v>
      </c>
      <c r="C6147" t="b">
        <v>1</v>
      </c>
      <c r="D6147" s="1">
        <v>43769</v>
      </c>
      <c r="E6147">
        <v>5</v>
      </c>
    </row>
    <row r="6148" spans="1:15" x14ac:dyDescent="0.25">
      <c r="A6148" t="s">
        <v>82</v>
      </c>
      <c r="B6148" s="11" t="s">
        <v>115</v>
      </c>
      <c r="C6148" t="b">
        <v>1</v>
      </c>
      <c r="D6148" s="1">
        <v>43769</v>
      </c>
      <c r="E6148">
        <v>5</v>
      </c>
    </row>
    <row r="6149" spans="1:15" x14ac:dyDescent="0.25">
      <c r="A6149" t="s">
        <v>84</v>
      </c>
      <c r="B6149" s="11" t="s">
        <v>115</v>
      </c>
      <c r="C6149" t="b">
        <v>1</v>
      </c>
      <c r="D6149" s="1">
        <v>43769</v>
      </c>
      <c r="E6149">
        <v>5</v>
      </c>
    </row>
    <row r="6150" spans="1:15" x14ac:dyDescent="0.25">
      <c r="A6150" t="s">
        <v>87</v>
      </c>
      <c r="B6150" s="11" t="s">
        <v>115</v>
      </c>
      <c r="C6150" t="b">
        <v>1</v>
      </c>
      <c r="D6150" s="1">
        <v>43769</v>
      </c>
      <c r="E6150">
        <v>5</v>
      </c>
    </row>
    <row r="6151" spans="1:15" x14ac:dyDescent="0.25">
      <c r="A6151" t="s">
        <v>93</v>
      </c>
      <c r="B6151" s="11" t="s">
        <v>115</v>
      </c>
      <c r="C6151" t="b">
        <v>1</v>
      </c>
      <c r="D6151" s="1">
        <v>43769</v>
      </c>
      <c r="E6151">
        <v>5</v>
      </c>
    </row>
    <row r="6152" spans="1:15" x14ac:dyDescent="0.25">
      <c r="A6152" t="s">
        <v>148</v>
      </c>
      <c r="B6152" s="11" t="s">
        <v>115</v>
      </c>
      <c r="C6152" t="b">
        <v>1</v>
      </c>
      <c r="D6152" s="1">
        <v>43769</v>
      </c>
      <c r="E6152">
        <v>5</v>
      </c>
    </row>
    <row r="6153" spans="1:15" x14ac:dyDescent="0.25">
      <c r="A6153" t="s">
        <v>199</v>
      </c>
      <c r="B6153" s="11" t="s">
        <v>115</v>
      </c>
      <c r="C6153" t="b">
        <v>1</v>
      </c>
      <c r="D6153" s="1">
        <v>43769</v>
      </c>
      <c r="E6153">
        <v>5</v>
      </c>
    </row>
    <row r="6154" spans="1:15" x14ac:dyDescent="0.25">
      <c r="A6154" t="s">
        <v>96</v>
      </c>
      <c r="B6154" s="11" t="s">
        <v>115</v>
      </c>
      <c r="C6154" t="b">
        <v>1</v>
      </c>
      <c r="D6154" s="1">
        <v>43769</v>
      </c>
      <c r="E6154">
        <v>5</v>
      </c>
    </row>
    <row r="6155" spans="1:15" x14ac:dyDescent="0.25">
      <c r="A6155" t="s">
        <v>98</v>
      </c>
      <c r="B6155" s="11" t="s">
        <v>115</v>
      </c>
      <c r="C6155" t="b">
        <v>1</v>
      </c>
      <c r="D6155" s="1">
        <v>43769</v>
      </c>
      <c r="E6155">
        <v>5</v>
      </c>
      <c r="F6155" s="13"/>
      <c r="G6155" s="13"/>
      <c r="H6155" s="13"/>
      <c r="I6155" s="13"/>
      <c r="J6155" s="13"/>
    </row>
    <row r="6156" spans="1:15" x14ac:dyDescent="0.25">
      <c r="A6156" t="s">
        <v>97</v>
      </c>
      <c r="B6156" s="11" t="s">
        <v>115</v>
      </c>
      <c r="C6156" t="b">
        <v>1</v>
      </c>
      <c r="D6156" s="1">
        <v>43769</v>
      </c>
      <c r="E6156">
        <v>5</v>
      </c>
    </row>
    <row r="6157" spans="1:15" x14ac:dyDescent="0.25">
      <c r="A6157" t="s">
        <v>99</v>
      </c>
      <c r="B6157" s="11" t="s">
        <v>114</v>
      </c>
      <c r="C6157" t="b">
        <v>1</v>
      </c>
      <c r="D6157" s="1">
        <v>43769</v>
      </c>
      <c r="E6157" s="37">
        <f>SUM(K6157:O6157)</f>
        <v>4.25</v>
      </c>
      <c r="F6157" s="15">
        <f>3</f>
        <v>3</v>
      </c>
      <c r="G6157" s="15">
        <v>0</v>
      </c>
      <c r="H6157" s="15">
        <f>9</f>
        <v>9</v>
      </c>
      <c r="I6157" s="15">
        <f>7</f>
        <v>7</v>
      </c>
      <c r="J6157" s="15">
        <v>0</v>
      </c>
      <c r="K6157" s="38">
        <f>F6157*K$1</f>
        <v>3</v>
      </c>
      <c r="L6157" s="38">
        <f>G6157*L$1</f>
        <v>0</v>
      </c>
      <c r="M6157" s="38">
        <f>H6157*M$1</f>
        <v>0.9</v>
      </c>
      <c r="N6157" s="38">
        <f>I6157*N$1</f>
        <v>0.35000000000000003</v>
      </c>
      <c r="O6157" s="38">
        <f>J6157*O$1</f>
        <v>0</v>
      </c>
    </row>
    <row r="6158" spans="1:15" x14ac:dyDescent="0.25">
      <c r="A6158" t="s">
        <v>104</v>
      </c>
      <c r="B6158" s="11" t="s">
        <v>117</v>
      </c>
      <c r="C6158" t="b">
        <v>1</v>
      </c>
      <c r="D6158" s="1">
        <v>43799</v>
      </c>
      <c r="E6158">
        <v>-5</v>
      </c>
    </row>
    <row r="6159" spans="1:15" x14ac:dyDescent="0.25">
      <c r="A6159" t="s">
        <v>48</v>
      </c>
      <c r="B6159" s="11" t="s">
        <v>115</v>
      </c>
      <c r="C6159" t="b">
        <v>1</v>
      </c>
      <c r="D6159" s="1">
        <v>43799</v>
      </c>
      <c r="E6159">
        <v>5</v>
      </c>
    </row>
    <row r="6160" spans="1:15" x14ac:dyDescent="0.25">
      <c r="A6160" t="s">
        <v>58</v>
      </c>
      <c r="B6160" s="11" t="s">
        <v>115</v>
      </c>
      <c r="C6160" t="b">
        <v>1</v>
      </c>
      <c r="D6160" s="1">
        <v>43799</v>
      </c>
      <c r="E6160">
        <v>5</v>
      </c>
    </row>
    <row r="6161" spans="1:15" x14ac:dyDescent="0.25">
      <c r="A6161" t="s">
        <v>149</v>
      </c>
      <c r="B6161" s="11" t="s">
        <v>115</v>
      </c>
      <c r="C6161" t="b">
        <v>1</v>
      </c>
      <c r="D6161" s="1">
        <v>43799</v>
      </c>
      <c r="E6161">
        <v>5</v>
      </c>
    </row>
    <row r="6162" spans="1:15" x14ac:dyDescent="0.25">
      <c r="A6162" t="s">
        <v>66</v>
      </c>
      <c r="B6162" s="11" t="s">
        <v>115</v>
      </c>
      <c r="C6162" t="b">
        <v>1</v>
      </c>
      <c r="D6162" s="1">
        <v>43799</v>
      </c>
      <c r="E6162">
        <v>5</v>
      </c>
    </row>
    <row r="6163" spans="1:15" x14ac:dyDescent="0.25">
      <c r="A6163" t="s">
        <v>76</v>
      </c>
      <c r="B6163" s="11" t="s">
        <v>115</v>
      </c>
      <c r="C6163" t="b">
        <v>1</v>
      </c>
      <c r="D6163" s="1">
        <v>43799</v>
      </c>
      <c r="E6163">
        <v>1E-3</v>
      </c>
    </row>
    <row r="6164" spans="1:15" x14ac:dyDescent="0.25">
      <c r="A6164" t="s">
        <v>204</v>
      </c>
      <c r="B6164" s="11" t="s">
        <v>115</v>
      </c>
      <c r="C6164" t="b">
        <v>1</v>
      </c>
      <c r="D6164" s="1">
        <v>43799</v>
      </c>
      <c r="E6164">
        <v>5</v>
      </c>
    </row>
    <row r="6165" spans="1:15" x14ac:dyDescent="0.25">
      <c r="A6165" t="s">
        <v>82</v>
      </c>
      <c r="B6165" s="11" t="s">
        <v>115</v>
      </c>
      <c r="C6165" t="b">
        <v>1</v>
      </c>
      <c r="D6165" s="1">
        <v>43799</v>
      </c>
      <c r="E6165">
        <v>5</v>
      </c>
    </row>
    <row r="6166" spans="1:15" x14ac:dyDescent="0.25">
      <c r="A6166" t="s">
        <v>84</v>
      </c>
      <c r="B6166" s="11" t="s">
        <v>115</v>
      </c>
      <c r="C6166" t="b">
        <v>1</v>
      </c>
      <c r="D6166" s="1">
        <v>43799</v>
      </c>
      <c r="E6166">
        <v>5</v>
      </c>
    </row>
    <row r="6167" spans="1:15" x14ac:dyDescent="0.25">
      <c r="A6167" t="s">
        <v>93</v>
      </c>
      <c r="B6167" s="11" t="s">
        <v>115</v>
      </c>
      <c r="C6167" t="b">
        <v>1</v>
      </c>
      <c r="D6167" s="1">
        <v>43799</v>
      </c>
      <c r="E6167">
        <v>5</v>
      </c>
    </row>
    <row r="6168" spans="1:15" x14ac:dyDescent="0.25">
      <c r="A6168" t="s">
        <v>199</v>
      </c>
      <c r="B6168" s="11" t="s">
        <v>115</v>
      </c>
      <c r="C6168" t="b">
        <v>1</v>
      </c>
      <c r="D6168" s="1">
        <v>43799</v>
      </c>
      <c r="E6168">
        <v>5</v>
      </c>
    </row>
    <row r="6169" spans="1:15" x14ac:dyDescent="0.25">
      <c r="A6169" t="s">
        <v>96</v>
      </c>
      <c r="B6169" s="11" t="s">
        <v>115</v>
      </c>
      <c r="C6169" t="b">
        <v>1</v>
      </c>
      <c r="D6169" s="1">
        <v>43799</v>
      </c>
      <c r="E6169">
        <v>5</v>
      </c>
    </row>
    <row r="6170" spans="1:15" x14ac:dyDescent="0.25">
      <c r="A6170" t="s">
        <v>98</v>
      </c>
      <c r="B6170" s="11" t="s">
        <v>115</v>
      </c>
      <c r="C6170" t="b">
        <v>1</v>
      </c>
      <c r="D6170" s="1">
        <v>43799</v>
      </c>
      <c r="E6170">
        <v>5</v>
      </c>
      <c r="F6170" s="13"/>
      <c r="G6170" s="13"/>
      <c r="H6170" s="13"/>
      <c r="I6170" s="13"/>
      <c r="J6170" s="13"/>
    </row>
    <row r="6171" spans="1:15" x14ac:dyDescent="0.25">
      <c r="A6171" t="s">
        <v>99</v>
      </c>
      <c r="B6171" s="11" t="s">
        <v>114</v>
      </c>
      <c r="C6171" t="b">
        <v>1</v>
      </c>
      <c r="D6171" s="1">
        <v>43799</v>
      </c>
      <c r="E6171" s="37">
        <f>SUM(K6171:O6171)</f>
        <v>0</v>
      </c>
      <c r="F6171" s="15">
        <v>0</v>
      </c>
      <c r="G6171" s="15">
        <v>0</v>
      </c>
      <c r="H6171" s="15">
        <v>0</v>
      </c>
      <c r="I6171" s="15">
        <v>0</v>
      </c>
      <c r="J6171" s="15">
        <v>0</v>
      </c>
      <c r="K6171" s="38">
        <f>F6171*K$1</f>
        <v>0</v>
      </c>
      <c r="L6171" s="38">
        <f>G6171*L$1</f>
        <v>0</v>
      </c>
      <c r="M6171" s="38">
        <f>H6171*M$1</f>
        <v>0</v>
      </c>
      <c r="N6171" s="38">
        <f>I6171*N$1</f>
        <v>0</v>
      </c>
      <c r="O6171" s="38">
        <f>J6171*O$1</f>
        <v>0</v>
      </c>
    </row>
    <row r="6172" spans="1:15" x14ac:dyDescent="0.25">
      <c r="A6172" t="s">
        <v>104</v>
      </c>
      <c r="B6172" s="11" t="s">
        <v>117</v>
      </c>
      <c r="C6172" t="b">
        <v>1</v>
      </c>
      <c r="D6172" s="1">
        <v>43830</v>
      </c>
      <c r="E6172">
        <v>-5</v>
      </c>
    </row>
    <row r="6173" spans="1:15" x14ac:dyDescent="0.25">
      <c r="A6173" t="s">
        <v>58</v>
      </c>
      <c r="B6173" s="11" t="s">
        <v>115</v>
      </c>
      <c r="C6173" t="b">
        <v>1</v>
      </c>
      <c r="D6173" s="1">
        <v>43830</v>
      </c>
      <c r="E6173">
        <v>5</v>
      </c>
    </row>
    <row r="6174" spans="1:15" x14ac:dyDescent="0.25">
      <c r="A6174" t="s">
        <v>149</v>
      </c>
      <c r="B6174" s="11" t="s">
        <v>115</v>
      </c>
      <c r="C6174" t="b">
        <v>1</v>
      </c>
      <c r="D6174" s="1">
        <v>43830</v>
      </c>
      <c r="E6174">
        <v>5</v>
      </c>
    </row>
    <row r="6175" spans="1:15" x14ac:dyDescent="0.25">
      <c r="A6175" t="s">
        <v>66</v>
      </c>
      <c r="B6175" s="11" t="s">
        <v>115</v>
      </c>
      <c r="C6175" t="b">
        <v>1</v>
      </c>
      <c r="D6175" s="1">
        <v>43830</v>
      </c>
      <c r="E6175">
        <v>5</v>
      </c>
    </row>
    <row r="6176" spans="1:15" x14ac:dyDescent="0.25">
      <c r="A6176" t="s">
        <v>76</v>
      </c>
      <c r="B6176" s="11" t="s">
        <v>115</v>
      </c>
      <c r="C6176" t="b">
        <v>1</v>
      </c>
      <c r="D6176" s="1">
        <v>43830</v>
      </c>
      <c r="E6176">
        <v>1E-3</v>
      </c>
    </row>
    <row r="6177" spans="1:15" x14ac:dyDescent="0.25">
      <c r="A6177" t="s">
        <v>204</v>
      </c>
      <c r="B6177" s="11" t="s">
        <v>115</v>
      </c>
      <c r="C6177" t="b">
        <v>1</v>
      </c>
      <c r="D6177" s="1">
        <v>43830</v>
      </c>
      <c r="E6177">
        <v>5</v>
      </c>
    </row>
    <row r="6178" spans="1:15" x14ac:dyDescent="0.25">
      <c r="A6178" t="s">
        <v>82</v>
      </c>
      <c r="B6178" s="11" t="s">
        <v>115</v>
      </c>
      <c r="C6178" t="b">
        <v>1</v>
      </c>
      <c r="D6178" s="1">
        <v>43830</v>
      </c>
      <c r="E6178">
        <v>5</v>
      </c>
    </row>
    <row r="6179" spans="1:15" x14ac:dyDescent="0.25">
      <c r="A6179" t="s">
        <v>99</v>
      </c>
      <c r="B6179" s="11" t="s">
        <v>114</v>
      </c>
      <c r="C6179" t="b">
        <v>1</v>
      </c>
      <c r="D6179" s="1">
        <v>43830</v>
      </c>
      <c r="E6179" s="37">
        <f>SUM(K6179:O6179)</f>
        <v>0</v>
      </c>
      <c r="F6179" s="15">
        <v>0</v>
      </c>
      <c r="G6179" s="15">
        <v>0</v>
      </c>
      <c r="H6179" s="15">
        <v>0</v>
      </c>
      <c r="I6179" s="15">
        <v>0</v>
      </c>
      <c r="J6179" s="15">
        <v>0</v>
      </c>
      <c r="K6179" s="38">
        <f>F6179*K$1</f>
        <v>0</v>
      </c>
      <c r="L6179" s="38">
        <f>G6179*L$1</f>
        <v>0</v>
      </c>
      <c r="M6179" s="38">
        <f>H6179*M$1</f>
        <v>0</v>
      </c>
      <c r="N6179" s="38">
        <f>I6179*N$1</f>
        <v>0</v>
      </c>
      <c r="O6179" s="38">
        <f>J6179*O$1</f>
        <v>0</v>
      </c>
    </row>
    <row r="6180" spans="1:15" x14ac:dyDescent="0.25">
      <c r="A6180" t="s">
        <v>104</v>
      </c>
      <c r="B6180" s="11" t="s">
        <v>117</v>
      </c>
      <c r="C6180" t="b">
        <v>1</v>
      </c>
      <c r="D6180" s="1">
        <v>43861</v>
      </c>
      <c r="E6180">
        <v>-5</v>
      </c>
    </row>
    <row r="6181" spans="1:15" x14ac:dyDescent="0.25">
      <c r="A6181" t="s">
        <v>58</v>
      </c>
      <c r="B6181" s="11" t="s">
        <v>115</v>
      </c>
      <c r="C6181" t="b">
        <v>1</v>
      </c>
      <c r="D6181" s="1">
        <v>43861</v>
      </c>
      <c r="E6181">
        <v>5</v>
      </c>
    </row>
    <row r="6182" spans="1:15" x14ac:dyDescent="0.25">
      <c r="A6182" t="s">
        <v>76</v>
      </c>
      <c r="B6182" s="11" t="s">
        <v>115</v>
      </c>
      <c r="C6182" t="b">
        <v>1</v>
      </c>
      <c r="D6182" s="1">
        <v>43861</v>
      </c>
      <c r="E6182">
        <v>1E-3</v>
      </c>
    </row>
    <row r="6183" spans="1:15" x14ac:dyDescent="0.25">
      <c r="A6183" t="s">
        <v>99</v>
      </c>
      <c r="B6183" s="11" t="s">
        <v>114</v>
      </c>
      <c r="C6183" t="b">
        <v>1</v>
      </c>
      <c r="D6183" s="1">
        <v>43861</v>
      </c>
      <c r="E6183" s="37">
        <f>SUM(K6183:O6183)</f>
        <v>0</v>
      </c>
      <c r="F6183" s="15">
        <v>0</v>
      </c>
      <c r="G6183" s="15">
        <v>0</v>
      </c>
      <c r="H6183" s="15">
        <v>0</v>
      </c>
      <c r="I6183" s="15">
        <v>0</v>
      </c>
      <c r="J6183" s="15">
        <v>0</v>
      </c>
      <c r="K6183" s="38">
        <f>F6183*K$1</f>
        <v>0</v>
      </c>
      <c r="L6183" s="38">
        <f>G6183*L$1</f>
        <v>0</v>
      </c>
      <c r="M6183" s="38">
        <f>H6183*M$1</f>
        <v>0</v>
      </c>
      <c r="N6183" s="38">
        <f>I6183*N$1</f>
        <v>0</v>
      </c>
      <c r="O6183" s="38">
        <f>J6183*O$1</f>
        <v>0</v>
      </c>
    </row>
    <row r="6184" spans="1:15" x14ac:dyDescent="0.25">
      <c r="A6184" t="s">
        <v>104</v>
      </c>
      <c r="B6184" s="11" t="s">
        <v>117</v>
      </c>
      <c r="C6184" t="b">
        <v>1</v>
      </c>
      <c r="D6184" s="1">
        <v>43890</v>
      </c>
      <c r="E6184">
        <v>-5</v>
      </c>
    </row>
    <row r="6185" spans="1:15" x14ac:dyDescent="0.25">
      <c r="A6185" t="s">
        <v>58</v>
      </c>
      <c r="B6185" s="11" t="s">
        <v>115</v>
      </c>
      <c r="C6185" t="b">
        <v>1</v>
      </c>
      <c r="D6185" s="1">
        <v>43890</v>
      </c>
      <c r="E6185">
        <v>5</v>
      </c>
    </row>
    <row r="6186" spans="1:15" x14ac:dyDescent="0.25">
      <c r="A6186" t="s">
        <v>76</v>
      </c>
      <c r="B6186" s="11" t="s">
        <v>115</v>
      </c>
      <c r="C6186" t="b">
        <v>1</v>
      </c>
      <c r="D6186" s="1">
        <v>43890</v>
      </c>
      <c r="E6186">
        <v>1E-3</v>
      </c>
    </row>
    <row r="6187" spans="1:15" x14ac:dyDescent="0.25">
      <c r="A6187" t="s">
        <v>99</v>
      </c>
      <c r="B6187" s="11" t="s">
        <v>114</v>
      </c>
      <c r="C6187" t="b">
        <v>1</v>
      </c>
      <c r="D6187" s="1">
        <v>43890</v>
      </c>
      <c r="E6187" s="37">
        <f>SUM(K6187:O6187)</f>
        <v>0</v>
      </c>
      <c r="F6187" s="15">
        <v>0</v>
      </c>
      <c r="G6187" s="15">
        <v>0</v>
      </c>
      <c r="H6187" s="15">
        <v>0</v>
      </c>
      <c r="I6187" s="15">
        <v>0</v>
      </c>
      <c r="J6187" s="15">
        <v>0</v>
      </c>
      <c r="K6187" s="38">
        <f>F6187*K$1</f>
        <v>0</v>
      </c>
      <c r="L6187" s="38">
        <f>G6187*L$1</f>
        <v>0</v>
      </c>
      <c r="M6187" s="38">
        <f>H6187*M$1</f>
        <v>0</v>
      </c>
      <c r="N6187" s="38">
        <f>I6187*N$1</f>
        <v>0</v>
      </c>
      <c r="O6187" s="38">
        <f>J6187*O$1</f>
        <v>0</v>
      </c>
    </row>
    <row r="6188" spans="1:15" x14ac:dyDescent="0.25">
      <c r="A6188" t="s">
        <v>76</v>
      </c>
      <c r="B6188" s="11" t="s">
        <v>115</v>
      </c>
      <c r="C6188" t="b">
        <v>1</v>
      </c>
      <c r="D6188" s="1">
        <v>43921</v>
      </c>
      <c r="E6188">
        <v>1E-3</v>
      </c>
    </row>
    <row r="6189" spans="1:15" x14ac:dyDescent="0.25">
      <c r="A6189" t="s">
        <v>104</v>
      </c>
      <c r="B6189" s="11" t="s">
        <v>117</v>
      </c>
      <c r="C6189" t="b">
        <v>1</v>
      </c>
      <c r="D6189" s="1">
        <v>409163</v>
      </c>
      <c r="E6189">
        <v>-5</v>
      </c>
    </row>
    <row r="6190" spans="1:15" x14ac:dyDescent="0.25">
      <c r="A6190" t="s">
        <v>99</v>
      </c>
      <c r="B6190" s="11" t="s">
        <v>114</v>
      </c>
      <c r="C6190" t="b">
        <v>1</v>
      </c>
      <c r="D6190" s="1">
        <v>409163</v>
      </c>
      <c r="E6190" s="37">
        <f>SUM(K6190:O6190)</f>
        <v>0</v>
      </c>
      <c r="F6190" s="15">
        <v>0</v>
      </c>
      <c r="G6190" s="15">
        <v>0</v>
      </c>
      <c r="H6190" s="15">
        <v>0</v>
      </c>
      <c r="I6190" s="15">
        <v>0</v>
      </c>
      <c r="J6190" s="15">
        <v>0</v>
      </c>
      <c r="K6190" s="38">
        <f>F6190*K$1</f>
        <v>0</v>
      </c>
      <c r="L6190" s="38">
        <f>G6190*L$1</f>
        <v>0</v>
      </c>
      <c r="M6190" s="38">
        <f>H6190*M$1</f>
        <v>0</v>
      </c>
      <c r="N6190" s="38">
        <f>I6190*N$1</f>
        <v>0</v>
      </c>
      <c r="O6190" s="38">
        <f>J6190*O$1</f>
        <v>0</v>
      </c>
    </row>
  </sheetData>
  <autoFilter ref="A1:O6190" xr:uid="{AB102191-B1AD-40C1-BE7C-AE98E0A4AFCF}">
    <filterColumn colId="2">
      <filters>
        <filter val="TRUE"/>
      </filters>
    </filterColumn>
    <filterColumn colId="3">
      <filters>
        <dateGroupItem year="2020" dateTimeGrouping="year"/>
        <dateGroupItem year="2019" dateTimeGrouping="year"/>
      </filters>
    </filterColumn>
    <sortState xmlns:xlrd2="http://schemas.microsoft.com/office/spreadsheetml/2017/richdata2" ref="A5848:O6190">
      <sortCondition ref="D2:D6190"/>
      <sortCondition ref="B2:B6190"/>
      <sortCondition ref="A2:A6190"/>
    </sortState>
  </autoFilter>
  <sortState xmlns:xlrd2="http://schemas.microsoft.com/office/spreadsheetml/2017/richdata2" ref="A5988:O6188">
    <sortCondition ref="D2:D6188"/>
    <sortCondition ref="B2:B6188"/>
    <sortCondition ref="A2:A6188"/>
  </sortState>
  <conditionalFormatting sqref="B1:B5606 B5730 B5914 B5608:B5611 B5669 B5679 B5613:B5630 B5672 B5647 B5651:B5655 B5643:B5644 B5695:B5696 B5665 B5683:B5684 B5635:B5640 B5790 B5698:B5700 B5692:B5693 B5686:B5688 B5740 B5879:B5880 B5785:B5786 B5796:B5797 B5926 B5755:B5756 B5780 B5773 B5802 B5717:B5719 B5775:B5776 B5806 B5896 B5810 B5808 B5758:B5766 B5899 B5931 B6012 B5952 B6191:B8487 B6106">
    <cfRule type="cellIs" dxfId="1148" priority="1094" operator="equal">
      <formula>"NonMember"</formula>
    </cfRule>
  </conditionalFormatting>
  <conditionalFormatting sqref="B1:B5606 B5730 B5914 B5608:B5611 B5669 B5679 B5613:B5630 B5672 B5647 B5651:B5655 B5643:B5644 B5695:B5696 B5665 B5683:B5684 B5635:B5640 B5790 B5698:B5700 B5692:B5693 B5686:B5688 B5740 B5879:B5880 B5785:B5786 B5796:B5797 B5926 B5755:B5756 B5780 B5773 B5802 B5717:B5719 B5775:B5776 B5806 B5896 B5810 B5808 B5758:B5766 B5899 B5931 B6012 B5952 B6191:B1048576 B6106">
    <cfRule type="cellIs" dxfId="1147" priority="1090" operator="equal">
      <formula>"Membership"</formula>
    </cfRule>
    <cfRule type="cellIs" dxfId="1146" priority="1091" operator="equal">
      <formula>"Expenses"</formula>
    </cfRule>
  </conditionalFormatting>
  <conditionalFormatting sqref="B5612">
    <cfRule type="cellIs" dxfId="1145" priority="1089" operator="equal">
      <formula>"NonMember"</formula>
    </cfRule>
  </conditionalFormatting>
  <conditionalFormatting sqref="B5612">
    <cfRule type="cellIs" dxfId="1144" priority="1087" operator="equal">
      <formula>"Membership"</formula>
    </cfRule>
    <cfRule type="cellIs" dxfId="1143" priority="1088" operator="equal">
      <formula>"Expenses"</formula>
    </cfRule>
  </conditionalFormatting>
  <conditionalFormatting sqref="B5723">
    <cfRule type="cellIs" dxfId="1142" priority="1086" operator="equal">
      <formula>"NonMember"</formula>
    </cfRule>
  </conditionalFormatting>
  <conditionalFormatting sqref="B5723">
    <cfRule type="cellIs" dxfId="1141" priority="1084" operator="equal">
      <formula>"Membership"</formula>
    </cfRule>
    <cfRule type="cellIs" dxfId="1140" priority="1085" operator="equal">
      <formula>"Expenses"</formula>
    </cfRule>
  </conditionalFormatting>
  <conditionalFormatting sqref="B5722">
    <cfRule type="cellIs" dxfId="1139" priority="1083" operator="equal">
      <formula>"NonMember"</formula>
    </cfRule>
  </conditionalFormatting>
  <conditionalFormatting sqref="B5722">
    <cfRule type="cellIs" dxfId="1138" priority="1081" operator="equal">
      <formula>"Membership"</formula>
    </cfRule>
    <cfRule type="cellIs" dxfId="1137" priority="1082" operator="equal">
      <formula>"Expenses"</formula>
    </cfRule>
  </conditionalFormatting>
  <conditionalFormatting sqref="B5903">
    <cfRule type="cellIs" dxfId="1136" priority="1080" operator="equal">
      <formula>"NonMember"</formula>
    </cfRule>
  </conditionalFormatting>
  <conditionalFormatting sqref="B5903">
    <cfRule type="cellIs" dxfId="1135" priority="1078" operator="equal">
      <formula>"Membership"</formula>
    </cfRule>
    <cfRule type="cellIs" dxfId="1134" priority="1079" operator="equal">
      <formula>"Expenses"</formula>
    </cfRule>
  </conditionalFormatting>
  <conditionalFormatting sqref="B5904">
    <cfRule type="cellIs" dxfId="1133" priority="1077" operator="equal">
      <formula>"NonMember"</formula>
    </cfRule>
  </conditionalFormatting>
  <conditionalFormatting sqref="B5904">
    <cfRule type="cellIs" dxfId="1132" priority="1075" operator="equal">
      <formula>"Membership"</formula>
    </cfRule>
    <cfRule type="cellIs" dxfId="1131" priority="1076" operator="equal">
      <formula>"Expenses"</formula>
    </cfRule>
  </conditionalFormatting>
  <conditionalFormatting sqref="B5907">
    <cfRule type="cellIs" dxfId="1130" priority="1074" operator="equal">
      <formula>"NonMember"</formula>
    </cfRule>
  </conditionalFormatting>
  <conditionalFormatting sqref="B5907">
    <cfRule type="cellIs" dxfId="1129" priority="1072" operator="equal">
      <formula>"Membership"</formula>
    </cfRule>
    <cfRule type="cellIs" dxfId="1128" priority="1073" operator="equal">
      <formula>"Expenses"</formula>
    </cfRule>
  </conditionalFormatting>
  <conditionalFormatting sqref="B5607">
    <cfRule type="cellIs" dxfId="1127" priority="1071" operator="equal">
      <formula>"NonMember"</formula>
    </cfRule>
  </conditionalFormatting>
  <conditionalFormatting sqref="B5607">
    <cfRule type="cellIs" dxfId="1126" priority="1069" operator="equal">
      <formula>"Membership"</formula>
    </cfRule>
    <cfRule type="cellIs" dxfId="1125" priority="1070" operator="equal">
      <formula>"Expenses"</formula>
    </cfRule>
  </conditionalFormatting>
  <conditionalFormatting sqref="B5666">
    <cfRule type="cellIs" dxfId="1124" priority="1068" operator="equal">
      <formula>"NonMember"</formula>
    </cfRule>
  </conditionalFormatting>
  <conditionalFormatting sqref="B5666">
    <cfRule type="cellIs" dxfId="1123" priority="1066" operator="equal">
      <formula>"Membership"</formula>
    </cfRule>
    <cfRule type="cellIs" dxfId="1122" priority="1067" operator="equal">
      <formula>"Expenses"</formula>
    </cfRule>
  </conditionalFormatting>
  <conditionalFormatting sqref="B5668">
    <cfRule type="cellIs" dxfId="1121" priority="1065" operator="equal">
      <formula>"NonMember"</formula>
    </cfRule>
  </conditionalFormatting>
  <conditionalFormatting sqref="B5668">
    <cfRule type="cellIs" dxfId="1120" priority="1063" operator="equal">
      <formula>"Membership"</formula>
    </cfRule>
    <cfRule type="cellIs" dxfId="1119" priority="1064" operator="equal">
      <formula>"Expenses"</formula>
    </cfRule>
  </conditionalFormatting>
  <conditionalFormatting sqref="B5678">
    <cfRule type="cellIs" dxfId="1118" priority="1062" operator="equal">
      <formula>"NonMember"</formula>
    </cfRule>
  </conditionalFormatting>
  <conditionalFormatting sqref="B5678">
    <cfRule type="cellIs" dxfId="1117" priority="1060" operator="equal">
      <formula>"Membership"</formula>
    </cfRule>
    <cfRule type="cellIs" dxfId="1116" priority="1061" operator="equal">
      <formula>"Expenses"</formula>
    </cfRule>
  </conditionalFormatting>
  <conditionalFormatting sqref="B5741">
    <cfRule type="cellIs" dxfId="1115" priority="1059" operator="equal">
      <formula>"NonMember"</formula>
    </cfRule>
  </conditionalFormatting>
  <conditionalFormatting sqref="B5741">
    <cfRule type="cellIs" dxfId="1114" priority="1057" operator="equal">
      <formula>"Membership"</formula>
    </cfRule>
    <cfRule type="cellIs" dxfId="1113" priority="1058" operator="equal">
      <formula>"Expenses"</formula>
    </cfRule>
  </conditionalFormatting>
  <conditionalFormatting sqref="B5670">
    <cfRule type="cellIs" dxfId="1112" priority="1056" operator="equal">
      <formula>"NonMember"</formula>
    </cfRule>
  </conditionalFormatting>
  <conditionalFormatting sqref="B5670">
    <cfRule type="cellIs" dxfId="1111" priority="1054" operator="equal">
      <formula>"Membership"</formula>
    </cfRule>
    <cfRule type="cellIs" dxfId="1110" priority="1055" operator="equal">
      <formula>"Expenses"</formula>
    </cfRule>
  </conditionalFormatting>
  <conditionalFormatting sqref="B5646">
    <cfRule type="cellIs" dxfId="1109" priority="1053" operator="equal">
      <formula>"NonMember"</formula>
    </cfRule>
  </conditionalFormatting>
  <conditionalFormatting sqref="B5646">
    <cfRule type="cellIs" dxfId="1108" priority="1051" operator="equal">
      <formula>"Membership"</formula>
    </cfRule>
    <cfRule type="cellIs" dxfId="1107" priority="1052" operator="equal">
      <formula>"Expenses"</formula>
    </cfRule>
  </conditionalFormatting>
  <conditionalFormatting sqref="B5648">
    <cfRule type="cellIs" dxfId="1106" priority="1050" operator="equal">
      <formula>"NonMember"</formula>
    </cfRule>
  </conditionalFormatting>
  <conditionalFormatting sqref="B5648">
    <cfRule type="cellIs" dxfId="1105" priority="1048" operator="equal">
      <formula>"Membership"</formula>
    </cfRule>
    <cfRule type="cellIs" dxfId="1104" priority="1049" operator="equal">
      <formula>"Expenses"</formula>
    </cfRule>
  </conditionalFormatting>
  <conditionalFormatting sqref="B5642">
    <cfRule type="cellIs" dxfId="1103" priority="1047" operator="equal">
      <formula>"NonMember"</formula>
    </cfRule>
  </conditionalFormatting>
  <conditionalFormatting sqref="B5642">
    <cfRule type="cellIs" dxfId="1102" priority="1045" operator="equal">
      <formula>"Membership"</formula>
    </cfRule>
    <cfRule type="cellIs" dxfId="1101" priority="1046" operator="equal">
      <formula>"Expenses"</formula>
    </cfRule>
  </conditionalFormatting>
  <conditionalFormatting sqref="B5673">
    <cfRule type="cellIs" dxfId="1100" priority="1044" operator="equal">
      <formula>"NonMember"</formula>
    </cfRule>
  </conditionalFormatting>
  <conditionalFormatting sqref="B5673">
    <cfRule type="cellIs" dxfId="1099" priority="1042" operator="equal">
      <formula>"Membership"</formula>
    </cfRule>
    <cfRule type="cellIs" dxfId="1098" priority="1043" operator="equal">
      <formula>"Expenses"</formula>
    </cfRule>
  </conditionalFormatting>
  <conditionalFormatting sqref="B5675">
    <cfRule type="cellIs" dxfId="1097" priority="1041" operator="equal">
      <formula>"NonMember"</formula>
    </cfRule>
  </conditionalFormatting>
  <conditionalFormatting sqref="B5675">
    <cfRule type="cellIs" dxfId="1096" priority="1039" operator="equal">
      <formula>"Membership"</formula>
    </cfRule>
    <cfRule type="cellIs" dxfId="1095" priority="1040" operator="equal">
      <formula>"Expenses"</formula>
    </cfRule>
  </conditionalFormatting>
  <conditionalFormatting sqref="B5694">
    <cfRule type="cellIs" dxfId="1094" priority="1038" operator="equal">
      <formula>"NonMember"</formula>
    </cfRule>
  </conditionalFormatting>
  <conditionalFormatting sqref="B5694">
    <cfRule type="cellIs" dxfId="1093" priority="1036" operator="equal">
      <formula>"Membership"</formula>
    </cfRule>
    <cfRule type="cellIs" dxfId="1092" priority="1037" operator="equal">
      <formula>"Expenses"</formula>
    </cfRule>
  </conditionalFormatting>
  <conditionalFormatting sqref="B5656">
    <cfRule type="cellIs" dxfId="1091" priority="1035" operator="equal">
      <formula>"NonMember"</formula>
    </cfRule>
  </conditionalFormatting>
  <conditionalFormatting sqref="B5656">
    <cfRule type="cellIs" dxfId="1090" priority="1033" operator="equal">
      <formula>"Membership"</formula>
    </cfRule>
    <cfRule type="cellIs" dxfId="1089" priority="1034" operator="equal">
      <formula>"Expenses"</formula>
    </cfRule>
  </conditionalFormatting>
  <conditionalFormatting sqref="B5657">
    <cfRule type="cellIs" dxfId="1088" priority="1032" operator="equal">
      <formula>"NonMember"</formula>
    </cfRule>
  </conditionalFormatting>
  <conditionalFormatting sqref="B5657">
    <cfRule type="cellIs" dxfId="1087" priority="1030" operator="equal">
      <formula>"Membership"</formula>
    </cfRule>
    <cfRule type="cellIs" dxfId="1086" priority="1031" operator="equal">
      <formula>"Expenses"</formula>
    </cfRule>
  </conditionalFormatting>
  <conditionalFormatting sqref="B5658">
    <cfRule type="cellIs" dxfId="1085" priority="1029" operator="equal">
      <formula>"NonMember"</formula>
    </cfRule>
  </conditionalFormatting>
  <conditionalFormatting sqref="B5658">
    <cfRule type="cellIs" dxfId="1084" priority="1027" operator="equal">
      <formula>"Membership"</formula>
    </cfRule>
    <cfRule type="cellIs" dxfId="1083" priority="1028" operator="equal">
      <formula>"Expenses"</formula>
    </cfRule>
  </conditionalFormatting>
  <conditionalFormatting sqref="B5659">
    <cfRule type="cellIs" dxfId="1082" priority="1026" operator="equal">
      <formula>"NonMember"</formula>
    </cfRule>
  </conditionalFormatting>
  <conditionalFormatting sqref="B5659">
    <cfRule type="cellIs" dxfId="1081" priority="1024" operator="equal">
      <formula>"Membership"</formula>
    </cfRule>
    <cfRule type="cellIs" dxfId="1080" priority="1025" operator="equal">
      <formula>"Expenses"</formula>
    </cfRule>
  </conditionalFormatting>
  <conditionalFormatting sqref="B5680">
    <cfRule type="cellIs" dxfId="1079" priority="1023" operator="equal">
      <formula>"NonMember"</formula>
    </cfRule>
  </conditionalFormatting>
  <conditionalFormatting sqref="B5680">
    <cfRule type="cellIs" dxfId="1078" priority="1021" operator="equal">
      <formula>"Membership"</formula>
    </cfRule>
    <cfRule type="cellIs" dxfId="1077" priority="1022" operator="equal">
      <formula>"Expenses"</formula>
    </cfRule>
  </conditionalFormatting>
  <conditionalFormatting sqref="B5649">
    <cfRule type="cellIs" dxfId="1076" priority="1017" operator="equal">
      <formula>"NonMember"</formula>
    </cfRule>
  </conditionalFormatting>
  <conditionalFormatting sqref="B5649">
    <cfRule type="cellIs" dxfId="1075" priority="1015" operator="equal">
      <formula>"Membership"</formula>
    </cfRule>
    <cfRule type="cellIs" dxfId="1074" priority="1016" operator="equal">
      <formula>"Expenses"</formula>
    </cfRule>
  </conditionalFormatting>
  <conditionalFormatting sqref="B5676">
    <cfRule type="cellIs" dxfId="1073" priority="1014" operator="equal">
      <formula>"NonMember"</formula>
    </cfRule>
  </conditionalFormatting>
  <conditionalFormatting sqref="B5676">
    <cfRule type="cellIs" dxfId="1072" priority="1012" operator="equal">
      <formula>"Membership"</formula>
    </cfRule>
    <cfRule type="cellIs" dxfId="1071" priority="1013" operator="equal">
      <formula>"Expenses"</formula>
    </cfRule>
  </conditionalFormatting>
  <conditionalFormatting sqref="B5677">
    <cfRule type="cellIs" dxfId="1070" priority="1011" operator="equal">
      <formula>"NonMember"</formula>
    </cfRule>
  </conditionalFormatting>
  <conditionalFormatting sqref="B5677">
    <cfRule type="cellIs" dxfId="1069" priority="1009" operator="equal">
      <formula>"Membership"</formula>
    </cfRule>
    <cfRule type="cellIs" dxfId="1068" priority="1010" operator="equal">
      <formula>"Expenses"</formula>
    </cfRule>
  </conditionalFormatting>
  <conditionalFormatting sqref="B5660:B5663">
    <cfRule type="cellIs" dxfId="1067" priority="1008" operator="equal">
      <formula>"NonMember"</formula>
    </cfRule>
  </conditionalFormatting>
  <conditionalFormatting sqref="B5660:B5663">
    <cfRule type="cellIs" dxfId="1066" priority="1006" operator="equal">
      <formula>"Membership"</formula>
    </cfRule>
    <cfRule type="cellIs" dxfId="1065" priority="1007" operator="equal">
      <formula>"Expenses"</formula>
    </cfRule>
  </conditionalFormatting>
  <conditionalFormatting sqref="B5667">
    <cfRule type="cellIs" dxfId="1064" priority="1005" operator="equal">
      <formula>"NonMember"</formula>
    </cfRule>
  </conditionalFormatting>
  <conditionalFormatting sqref="B5667">
    <cfRule type="cellIs" dxfId="1063" priority="1003" operator="equal">
      <formula>"Membership"</formula>
    </cfRule>
    <cfRule type="cellIs" dxfId="1062" priority="1004" operator="equal">
      <formula>"Expenses"</formula>
    </cfRule>
  </conditionalFormatting>
  <conditionalFormatting sqref="B5671">
    <cfRule type="cellIs" dxfId="1061" priority="1002" operator="equal">
      <formula>"NonMember"</formula>
    </cfRule>
  </conditionalFormatting>
  <conditionalFormatting sqref="B5671">
    <cfRule type="cellIs" dxfId="1060" priority="1000" operator="equal">
      <formula>"Membership"</formula>
    </cfRule>
    <cfRule type="cellIs" dxfId="1059" priority="1001" operator="equal">
      <formula>"Expenses"</formula>
    </cfRule>
  </conditionalFormatting>
  <conditionalFormatting sqref="B5664">
    <cfRule type="cellIs" dxfId="1058" priority="999" operator="equal">
      <formula>"NonMember"</formula>
    </cfRule>
  </conditionalFormatting>
  <conditionalFormatting sqref="B5664">
    <cfRule type="cellIs" dxfId="1057" priority="997" operator="equal">
      <formula>"Membership"</formula>
    </cfRule>
    <cfRule type="cellIs" dxfId="1056" priority="998" operator="equal">
      <formula>"Expenses"</formula>
    </cfRule>
  </conditionalFormatting>
  <conditionalFormatting sqref="B5650">
    <cfRule type="cellIs" dxfId="1055" priority="996" operator="equal">
      <formula>"NonMember"</formula>
    </cfRule>
  </conditionalFormatting>
  <conditionalFormatting sqref="B5650">
    <cfRule type="cellIs" dxfId="1054" priority="994" operator="equal">
      <formula>"Membership"</formula>
    </cfRule>
    <cfRule type="cellIs" dxfId="1053" priority="995" operator="equal">
      <formula>"Expenses"</formula>
    </cfRule>
  </conditionalFormatting>
  <conditionalFormatting sqref="B5631">
    <cfRule type="cellIs" dxfId="1052" priority="993" operator="equal">
      <formula>"NonMember"</formula>
    </cfRule>
  </conditionalFormatting>
  <conditionalFormatting sqref="B5631">
    <cfRule type="cellIs" dxfId="1051" priority="991" operator="equal">
      <formula>"Membership"</formula>
    </cfRule>
    <cfRule type="cellIs" dxfId="1050" priority="992" operator="equal">
      <formula>"Expenses"</formula>
    </cfRule>
  </conditionalFormatting>
  <conditionalFormatting sqref="B5632">
    <cfRule type="cellIs" dxfId="1049" priority="990" operator="equal">
      <formula>"NonMember"</formula>
    </cfRule>
  </conditionalFormatting>
  <conditionalFormatting sqref="B5632">
    <cfRule type="cellIs" dxfId="1048" priority="988" operator="equal">
      <formula>"Membership"</formula>
    </cfRule>
    <cfRule type="cellIs" dxfId="1047" priority="989" operator="equal">
      <formula>"Expenses"</formula>
    </cfRule>
  </conditionalFormatting>
  <conditionalFormatting sqref="B5633">
    <cfRule type="cellIs" dxfId="1046" priority="987" operator="equal">
      <formula>"NonMember"</formula>
    </cfRule>
  </conditionalFormatting>
  <conditionalFormatting sqref="B5633">
    <cfRule type="cellIs" dxfId="1045" priority="985" operator="equal">
      <formula>"Membership"</formula>
    </cfRule>
    <cfRule type="cellIs" dxfId="1044" priority="986" operator="equal">
      <formula>"Expenses"</formula>
    </cfRule>
  </conditionalFormatting>
  <conditionalFormatting sqref="B5634">
    <cfRule type="cellIs" dxfId="1043" priority="984" operator="equal">
      <formula>"NonMember"</formula>
    </cfRule>
  </conditionalFormatting>
  <conditionalFormatting sqref="B5634">
    <cfRule type="cellIs" dxfId="1042" priority="982" operator="equal">
      <formula>"Membership"</formula>
    </cfRule>
    <cfRule type="cellIs" dxfId="1041" priority="983" operator="equal">
      <formula>"Expenses"</formula>
    </cfRule>
  </conditionalFormatting>
  <conditionalFormatting sqref="B5645">
    <cfRule type="cellIs" dxfId="1040" priority="981" operator="equal">
      <formula>"NonMember"</formula>
    </cfRule>
  </conditionalFormatting>
  <conditionalFormatting sqref="B5645">
    <cfRule type="cellIs" dxfId="1039" priority="979" operator="equal">
      <formula>"Membership"</formula>
    </cfRule>
    <cfRule type="cellIs" dxfId="1038" priority="980" operator="equal">
      <formula>"Expenses"</formula>
    </cfRule>
  </conditionalFormatting>
  <conditionalFormatting sqref="B5641">
    <cfRule type="cellIs" dxfId="1037" priority="978" operator="equal">
      <formula>"NonMember"</formula>
    </cfRule>
  </conditionalFormatting>
  <conditionalFormatting sqref="B5641">
    <cfRule type="cellIs" dxfId="1036" priority="976" operator="equal">
      <formula>"Membership"</formula>
    </cfRule>
    <cfRule type="cellIs" dxfId="1035" priority="977" operator="equal">
      <formula>"Expenses"</formula>
    </cfRule>
  </conditionalFormatting>
  <conditionalFormatting sqref="B5789">
    <cfRule type="cellIs" dxfId="1034" priority="975" operator="equal">
      <formula>"NonMember"</formula>
    </cfRule>
  </conditionalFormatting>
  <conditionalFormatting sqref="B5789">
    <cfRule type="cellIs" dxfId="1033" priority="973" operator="equal">
      <formula>"Membership"</formula>
    </cfRule>
    <cfRule type="cellIs" dxfId="1032" priority="974" operator="equal">
      <formula>"Expenses"</formula>
    </cfRule>
  </conditionalFormatting>
  <conditionalFormatting sqref="B5697">
    <cfRule type="cellIs" dxfId="1031" priority="972" operator="equal">
      <formula>"NonMember"</formula>
    </cfRule>
  </conditionalFormatting>
  <conditionalFormatting sqref="B5697">
    <cfRule type="cellIs" dxfId="1030" priority="970" operator="equal">
      <formula>"Membership"</formula>
    </cfRule>
    <cfRule type="cellIs" dxfId="1029" priority="971" operator="equal">
      <formula>"Expenses"</formula>
    </cfRule>
  </conditionalFormatting>
  <conditionalFormatting sqref="B5691">
    <cfRule type="cellIs" dxfId="1028" priority="969" operator="equal">
      <formula>"NonMember"</formula>
    </cfRule>
  </conditionalFormatting>
  <conditionalFormatting sqref="B5691">
    <cfRule type="cellIs" dxfId="1027" priority="967" operator="equal">
      <formula>"Membership"</formula>
    </cfRule>
    <cfRule type="cellIs" dxfId="1026" priority="968" operator="equal">
      <formula>"Expenses"</formula>
    </cfRule>
  </conditionalFormatting>
  <conditionalFormatting sqref="B5681:B5682">
    <cfRule type="cellIs" dxfId="1025" priority="966" operator="equal">
      <formula>"NonMember"</formula>
    </cfRule>
  </conditionalFormatting>
  <conditionalFormatting sqref="B5681:B5682">
    <cfRule type="cellIs" dxfId="1024" priority="964" operator="equal">
      <formula>"Membership"</formula>
    </cfRule>
    <cfRule type="cellIs" dxfId="1023" priority="965" operator="equal">
      <formula>"Expenses"</formula>
    </cfRule>
  </conditionalFormatting>
  <conditionalFormatting sqref="B5689:B5690">
    <cfRule type="cellIs" dxfId="1022" priority="963" operator="equal">
      <formula>"NonMember"</formula>
    </cfRule>
  </conditionalFormatting>
  <conditionalFormatting sqref="B5689:B5690">
    <cfRule type="cellIs" dxfId="1021" priority="961" operator="equal">
      <formula>"Membership"</formula>
    </cfRule>
    <cfRule type="cellIs" dxfId="1020" priority="962" operator="equal">
      <formula>"Expenses"</formula>
    </cfRule>
  </conditionalFormatting>
  <conditionalFormatting sqref="B5685">
    <cfRule type="cellIs" dxfId="1019" priority="960" operator="equal">
      <formula>"NonMember"</formula>
    </cfRule>
  </conditionalFormatting>
  <conditionalFormatting sqref="B5685">
    <cfRule type="cellIs" dxfId="1018" priority="958" operator="equal">
      <formula>"Membership"</formula>
    </cfRule>
    <cfRule type="cellIs" dxfId="1017" priority="959" operator="equal">
      <formula>"Expenses"</formula>
    </cfRule>
  </conditionalFormatting>
  <conditionalFormatting sqref="B5720">
    <cfRule type="cellIs" dxfId="1016" priority="957" operator="equal">
      <formula>"NonMember"</formula>
    </cfRule>
  </conditionalFormatting>
  <conditionalFormatting sqref="B5720">
    <cfRule type="cellIs" dxfId="1015" priority="955" operator="equal">
      <formula>"Membership"</formula>
    </cfRule>
    <cfRule type="cellIs" dxfId="1014" priority="956" operator="equal">
      <formula>"Expenses"</formula>
    </cfRule>
  </conditionalFormatting>
  <conditionalFormatting sqref="B5721">
    <cfRule type="cellIs" dxfId="1013" priority="954" operator="equal">
      <formula>"NonMember"</formula>
    </cfRule>
  </conditionalFormatting>
  <conditionalFormatting sqref="B5721">
    <cfRule type="cellIs" dxfId="1012" priority="952" operator="equal">
      <formula>"Membership"</formula>
    </cfRule>
    <cfRule type="cellIs" dxfId="1011" priority="953" operator="equal">
      <formula>"Expenses"</formula>
    </cfRule>
  </conditionalFormatting>
  <conditionalFormatting sqref="B5739">
    <cfRule type="cellIs" dxfId="1010" priority="951" operator="equal">
      <formula>"NonMember"</formula>
    </cfRule>
  </conditionalFormatting>
  <conditionalFormatting sqref="B5739">
    <cfRule type="cellIs" dxfId="1009" priority="949" operator="equal">
      <formula>"Membership"</formula>
    </cfRule>
    <cfRule type="cellIs" dxfId="1008" priority="950" operator="equal">
      <formula>"Expenses"</formula>
    </cfRule>
  </conditionalFormatting>
  <conditionalFormatting sqref="B5735">
    <cfRule type="cellIs" dxfId="1007" priority="948" operator="equal">
      <formula>"NonMember"</formula>
    </cfRule>
  </conditionalFormatting>
  <conditionalFormatting sqref="B5735">
    <cfRule type="cellIs" dxfId="1006" priority="946" operator="equal">
      <formula>"Membership"</formula>
    </cfRule>
    <cfRule type="cellIs" dxfId="1005" priority="947" operator="equal">
      <formula>"Expenses"</formula>
    </cfRule>
  </conditionalFormatting>
  <conditionalFormatting sqref="B5736">
    <cfRule type="cellIs" dxfId="1004" priority="945" operator="equal">
      <formula>"NonMember"</formula>
    </cfRule>
  </conditionalFormatting>
  <conditionalFormatting sqref="B5736">
    <cfRule type="cellIs" dxfId="1003" priority="943" operator="equal">
      <formula>"Membership"</formula>
    </cfRule>
    <cfRule type="cellIs" dxfId="1002" priority="944" operator="equal">
      <formula>"Expenses"</formula>
    </cfRule>
  </conditionalFormatting>
  <conditionalFormatting sqref="B5812">
    <cfRule type="cellIs" dxfId="1001" priority="942" operator="equal">
      <formula>"NonMember"</formula>
    </cfRule>
  </conditionalFormatting>
  <conditionalFormatting sqref="B5812">
    <cfRule type="cellIs" dxfId="1000" priority="940" operator="equal">
      <formula>"Membership"</formula>
    </cfRule>
    <cfRule type="cellIs" dxfId="999" priority="941" operator="equal">
      <formula>"Expenses"</formula>
    </cfRule>
  </conditionalFormatting>
  <conditionalFormatting sqref="B5781">
    <cfRule type="cellIs" dxfId="998" priority="939" operator="equal">
      <formula>"NonMember"</formula>
    </cfRule>
  </conditionalFormatting>
  <conditionalFormatting sqref="B5781">
    <cfRule type="cellIs" dxfId="997" priority="937" operator="equal">
      <formula>"Membership"</formula>
    </cfRule>
    <cfRule type="cellIs" dxfId="996" priority="938" operator="equal">
      <formula>"Expenses"</formula>
    </cfRule>
  </conditionalFormatting>
  <conditionalFormatting sqref="B5791">
    <cfRule type="cellIs" dxfId="995" priority="936" operator="equal">
      <formula>"NonMember"</formula>
    </cfRule>
  </conditionalFormatting>
  <conditionalFormatting sqref="B5791">
    <cfRule type="cellIs" dxfId="994" priority="934" operator="equal">
      <formula>"Membership"</formula>
    </cfRule>
    <cfRule type="cellIs" dxfId="993" priority="935" operator="equal">
      <formula>"Expenses"</formula>
    </cfRule>
  </conditionalFormatting>
  <conditionalFormatting sqref="B5738">
    <cfRule type="cellIs" dxfId="992" priority="933" operator="equal">
      <formula>"NonMember"</formula>
    </cfRule>
  </conditionalFormatting>
  <conditionalFormatting sqref="B5738">
    <cfRule type="cellIs" dxfId="991" priority="931" operator="equal">
      <formula>"Membership"</formula>
    </cfRule>
    <cfRule type="cellIs" dxfId="990" priority="932" operator="equal">
      <formula>"Expenses"</formula>
    </cfRule>
  </conditionalFormatting>
  <conditionalFormatting sqref="B5737">
    <cfRule type="cellIs" dxfId="989" priority="930" operator="equal">
      <formula>"NonMember"</formula>
    </cfRule>
  </conditionalFormatting>
  <conditionalFormatting sqref="B5737">
    <cfRule type="cellIs" dxfId="988" priority="928" operator="equal">
      <formula>"Membership"</formula>
    </cfRule>
    <cfRule type="cellIs" dxfId="987" priority="929" operator="equal">
      <formula>"Expenses"</formula>
    </cfRule>
  </conditionalFormatting>
  <conditionalFormatting sqref="B5753">
    <cfRule type="cellIs" dxfId="986" priority="924" operator="equal">
      <formula>"NonMember"</formula>
    </cfRule>
  </conditionalFormatting>
  <conditionalFormatting sqref="B5753">
    <cfRule type="cellIs" dxfId="985" priority="922" operator="equal">
      <formula>"Membership"</formula>
    </cfRule>
    <cfRule type="cellIs" dxfId="984" priority="923" operator="equal">
      <formula>"Expenses"</formula>
    </cfRule>
  </conditionalFormatting>
  <conditionalFormatting sqref="B5749">
    <cfRule type="cellIs" dxfId="983" priority="921" operator="equal">
      <formula>"NonMember"</formula>
    </cfRule>
  </conditionalFormatting>
  <conditionalFormatting sqref="B5749">
    <cfRule type="cellIs" dxfId="982" priority="919" operator="equal">
      <formula>"Membership"</formula>
    </cfRule>
    <cfRule type="cellIs" dxfId="981" priority="920" operator="equal">
      <formula>"Expenses"</formula>
    </cfRule>
  </conditionalFormatting>
  <conditionalFormatting sqref="B5752">
    <cfRule type="cellIs" dxfId="980" priority="918" operator="equal">
      <formula>"NonMember"</formula>
    </cfRule>
  </conditionalFormatting>
  <conditionalFormatting sqref="B5752">
    <cfRule type="cellIs" dxfId="979" priority="916" operator="equal">
      <formula>"Membership"</formula>
    </cfRule>
    <cfRule type="cellIs" dxfId="978" priority="917" operator="equal">
      <formula>"Expenses"</formula>
    </cfRule>
  </conditionalFormatting>
  <conditionalFormatting sqref="B5918">
    <cfRule type="cellIs" dxfId="977" priority="915" operator="equal">
      <formula>"NonMember"</formula>
    </cfRule>
  </conditionalFormatting>
  <conditionalFormatting sqref="B5918">
    <cfRule type="cellIs" dxfId="976" priority="913" operator="equal">
      <formula>"Membership"</formula>
    </cfRule>
    <cfRule type="cellIs" dxfId="975" priority="914" operator="equal">
      <formula>"Expenses"</formula>
    </cfRule>
  </conditionalFormatting>
  <conditionalFormatting sqref="B5777:B5778">
    <cfRule type="cellIs" dxfId="974" priority="909" operator="equal">
      <formula>"NonMember"</formula>
    </cfRule>
  </conditionalFormatting>
  <conditionalFormatting sqref="B5777:B5778">
    <cfRule type="cellIs" dxfId="973" priority="907" operator="equal">
      <formula>"Membership"</formula>
    </cfRule>
    <cfRule type="cellIs" dxfId="972" priority="908" operator="equal">
      <formula>"Expenses"</formula>
    </cfRule>
  </conditionalFormatting>
  <conditionalFormatting sqref="B5909 B5913">
    <cfRule type="cellIs" dxfId="971" priority="906" operator="equal">
      <formula>"NonMember"</formula>
    </cfRule>
  </conditionalFormatting>
  <conditionalFormatting sqref="B5909 B5913">
    <cfRule type="cellIs" dxfId="970" priority="904" operator="equal">
      <formula>"Membership"</formula>
    </cfRule>
    <cfRule type="cellIs" dxfId="969" priority="905" operator="equal">
      <formula>"Expenses"</formula>
    </cfRule>
  </conditionalFormatting>
  <conditionalFormatting sqref="B5779">
    <cfRule type="cellIs" dxfId="968" priority="903" operator="equal">
      <formula>"NonMember"</formula>
    </cfRule>
  </conditionalFormatting>
  <conditionalFormatting sqref="B5779">
    <cfRule type="cellIs" dxfId="967" priority="901" operator="equal">
      <formula>"Membership"</formula>
    </cfRule>
    <cfRule type="cellIs" dxfId="966" priority="902" operator="equal">
      <formula>"Expenses"</formula>
    </cfRule>
  </conditionalFormatting>
  <conditionalFormatting sqref="B5771">
    <cfRule type="cellIs" dxfId="965" priority="900" operator="equal">
      <formula>"NonMember"</formula>
    </cfRule>
  </conditionalFormatting>
  <conditionalFormatting sqref="B5771">
    <cfRule type="cellIs" dxfId="964" priority="898" operator="equal">
      <formula>"Membership"</formula>
    </cfRule>
    <cfRule type="cellIs" dxfId="963" priority="899" operator="equal">
      <formula>"Expenses"</formula>
    </cfRule>
  </conditionalFormatting>
  <conditionalFormatting sqref="B5732">
    <cfRule type="cellIs" dxfId="962" priority="897" operator="equal">
      <formula>"NonMember"</formula>
    </cfRule>
  </conditionalFormatting>
  <conditionalFormatting sqref="B5732">
    <cfRule type="cellIs" dxfId="961" priority="895" operator="equal">
      <formula>"Membership"</formula>
    </cfRule>
    <cfRule type="cellIs" dxfId="960" priority="896" operator="equal">
      <formula>"Expenses"</formula>
    </cfRule>
  </conditionalFormatting>
  <conditionalFormatting sqref="B5733">
    <cfRule type="cellIs" dxfId="959" priority="894" operator="equal">
      <formula>"NonMember"</formula>
    </cfRule>
  </conditionalFormatting>
  <conditionalFormatting sqref="B5733">
    <cfRule type="cellIs" dxfId="958" priority="892" operator="equal">
      <formula>"Membership"</formula>
    </cfRule>
    <cfRule type="cellIs" dxfId="957" priority="893" operator="equal">
      <formula>"Expenses"</formula>
    </cfRule>
  </conditionalFormatting>
  <conditionalFormatting sqref="B5734">
    <cfRule type="cellIs" dxfId="956" priority="891" operator="equal">
      <formula>"NonMember"</formula>
    </cfRule>
  </conditionalFormatting>
  <conditionalFormatting sqref="B5734">
    <cfRule type="cellIs" dxfId="955" priority="889" operator="equal">
      <formula>"Membership"</formula>
    </cfRule>
    <cfRule type="cellIs" dxfId="954" priority="890" operator="equal">
      <formula>"Expenses"</formula>
    </cfRule>
  </conditionalFormatting>
  <conditionalFormatting sqref="B5799">
    <cfRule type="cellIs" dxfId="953" priority="888" operator="equal">
      <formula>"NonMember"</formula>
    </cfRule>
  </conditionalFormatting>
  <conditionalFormatting sqref="B5799">
    <cfRule type="cellIs" dxfId="952" priority="886" operator="equal">
      <formula>"Membership"</formula>
    </cfRule>
    <cfRule type="cellIs" dxfId="951" priority="887" operator="equal">
      <formula>"Expenses"</formula>
    </cfRule>
  </conditionalFormatting>
  <conditionalFormatting sqref="B5798">
    <cfRule type="cellIs" dxfId="950" priority="885" operator="equal">
      <formula>"NonMember"</formula>
    </cfRule>
  </conditionalFormatting>
  <conditionalFormatting sqref="B5798">
    <cfRule type="cellIs" dxfId="949" priority="883" operator="equal">
      <formula>"Membership"</formula>
    </cfRule>
    <cfRule type="cellIs" dxfId="948" priority="884" operator="equal">
      <formula>"Expenses"</formula>
    </cfRule>
  </conditionalFormatting>
  <conditionalFormatting sqref="B5815 B5863 B5868 B5847">
    <cfRule type="cellIs" dxfId="947" priority="882" operator="equal">
      <formula>"NonMember"</formula>
    </cfRule>
  </conditionalFormatting>
  <conditionalFormatting sqref="B5815 B5863 B5868 B5847">
    <cfRule type="cellIs" dxfId="946" priority="880" operator="equal">
      <formula>"Membership"</formula>
    </cfRule>
    <cfRule type="cellIs" dxfId="945" priority="881" operator="equal">
      <formula>"Expenses"</formula>
    </cfRule>
  </conditionalFormatting>
  <conditionalFormatting sqref="B5854">
    <cfRule type="cellIs" dxfId="944" priority="879" operator="equal">
      <formula>"NonMember"</formula>
    </cfRule>
  </conditionalFormatting>
  <conditionalFormatting sqref="B5854">
    <cfRule type="cellIs" dxfId="943" priority="877" operator="equal">
      <formula>"Membership"</formula>
    </cfRule>
    <cfRule type="cellIs" dxfId="942" priority="878" operator="equal">
      <formula>"Expenses"</formula>
    </cfRule>
  </conditionalFormatting>
  <conditionalFormatting sqref="B5750">
    <cfRule type="cellIs" dxfId="941" priority="873" operator="equal">
      <formula>"NonMember"</formula>
    </cfRule>
  </conditionalFormatting>
  <conditionalFormatting sqref="B5750">
    <cfRule type="cellIs" dxfId="940" priority="871" operator="equal">
      <formula>"Membership"</formula>
    </cfRule>
    <cfRule type="cellIs" dxfId="939" priority="872" operator="equal">
      <formula>"Expenses"</formula>
    </cfRule>
  </conditionalFormatting>
  <conditionalFormatting sqref="B5743">
    <cfRule type="cellIs" dxfId="938" priority="870" operator="equal">
      <formula>"NonMember"</formula>
    </cfRule>
  </conditionalFormatting>
  <conditionalFormatting sqref="B5743">
    <cfRule type="cellIs" dxfId="937" priority="868" operator="equal">
      <formula>"Membership"</formula>
    </cfRule>
    <cfRule type="cellIs" dxfId="936" priority="869" operator="equal">
      <formula>"Expenses"</formula>
    </cfRule>
  </conditionalFormatting>
  <conditionalFormatting sqref="B5724">
    <cfRule type="cellIs" dxfId="935" priority="867" operator="equal">
      <formula>"NonMember"</formula>
    </cfRule>
  </conditionalFormatting>
  <conditionalFormatting sqref="B5724">
    <cfRule type="cellIs" dxfId="934" priority="865" operator="equal">
      <formula>"Membership"</formula>
    </cfRule>
    <cfRule type="cellIs" dxfId="933" priority="866" operator="equal">
      <formula>"Expenses"</formula>
    </cfRule>
  </conditionalFormatting>
  <conditionalFormatting sqref="B5674">
    <cfRule type="cellIs" dxfId="932" priority="864" operator="equal">
      <formula>"NonMember"</formula>
    </cfRule>
  </conditionalFormatting>
  <conditionalFormatting sqref="B5674">
    <cfRule type="cellIs" dxfId="931" priority="862" operator="equal">
      <formula>"Membership"</formula>
    </cfRule>
    <cfRule type="cellIs" dxfId="930" priority="863" operator="equal">
      <formula>"Expenses"</formula>
    </cfRule>
  </conditionalFormatting>
  <conditionalFormatting sqref="B5731">
    <cfRule type="cellIs" dxfId="929" priority="861" operator="equal">
      <formula>"NonMember"</formula>
    </cfRule>
  </conditionalFormatting>
  <conditionalFormatting sqref="B5731">
    <cfRule type="cellIs" dxfId="928" priority="859" operator="equal">
      <formula>"Membership"</formula>
    </cfRule>
    <cfRule type="cellIs" dxfId="927" priority="860" operator="equal">
      <formula>"Expenses"</formula>
    </cfRule>
  </conditionalFormatting>
  <conditionalFormatting sqref="B5701">
    <cfRule type="cellIs" dxfId="926" priority="858" operator="equal">
      <formula>"NonMember"</formula>
    </cfRule>
  </conditionalFormatting>
  <conditionalFormatting sqref="B5701">
    <cfRule type="cellIs" dxfId="925" priority="856" operator="equal">
      <formula>"Membership"</formula>
    </cfRule>
    <cfRule type="cellIs" dxfId="924" priority="857" operator="equal">
      <formula>"Expenses"</formula>
    </cfRule>
  </conditionalFormatting>
  <conditionalFormatting sqref="B5772">
    <cfRule type="cellIs" dxfId="923" priority="855" operator="equal">
      <formula>"NonMember"</formula>
    </cfRule>
  </conditionalFormatting>
  <conditionalFormatting sqref="B5772">
    <cfRule type="cellIs" dxfId="922" priority="853" operator="equal">
      <formula>"Membership"</formula>
    </cfRule>
    <cfRule type="cellIs" dxfId="921" priority="854" operator="equal">
      <formula>"Expenses"</formula>
    </cfRule>
  </conditionalFormatting>
  <conditionalFormatting sqref="B5751">
    <cfRule type="cellIs" dxfId="920" priority="852" operator="equal">
      <formula>"NonMember"</formula>
    </cfRule>
  </conditionalFormatting>
  <conditionalFormatting sqref="B5751">
    <cfRule type="cellIs" dxfId="919" priority="850" operator="equal">
      <formula>"Membership"</formula>
    </cfRule>
    <cfRule type="cellIs" dxfId="918" priority="851" operator="equal">
      <formula>"Expenses"</formula>
    </cfRule>
  </conditionalFormatting>
  <conditionalFormatting sqref="B5919">
    <cfRule type="cellIs" dxfId="917" priority="849" operator="equal">
      <formula>"NonMember"</formula>
    </cfRule>
  </conditionalFormatting>
  <conditionalFormatting sqref="B5919">
    <cfRule type="cellIs" dxfId="916" priority="847" operator="equal">
      <formula>"Membership"</formula>
    </cfRule>
    <cfRule type="cellIs" dxfId="915" priority="848" operator="equal">
      <formula>"Expenses"</formula>
    </cfRule>
  </conditionalFormatting>
  <conditionalFormatting sqref="B5910">
    <cfRule type="cellIs" dxfId="914" priority="846" operator="equal">
      <formula>"NonMember"</formula>
    </cfRule>
  </conditionalFormatting>
  <conditionalFormatting sqref="B5910">
    <cfRule type="cellIs" dxfId="913" priority="844" operator="equal">
      <formula>"Membership"</formula>
    </cfRule>
    <cfRule type="cellIs" dxfId="912" priority="845" operator="equal">
      <formula>"Expenses"</formula>
    </cfRule>
  </conditionalFormatting>
  <conditionalFormatting sqref="B5757">
    <cfRule type="cellIs" dxfId="911" priority="843" operator="equal">
      <formula>"NonMember"</formula>
    </cfRule>
  </conditionalFormatting>
  <conditionalFormatting sqref="B5757">
    <cfRule type="cellIs" dxfId="910" priority="841" operator="equal">
      <formula>"Membership"</formula>
    </cfRule>
    <cfRule type="cellIs" dxfId="909" priority="842" operator="equal">
      <formula>"Expenses"</formula>
    </cfRule>
  </conditionalFormatting>
  <conditionalFormatting sqref="B5702:B5703 B5705 B5711:B5712">
    <cfRule type="cellIs" dxfId="908" priority="837" operator="equal">
      <formula>"NonMember"</formula>
    </cfRule>
  </conditionalFormatting>
  <conditionalFormatting sqref="B5702:B5703 B5705 B5711:B5712">
    <cfRule type="cellIs" dxfId="907" priority="835" operator="equal">
      <formula>"Membership"</formula>
    </cfRule>
    <cfRule type="cellIs" dxfId="906" priority="836" operator="equal">
      <formula>"Expenses"</formula>
    </cfRule>
  </conditionalFormatting>
  <conditionalFormatting sqref="B5704">
    <cfRule type="cellIs" dxfId="905" priority="834" operator="equal">
      <formula>"NonMember"</formula>
    </cfRule>
  </conditionalFormatting>
  <conditionalFormatting sqref="B5704">
    <cfRule type="cellIs" dxfId="904" priority="832" operator="equal">
      <formula>"Membership"</formula>
    </cfRule>
    <cfRule type="cellIs" dxfId="903" priority="833" operator="equal">
      <formula>"Expenses"</formula>
    </cfRule>
  </conditionalFormatting>
  <conditionalFormatting sqref="B5706:B5710">
    <cfRule type="cellIs" dxfId="902" priority="831" operator="equal">
      <formula>"NonMember"</formula>
    </cfRule>
  </conditionalFormatting>
  <conditionalFormatting sqref="B5706:B5710">
    <cfRule type="cellIs" dxfId="901" priority="829" operator="equal">
      <formula>"Membership"</formula>
    </cfRule>
    <cfRule type="cellIs" dxfId="900" priority="830" operator="equal">
      <formula>"Expenses"</formula>
    </cfRule>
  </conditionalFormatting>
  <conditionalFormatting sqref="B5742">
    <cfRule type="cellIs" dxfId="899" priority="828" operator="equal">
      <formula>"NonMember"</formula>
    </cfRule>
  </conditionalFormatting>
  <conditionalFormatting sqref="B5742">
    <cfRule type="cellIs" dxfId="898" priority="826" operator="equal">
      <formula>"Membership"</formula>
    </cfRule>
    <cfRule type="cellIs" dxfId="897" priority="827" operator="equal">
      <formula>"Expenses"</formula>
    </cfRule>
  </conditionalFormatting>
  <conditionalFormatting sqref="B5744 B5746:B5748">
    <cfRule type="cellIs" dxfId="896" priority="825" operator="equal">
      <formula>"NonMember"</formula>
    </cfRule>
  </conditionalFormatting>
  <conditionalFormatting sqref="B5744 B5746:B5748">
    <cfRule type="cellIs" dxfId="895" priority="823" operator="equal">
      <formula>"Membership"</formula>
    </cfRule>
    <cfRule type="cellIs" dxfId="894" priority="824" operator="equal">
      <formula>"Expenses"</formula>
    </cfRule>
  </conditionalFormatting>
  <conditionalFormatting sqref="B5774">
    <cfRule type="cellIs" dxfId="893" priority="822" operator="equal">
      <formula>"NonMember"</formula>
    </cfRule>
  </conditionalFormatting>
  <conditionalFormatting sqref="B5774">
    <cfRule type="cellIs" dxfId="892" priority="820" operator="equal">
      <formula>"Membership"</formula>
    </cfRule>
    <cfRule type="cellIs" dxfId="891" priority="821" operator="equal">
      <formula>"Expenses"</formula>
    </cfRule>
  </conditionalFormatting>
  <conditionalFormatting sqref="B5725:B5726 B5728:B5729">
    <cfRule type="cellIs" dxfId="890" priority="819" operator="equal">
      <formula>"NonMember"</formula>
    </cfRule>
  </conditionalFormatting>
  <conditionalFormatting sqref="B5725:B5726 B5728:B5729">
    <cfRule type="cellIs" dxfId="889" priority="817" operator="equal">
      <formula>"Membership"</formula>
    </cfRule>
    <cfRule type="cellIs" dxfId="888" priority="818" operator="equal">
      <formula>"Expenses"</formula>
    </cfRule>
  </conditionalFormatting>
  <conditionalFormatting sqref="B5713:B5716">
    <cfRule type="cellIs" dxfId="887" priority="816" operator="equal">
      <formula>"NonMember"</formula>
    </cfRule>
  </conditionalFormatting>
  <conditionalFormatting sqref="B5713:B5716">
    <cfRule type="cellIs" dxfId="886" priority="814" operator="equal">
      <formula>"Membership"</formula>
    </cfRule>
    <cfRule type="cellIs" dxfId="885" priority="815" operator="equal">
      <formula>"Expenses"</formula>
    </cfRule>
  </conditionalFormatting>
  <conditionalFormatting sqref="B5727">
    <cfRule type="cellIs" dxfId="884" priority="813" operator="equal">
      <formula>"NonMember"</formula>
    </cfRule>
  </conditionalFormatting>
  <conditionalFormatting sqref="B5727">
    <cfRule type="cellIs" dxfId="883" priority="811" operator="equal">
      <formula>"Membership"</formula>
    </cfRule>
    <cfRule type="cellIs" dxfId="882" priority="812" operator="equal">
      <formula>"Expenses"</formula>
    </cfRule>
  </conditionalFormatting>
  <conditionalFormatting sqref="B5754">
    <cfRule type="cellIs" dxfId="881" priority="810" operator="equal">
      <formula>"NonMember"</formula>
    </cfRule>
  </conditionalFormatting>
  <conditionalFormatting sqref="B5754">
    <cfRule type="cellIs" dxfId="880" priority="808" operator="equal">
      <formula>"Membership"</formula>
    </cfRule>
    <cfRule type="cellIs" dxfId="879" priority="809" operator="equal">
      <formula>"Expenses"</formula>
    </cfRule>
  </conditionalFormatting>
  <conditionalFormatting sqref="B5745">
    <cfRule type="cellIs" dxfId="878" priority="807" operator="equal">
      <formula>"NonMember"</formula>
    </cfRule>
  </conditionalFormatting>
  <conditionalFormatting sqref="B5745">
    <cfRule type="cellIs" dxfId="877" priority="805" operator="equal">
      <formula>"Membership"</formula>
    </cfRule>
    <cfRule type="cellIs" dxfId="876" priority="806" operator="equal">
      <formula>"Expenses"</formula>
    </cfRule>
  </conditionalFormatting>
  <conditionalFormatting sqref="B5795">
    <cfRule type="cellIs" dxfId="875" priority="804" operator="equal">
      <formula>"NonMember"</formula>
    </cfRule>
  </conditionalFormatting>
  <conditionalFormatting sqref="B5795">
    <cfRule type="cellIs" dxfId="874" priority="802" operator="equal">
      <formula>"Membership"</formula>
    </cfRule>
    <cfRule type="cellIs" dxfId="873" priority="803" operator="equal">
      <formula>"Expenses"</formula>
    </cfRule>
  </conditionalFormatting>
  <conditionalFormatting sqref="B5793">
    <cfRule type="cellIs" dxfId="872" priority="801" operator="equal">
      <formula>"NonMember"</formula>
    </cfRule>
  </conditionalFormatting>
  <conditionalFormatting sqref="B5793">
    <cfRule type="cellIs" dxfId="871" priority="799" operator="equal">
      <formula>"Membership"</formula>
    </cfRule>
    <cfRule type="cellIs" dxfId="870" priority="800" operator="equal">
      <formula>"Expenses"</formula>
    </cfRule>
  </conditionalFormatting>
  <conditionalFormatting sqref="B5864">
    <cfRule type="cellIs" dxfId="869" priority="798" operator="equal">
      <formula>"NonMember"</formula>
    </cfRule>
  </conditionalFormatting>
  <conditionalFormatting sqref="B5864">
    <cfRule type="cellIs" dxfId="868" priority="796" operator="equal">
      <formula>"Membership"</formula>
    </cfRule>
    <cfRule type="cellIs" dxfId="867" priority="797" operator="equal">
      <formula>"Expenses"</formula>
    </cfRule>
  </conditionalFormatting>
  <conditionalFormatting sqref="B5845">
    <cfRule type="cellIs" dxfId="866" priority="795" operator="equal">
      <formula>"NonMember"</formula>
    </cfRule>
  </conditionalFormatting>
  <conditionalFormatting sqref="B5845">
    <cfRule type="cellIs" dxfId="865" priority="793" operator="equal">
      <formula>"Membership"</formula>
    </cfRule>
    <cfRule type="cellIs" dxfId="864" priority="794" operator="equal">
      <formula>"Expenses"</formula>
    </cfRule>
  </conditionalFormatting>
  <conditionalFormatting sqref="B5852">
    <cfRule type="cellIs" dxfId="863" priority="789" operator="equal">
      <formula>"NonMember"</formula>
    </cfRule>
  </conditionalFormatting>
  <conditionalFormatting sqref="B5852">
    <cfRule type="cellIs" dxfId="862" priority="787" operator="equal">
      <formula>"Membership"</formula>
    </cfRule>
    <cfRule type="cellIs" dxfId="861" priority="788" operator="equal">
      <formula>"Expenses"</formula>
    </cfRule>
  </conditionalFormatting>
  <conditionalFormatting sqref="B5782 B5784">
    <cfRule type="cellIs" dxfId="860" priority="786" operator="equal">
      <formula>"NonMember"</formula>
    </cfRule>
  </conditionalFormatting>
  <conditionalFormatting sqref="B5782 B5784">
    <cfRule type="cellIs" dxfId="859" priority="784" operator="equal">
      <formula>"Membership"</formula>
    </cfRule>
    <cfRule type="cellIs" dxfId="858" priority="785" operator="equal">
      <formula>"Expenses"</formula>
    </cfRule>
  </conditionalFormatting>
  <conditionalFormatting sqref="B5783">
    <cfRule type="cellIs" dxfId="857" priority="783" operator="equal">
      <formula>"NonMember"</formula>
    </cfRule>
  </conditionalFormatting>
  <conditionalFormatting sqref="B5783">
    <cfRule type="cellIs" dxfId="856" priority="781" operator="equal">
      <formula>"Membership"</formula>
    </cfRule>
    <cfRule type="cellIs" dxfId="855" priority="782" operator="equal">
      <formula>"Expenses"</formula>
    </cfRule>
  </conditionalFormatting>
  <conditionalFormatting sqref="B5794">
    <cfRule type="cellIs" dxfId="854" priority="780" operator="equal">
      <formula>"NonMember"</formula>
    </cfRule>
  </conditionalFormatting>
  <conditionalFormatting sqref="B5794">
    <cfRule type="cellIs" dxfId="853" priority="778" operator="equal">
      <formula>"Membership"</formula>
    </cfRule>
    <cfRule type="cellIs" dxfId="852" priority="779" operator="equal">
      <formula>"Expenses"</formula>
    </cfRule>
  </conditionalFormatting>
  <conditionalFormatting sqref="B5805">
    <cfRule type="cellIs" dxfId="851" priority="777" operator="equal">
      <formula>"NonMember"</formula>
    </cfRule>
  </conditionalFormatting>
  <conditionalFormatting sqref="B5805">
    <cfRule type="cellIs" dxfId="850" priority="775" operator="equal">
      <formula>"Membership"</formula>
    </cfRule>
    <cfRule type="cellIs" dxfId="849" priority="776" operator="equal">
      <formula>"Expenses"</formula>
    </cfRule>
  </conditionalFormatting>
  <conditionalFormatting sqref="B5895">
    <cfRule type="cellIs" dxfId="848" priority="774" operator="equal">
      <formula>"NonMember"</formula>
    </cfRule>
  </conditionalFormatting>
  <conditionalFormatting sqref="B5895">
    <cfRule type="cellIs" dxfId="847" priority="772" operator="equal">
      <formula>"Membership"</formula>
    </cfRule>
    <cfRule type="cellIs" dxfId="846" priority="773" operator="equal">
      <formula>"Expenses"</formula>
    </cfRule>
  </conditionalFormatting>
  <conditionalFormatting sqref="B5883">
    <cfRule type="cellIs" dxfId="845" priority="771" operator="equal">
      <formula>"NonMember"</formula>
    </cfRule>
  </conditionalFormatting>
  <conditionalFormatting sqref="B5883">
    <cfRule type="cellIs" dxfId="844" priority="769" operator="equal">
      <formula>"Membership"</formula>
    </cfRule>
    <cfRule type="cellIs" dxfId="843" priority="770" operator="equal">
      <formula>"Expenses"</formula>
    </cfRule>
  </conditionalFormatting>
  <conditionalFormatting sqref="B5891">
    <cfRule type="cellIs" dxfId="842" priority="768" operator="equal">
      <formula>"NonMember"</formula>
    </cfRule>
  </conditionalFormatting>
  <conditionalFormatting sqref="B5891">
    <cfRule type="cellIs" dxfId="841" priority="766" operator="equal">
      <formula>"Membership"</formula>
    </cfRule>
    <cfRule type="cellIs" dxfId="840" priority="767" operator="equal">
      <formula>"Expenses"</formula>
    </cfRule>
  </conditionalFormatting>
  <conditionalFormatting sqref="B5809">
    <cfRule type="cellIs" dxfId="839" priority="765" operator="equal">
      <formula>"NonMember"</formula>
    </cfRule>
  </conditionalFormatting>
  <conditionalFormatting sqref="B5809">
    <cfRule type="cellIs" dxfId="838" priority="763" operator="equal">
      <formula>"Membership"</formula>
    </cfRule>
    <cfRule type="cellIs" dxfId="837" priority="764" operator="equal">
      <formula>"Expenses"</formula>
    </cfRule>
  </conditionalFormatting>
  <conditionalFormatting sqref="B5968">
    <cfRule type="cellIs" dxfId="836" priority="762" operator="equal">
      <formula>"NonMember"</formula>
    </cfRule>
  </conditionalFormatting>
  <conditionalFormatting sqref="B5968">
    <cfRule type="cellIs" dxfId="835" priority="760" operator="equal">
      <formula>"Membership"</formula>
    </cfRule>
    <cfRule type="cellIs" dxfId="834" priority="761" operator="equal">
      <formula>"Expenses"</formula>
    </cfRule>
  </conditionalFormatting>
  <conditionalFormatting sqref="B5807">
    <cfRule type="cellIs" dxfId="833" priority="759" operator="equal">
      <formula>"NonMember"</formula>
    </cfRule>
  </conditionalFormatting>
  <conditionalFormatting sqref="B5807">
    <cfRule type="cellIs" dxfId="832" priority="757" operator="equal">
      <formula>"Membership"</formula>
    </cfRule>
    <cfRule type="cellIs" dxfId="831" priority="758" operator="equal">
      <formula>"Expenses"</formula>
    </cfRule>
  </conditionalFormatting>
  <conditionalFormatting sqref="B5804">
    <cfRule type="cellIs" dxfId="830" priority="756" operator="equal">
      <formula>"NonMember"</formula>
    </cfRule>
  </conditionalFormatting>
  <conditionalFormatting sqref="B5804">
    <cfRule type="cellIs" dxfId="829" priority="754" operator="equal">
      <formula>"Membership"</formula>
    </cfRule>
    <cfRule type="cellIs" dxfId="828" priority="755" operator="equal">
      <formula>"Expenses"</formula>
    </cfRule>
  </conditionalFormatting>
  <conditionalFormatting sqref="B5882">
    <cfRule type="cellIs" dxfId="827" priority="753" operator="equal">
      <formula>"NonMember"</formula>
    </cfRule>
  </conditionalFormatting>
  <conditionalFormatting sqref="B5882">
    <cfRule type="cellIs" dxfId="826" priority="751" operator="equal">
      <formula>"Membership"</formula>
    </cfRule>
    <cfRule type="cellIs" dxfId="825" priority="752" operator="equal">
      <formula>"Expenses"</formula>
    </cfRule>
  </conditionalFormatting>
  <conditionalFormatting sqref="B5800">
    <cfRule type="cellIs" dxfId="824" priority="750" operator="equal">
      <formula>"NonMember"</formula>
    </cfRule>
  </conditionalFormatting>
  <conditionalFormatting sqref="B5800">
    <cfRule type="cellIs" dxfId="823" priority="748" operator="equal">
      <formula>"Membership"</formula>
    </cfRule>
    <cfRule type="cellIs" dxfId="822" priority="749" operator="equal">
      <formula>"Expenses"</formula>
    </cfRule>
  </conditionalFormatting>
  <conditionalFormatting sqref="B5788">
    <cfRule type="cellIs" dxfId="821" priority="747" operator="equal">
      <formula>"NonMember"</formula>
    </cfRule>
  </conditionalFormatting>
  <conditionalFormatting sqref="B5788">
    <cfRule type="cellIs" dxfId="820" priority="745" operator="equal">
      <formula>"Membership"</formula>
    </cfRule>
    <cfRule type="cellIs" dxfId="819" priority="746" operator="equal">
      <formula>"Expenses"</formula>
    </cfRule>
  </conditionalFormatting>
  <conditionalFormatting sqref="B5856">
    <cfRule type="cellIs" dxfId="818" priority="744" operator="equal">
      <formula>"NonMember"</formula>
    </cfRule>
  </conditionalFormatting>
  <conditionalFormatting sqref="B5856">
    <cfRule type="cellIs" dxfId="817" priority="742" operator="equal">
      <formula>"Membership"</formula>
    </cfRule>
    <cfRule type="cellIs" dxfId="816" priority="743" operator="equal">
      <formula>"Expenses"</formula>
    </cfRule>
  </conditionalFormatting>
  <conditionalFormatting sqref="B5787">
    <cfRule type="cellIs" dxfId="815" priority="741" operator="equal">
      <formula>"NonMember"</formula>
    </cfRule>
  </conditionalFormatting>
  <conditionalFormatting sqref="B5787">
    <cfRule type="cellIs" dxfId="814" priority="739" operator="equal">
      <formula>"Membership"</formula>
    </cfRule>
    <cfRule type="cellIs" dxfId="813" priority="740" operator="equal">
      <formula>"Expenses"</formula>
    </cfRule>
  </conditionalFormatting>
  <conditionalFormatting sqref="B5855">
    <cfRule type="cellIs" dxfId="812" priority="738" operator="equal">
      <formula>"NonMember"</formula>
    </cfRule>
  </conditionalFormatting>
  <conditionalFormatting sqref="B5855">
    <cfRule type="cellIs" dxfId="811" priority="736" operator="equal">
      <formula>"Membership"</formula>
    </cfRule>
    <cfRule type="cellIs" dxfId="810" priority="737" operator="equal">
      <formula>"Expenses"</formula>
    </cfRule>
  </conditionalFormatting>
  <conditionalFormatting sqref="B5801">
    <cfRule type="cellIs" dxfId="809" priority="735" operator="equal">
      <formula>"NonMember"</formula>
    </cfRule>
  </conditionalFormatting>
  <conditionalFormatting sqref="B5801">
    <cfRule type="cellIs" dxfId="808" priority="733" operator="equal">
      <formula>"Membership"</formula>
    </cfRule>
    <cfRule type="cellIs" dxfId="807" priority="734" operator="equal">
      <formula>"Expenses"</formula>
    </cfRule>
  </conditionalFormatting>
  <conditionalFormatting sqref="B5869">
    <cfRule type="cellIs" dxfId="806" priority="732" operator="equal">
      <formula>"NonMember"</formula>
    </cfRule>
  </conditionalFormatting>
  <conditionalFormatting sqref="B5869">
    <cfRule type="cellIs" dxfId="805" priority="730" operator="equal">
      <formula>"Membership"</formula>
    </cfRule>
    <cfRule type="cellIs" dxfId="804" priority="731" operator="equal">
      <formula>"Expenses"</formula>
    </cfRule>
  </conditionalFormatting>
  <conditionalFormatting sqref="B5803">
    <cfRule type="cellIs" dxfId="803" priority="729" operator="equal">
      <formula>"NonMember"</formula>
    </cfRule>
  </conditionalFormatting>
  <conditionalFormatting sqref="B5803">
    <cfRule type="cellIs" dxfId="802" priority="727" operator="equal">
      <formula>"Membership"</formula>
    </cfRule>
    <cfRule type="cellIs" dxfId="801" priority="728" operator="equal">
      <formula>"Expenses"</formula>
    </cfRule>
  </conditionalFormatting>
  <conditionalFormatting sqref="B5811">
    <cfRule type="cellIs" dxfId="800" priority="726" operator="equal">
      <formula>"NonMember"</formula>
    </cfRule>
  </conditionalFormatting>
  <conditionalFormatting sqref="B5811">
    <cfRule type="cellIs" dxfId="799" priority="724" operator="equal">
      <formula>"Membership"</formula>
    </cfRule>
    <cfRule type="cellIs" dxfId="798" priority="725" operator="equal">
      <formula>"Expenses"</formula>
    </cfRule>
  </conditionalFormatting>
  <conditionalFormatting sqref="B5897">
    <cfRule type="cellIs" dxfId="797" priority="723" operator="equal">
      <formula>"NonMember"</formula>
    </cfRule>
  </conditionalFormatting>
  <conditionalFormatting sqref="B5897">
    <cfRule type="cellIs" dxfId="796" priority="721" operator="equal">
      <formula>"Membership"</formula>
    </cfRule>
    <cfRule type="cellIs" dxfId="795" priority="722" operator="equal">
      <formula>"Expenses"</formula>
    </cfRule>
  </conditionalFormatting>
  <conditionalFormatting sqref="B5792">
    <cfRule type="cellIs" dxfId="794" priority="720" operator="equal">
      <formula>"NonMember"</formula>
    </cfRule>
  </conditionalFormatting>
  <conditionalFormatting sqref="B5792">
    <cfRule type="cellIs" dxfId="793" priority="718" operator="equal">
      <formula>"Membership"</formula>
    </cfRule>
    <cfRule type="cellIs" dxfId="792" priority="719" operator="equal">
      <formula>"Expenses"</formula>
    </cfRule>
  </conditionalFormatting>
  <conditionalFormatting sqref="B5821 B5816:B5817 B5827:B5828 B5833 B5837 B5841 B5839">
    <cfRule type="cellIs" dxfId="791" priority="714" operator="equal">
      <formula>"NonMember"</formula>
    </cfRule>
  </conditionalFormatting>
  <conditionalFormatting sqref="B5821 B5816:B5817 B5827:B5828 B5833 B5837 B5841 B5839">
    <cfRule type="cellIs" dxfId="790" priority="712" operator="equal">
      <formula>"Membership"</formula>
    </cfRule>
    <cfRule type="cellIs" dxfId="789" priority="713" operator="equal">
      <formula>"Expenses"</formula>
    </cfRule>
  </conditionalFormatting>
  <conditionalFormatting sqref="B5820">
    <cfRule type="cellIs" dxfId="788" priority="711" operator="equal">
      <formula>"NonMember"</formula>
    </cfRule>
  </conditionalFormatting>
  <conditionalFormatting sqref="B5820">
    <cfRule type="cellIs" dxfId="787" priority="709" operator="equal">
      <formula>"Membership"</formula>
    </cfRule>
    <cfRule type="cellIs" dxfId="786" priority="710" operator="equal">
      <formula>"Expenses"</formula>
    </cfRule>
  </conditionalFormatting>
  <conditionalFormatting sqref="B5843">
    <cfRule type="cellIs" dxfId="785" priority="708" operator="equal">
      <formula>"NonMember"</formula>
    </cfRule>
  </conditionalFormatting>
  <conditionalFormatting sqref="B5843">
    <cfRule type="cellIs" dxfId="784" priority="706" operator="equal">
      <formula>"Membership"</formula>
    </cfRule>
    <cfRule type="cellIs" dxfId="783" priority="707" operator="equal">
      <formula>"Expenses"</formula>
    </cfRule>
  </conditionalFormatting>
  <conditionalFormatting sqref="B5822">
    <cfRule type="cellIs" dxfId="782" priority="705" operator="equal">
      <formula>"NonMember"</formula>
    </cfRule>
  </conditionalFormatting>
  <conditionalFormatting sqref="B5822">
    <cfRule type="cellIs" dxfId="781" priority="703" operator="equal">
      <formula>"Membership"</formula>
    </cfRule>
    <cfRule type="cellIs" dxfId="780" priority="704" operator="equal">
      <formula>"Expenses"</formula>
    </cfRule>
  </conditionalFormatting>
  <conditionalFormatting sqref="B5830">
    <cfRule type="cellIs" dxfId="779" priority="702" operator="equal">
      <formula>"NonMember"</formula>
    </cfRule>
  </conditionalFormatting>
  <conditionalFormatting sqref="B5830">
    <cfRule type="cellIs" dxfId="778" priority="700" operator="equal">
      <formula>"Membership"</formula>
    </cfRule>
    <cfRule type="cellIs" dxfId="777" priority="701" operator="equal">
      <formula>"Expenses"</formula>
    </cfRule>
  </conditionalFormatting>
  <conditionalFormatting sqref="B5829">
    <cfRule type="cellIs" dxfId="776" priority="699" operator="equal">
      <formula>"NonMember"</formula>
    </cfRule>
  </conditionalFormatting>
  <conditionalFormatting sqref="B5829">
    <cfRule type="cellIs" dxfId="775" priority="697" operator="equal">
      <formula>"Membership"</formula>
    </cfRule>
    <cfRule type="cellIs" dxfId="774" priority="698" operator="equal">
      <formula>"Expenses"</formula>
    </cfRule>
  </conditionalFormatting>
  <conditionalFormatting sqref="B5844">
    <cfRule type="cellIs" dxfId="773" priority="696" operator="equal">
      <formula>"NonMember"</formula>
    </cfRule>
  </conditionalFormatting>
  <conditionalFormatting sqref="B5844">
    <cfRule type="cellIs" dxfId="772" priority="694" operator="equal">
      <formula>"Membership"</formula>
    </cfRule>
    <cfRule type="cellIs" dxfId="771" priority="695" operator="equal">
      <formula>"Expenses"</formula>
    </cfRule>
  </conditionalFormatting>
  <conditionalFormatting sqref="B5826">
    <cfRule type="cellIs" dxfId="770" priority="693" operator="equal">
      <formula>"NonMember"</formula>
    </cfRule>
  </conditionalFormatting>
  <conditionalFormatting sqref="B5826">
    <cfRule type="cellIs" dxfId="769" priority="691" operator="equal">
      <formula>"Membership"</formula>
    </cfRule>
    <cfRule type="cellIs" dxfId="768" priority="692" operator="equal">
      <formula>"Expenses"</formula>
    </cfRule>
  </conditionalFormatting>
  <conditionalFormatting sqref="B5824">
    <cfRule type="cellIs" dxfId="767" priority="690" operator="equal">
      <formula>"NonMember"</formula>
    </cfRule>
  </conditionalFormatting>
  <conditionalFormatting sqref="B5824">
    <cfRule type="cellIs" dxfId="766" priority="688" operator="equal">
      <formula>"Membership"</formula>
    </cfRule>
    <cfRule type="cellIs" dxfId="765" priority="689" operator="equal">
      <formula>"Expenses"</formula>
    </cfRule>
  </conditionalFormatting>
  <conditionalFormatting sqref="B5825">
    <cfRule type="cellIs" dxfId="764" priority="687" operator="equal">
      <formula>"NonMember"</formula>
    </cfRule>
  </conditionalFormatting>
  <conditionalFormatting sqref="B5825">
    <cfRule type="cellIs" dxfId="763" priority="685" operator="equal">
      <formula>"Membership"</formula>
    </cfRule>
    <cfRule type="cellIs" dxfId="762" priority="686" operator="equal">
      <formula>"Expenses"</formula>
    </cfRule>
  </conditionalFormatting>
  <conditionalFormatting sqref="B5836">
    <cfRule type="cellIs" dxfId="761" priority="684" operator="equal">
      <formula>"NonMember"</formula>
    </cfRule>
  </conditionalFormatting>
  <conditionalFormatting sqref="B5836">
    <cfRule type="cellIs" dxfId="760" priority="682" operator="equal">
      <formula>"Membership"</formula>
    </cfRule>
    <cfRule type="cellIs" dxfId="759" priority="683" operator="equal">
      <formula>"Expenses"</formula>
    </cfRule>
  </conditionalFormatting>
  <conditionalFormatting sqref="B5840">
    <cfRule type="cellIs" dxfId="758" priority="681" operator="equal">
      <formula>"NonMember"</formula>
    </cfRule>
  </conditionalFormatting>
  <conditionalFormatting sqref="B5840">
    <cfRule type="cellIs" dxfId="757" priority="679" operator="equal">
      <formula>"Membership"</formula>
    </cfRule>
    <cfRule type="cellIs" dxfId="756" priority="680" operator="equal">
      <formula>"Expenses"</formula>
    </cfRule>
  </conditionalFormatting>
  <conditionalFormatting sqref="B5838">
    <cfRule type="cellIs" dxfId="755" priority="678" operator="equal">
      <formula>"NonMember"</formula>
    </cfRule>
  </conditionalFormatting>
  <conditionalFormatting sqref="B5838">
    <cfRule type="cellIs" dxfId="754" priority="676" operator="equal">
      <formula>"Membership"</formula>
    </cfRule>
    <cfRule type="cellIs" dxfId="753" priority="677" operator="equal">
      <formula>"Expenses"</formula>
    </cfRule>
  </conditionalFormatting>
  <conditionalFormatting sqref="B5835">
    <cfRule type="cellIs" dxfId="752" priority="675" operator="equal">
      <formula>"NonMember"</formula>
    </cfRule>
  </conditionalFormatting>
  <conditionalFormatting sqref="B5835">
    <cfRule type="cellIs" dxfId="751" priority="673" operator="equal">
      <formula>"Membership"</formula>
    </cfRule>
    <cfRule type="cellIs" dxfId="750" priority="674" operator="equal">
      <formula>"Expenses"</formula>
    </cfRule>
  </conditionalFormatting>
  <conditionalFormatting sqref="B5831">
    <cfRule type="cellIs" dxfId="749" priority="672" operator="equal">
      <formula>"NonMember"</formula>
    </cfRule>
  </conditionalFormatting>
  <conditionalFormatting sqref="B5831">
    <cfRule type="cellIs" dxfId="748" priority="670" operator="equal">
      <formula>"Membership"</formula>
    </cfRule>
    <cfRule type="cellIs" dxfId="747" priority="671" operator="equal">
      <formula>"Expenses"</formula>
    </cfRule>
  </conditionalFormatting>
  <conditionalFormatting sqref="B5819">
    <cfRule type="cellIs" dxfId="746" priority="669" operator="equal">
      <formula>"NonMember"</formula>
    </cfRule>
  </conditionalFormatting>
  <conditionalFormatting sqref="B5819">
    <cfRule type="cellIs" dxfId="745" priority="667" operator="equal">
      <formula>"Membership"</formula>
    </cfRule>
    <cfRule type="cellIs" dxfId="744" priority="668" operator="equal">
      <formula>"Expenses"</formula>
    </cfRule>
  </conditionalFormatting>
  <conditionalFormatting sqref="B5818">
    <cfRule type="cellIs" dxfId="743" priority="666" operator="equal">
      <formula>"NonMember"</formula>
    </cfRule>
  </conditionalFormatting>
  <conditionalFormatting sqref="B5818">
    <cfRule type="cellIs" dxfId="742" priority="664" operator="equal">
      <formula>"Membership"</formula>
    </cfRule>
    <cfRule type="cellIs" dxfId="741" priority="665" operator="equal">
      <formula>"Expenses"</formula>
    </cfRule>
  </conditionalFormatting>
  <conditionalFormatting sqref="B5832">
    <cfRule type="cellIs" dxfId="740" priority="663" operator="equal">
      <formula>"NonMember"</formula>
    </cfRule>
  </conditionalFormatting>
  <conditionalFormatting sqref="B5832">
    <cfRule type="cellIs" dxfId="739" priority="661" operator="equal">
      <formula>"Membership"</formula>
    </cfRule>
    <cfRule type="cellIs" dxfId="738" priority="662" operator="equal">
      <formula>"Expenses"</formula>
    </cfRule>
  </conditionalFormatting>
  <conditionalFormatting sqref="B5834">
    <cfRule type="cellIs" dxfId="737" priority="660" operator="equal">
      <formula>"NonMember"</formula>
    </cfRule>
  </conditionalFormatting>
  <conditionalFormatting sqref="B5834">
    <cfRule type="cellIs" dxfId="736" priority="658" operator="equal">
      <formula>"Membership"</formula>
    </cfRule>
    <cfRule type="cellIs" dxfId="735" priority="659" operator="equal">
      <formula>"Expenses"</formula>
    </cfRule>
  </conditionalFormatting>
  <conditionalFormatting sqref="B5842">
    <cfRule type="cellIs" dxfId="734" priority="657" operator="equal">
      <formula>"NonMember"</formula>
    </cfRule>
  </conditionalFormatting>
  <conditionalFormatting sqref="B5842">
    <cfRule type="cellIs" dxfId="733" priority="655" operator="equal">
      <formula>"Membership"</formula>
    </cfRule>
    <cfRule type="cellIs" dxfId="732" priority="656" operator="equal">
      <formula>"Expenses"</formula>
    </cfRule>
  </conditionalFormatting>
  <conditionalFormatting sqref="B5823">
    <cfRule type="cellIs" dxfId="731" priority="654" operator="equal">
      <formula>"NonMember"</formula>
    </cfRule>
  </conditionalFormatting>
  <conditionalFormatting sqref="B5823">
    <cfRule type="cellIs" dxfId="730" priority="652" operator="equal">
      <formula>"Membership"</formula>
    </cfRule>
    <cfRule type="cellIs" dxfId="729" priority="653" operator="equal">
      <formula>"Expenses"</formula>
    </cfRule>
  </conditionalFormatting>
  <conditionalFormatting sqref="B5916">
    <cfRule type="cellIs" dxfId="728" priority="651" operator="equal">
      <formula>"NonMember"</formula>
    </cfRule>
  </conditionalFormatting>
  <conditionalFormatting sqref="B5916">
    <cfRule type="cellIs" dxfId="727" priority="649" operator="equal">
      <formula>"Membership"</formula>
    </cfRule>
    <cfRule type="cellIs" dxfId="726" priority="650" operator="equal">
      <formula>"Expenses"</formula>
    </cfRule>
  </conditionalFormatting>
  <conditionalFormatting sqref="B6042">
    <cfRule type="cellIs" dxfId="725" priority="648" operator="equal">
      <formula>"NonMember"</formula>
    </cfRule>
  </conditionalFormatting>
  <conditionalFormatting sqref="B6042">
    <cfRule type="cellIs" dxfId="724" priority="646" operator="equal">
      <formula>"Membership"</formula>
    </cfRule>
    <cfRule type="cellIs" dxfId="723" priority="647" operator="equal">
      <formula>"Expenses"</formula>
    </cfRule>
  </conditionalFormatting>
  <conditionalFormatting sqref="B6017">
    <cfRule type="cellIs" dxfId="722" priority="645" operator="equal">
      <formula>"NonMember"</formula>
    </cfRule>
  </conditionalFormatting>
  <conditionalFormatting sqref="B6017">
    <cfRule type="cellIs" dxfId="721" priority="643" operator="equal">
      <formula>"Membership"</formula>
    </cfRule>
    <cfRule type="cellIs" dxfId="720" priority="644" operator="equal">
      <formula>"Expenses"</formula>
    </cfRule>
  </conditionalFormatting>
  <conditionalFormatting sqref="B5767:B5770">
    <cfRule type="cellIs" dxfId="719" priority="642" operator="equal">
      <formula>"NonMember"</formula>
    </cfRule>
  </conditionalFormatting>
  <conditionalFormatting sqref="B5767:B5770">
    <cfRule type="cellIs" dxfId="718" priority="640" operator="equal">
      <formula>"Membership"</formula>
    </cfRule>
    <cfRule type="cellIs" dxfId="717" priority="641" operator="equal">
      <formula>"Expenses"</formula>
    </cfRule>
  </conditionalFormatting>
  <conditionalFormatting sqref="B5928">
    <cfRule type="cellIs" dxfId="716" priority="639" operator="equal">
      <formula>"NonMember"</formula>
    </cfRule>
  </conditionalFormatting>
  <conditionalFormatting sqref="B5928">
    <cfRule type="cellIs" dxfId="715" priority="637" operator="equal">
      <formula>"Membership"</formula>
    </cfRule>
    <cfRule type="cellIs" dxfId="714" priority="638" operator="equal">
      <formula>"Expenses"</formula>
    </cfRule>
  </conditionalFormatting>
  <conditionalFormatting sqref="B5846">
    <cfRule type="cellIs" dxfId="713" priority="636" operator="equal">
      <formula>"NonMember"</formula>
    </cfRule>
  </conditionalFormatting>
  <conditionalFormatting sqref="B5846">
    <cfRule type="cellIs" dxfId="712" priority="634" operator="equal">
      <formula>"Membership"</formula>
    </cfRule>
    <cfRule type="cellIs" dxfId="711" priority="635" operator="equal">
      <formula>"Expenses"</formula>
    </cfRule>
  </conditionalFormatting>
  <conditionalFormatting sqref="B5878">
    <cfRule type="cellIs" dxfId="710" priority="633" operator="equal">
      <formula>"NonMember"</formula>
    </cfRule>
  </conditionalFormatting>
  <conditionalFormatting sqref="B5878">
    <cfRule type="cellIs" dxfId="709" priority="631" operator="equal">
      <formula>"Membership"</formula>
    </cfRule>
    <cfRule type="cellIs" dxfId="708" priority="632" operator="equal">
      <formula>"Expenses"</formula>
    </cfRule>
  </conditionalFormatting>
  <conditionalFormatting sqref="B5877">
    <cfRule type="cellIs" dxfId="707" priority="630" operator="equal">
      <formula>"NonMember"</formula>
    </cfRule>
  </conditionalFormatting>
  <conditionalFormatting sqref="B5877">
    <cfRule type="cellIs" dxfId="706" priority="628" operator="equal">
      <formula>"Membership"</formula>
    </cfRule>
    <cfRule type="cellIs" dxfId="705" priority="629" operator="equal">
      <formula>"Expenses"</formula>
    </cfRule>
  </conditionalFormatting>
  <conditionalFormatting sqref="B5813">
    <cfRule type="cellIs" dxfId="704" priority="627" operator="equal">
      <formula>"NonMember"</formula>
    </cfRule>
  </conditionalFormatting>
  <conditionalFormatting sqref="B5813">
    <cfRule type="cellIs" dxfId="703" priority="625" operator="equal">
      <formula>"Membership"</formula>
    </cfRule>
    <cfRule type="cellIs" dxfId="702" priority="626" operator="equal">
      <formula>"Expenses"</formula>
    </cfRule>
  </conditionalFormatting>
  <conditionalFormatting sqref="B5814">
    <cfRule type="cellIs" dxfId="701" priority="624" operator="equal">
      <formula>"NonMember"</formula>
    </cfRule>
  </conditionalFormatting>
  <conditionalFormatting sqref="B5814">
    <cfRule type="cellIs" dxfId="700" priority="622" operator="equal">
      <formula>"Membership"</formula>
    </cfRule>
    <cfRule type="cellIs" dxfId="699" priority="623" operator="equal">
      <formula>"Expenses"</formula>
    </cfRule>
  </conditionalFormatting>
  <conditionalFormatting sqref="B5866">
    <cfRule type="cellIs" dxfId="698" priority="621" operator="equal">
      <formula>"NonMember"</formula>
    </cfRule>
  </conditionalFormatting>
  <conditionalFormatting sqref="B5866">
    <cfRule type="cellIs" dxfId="697" priority="619" operator="equal">
      <formula>"Membership"</formula>
    </cfRule>
    <cfRule type="cellIs" dxfId="696" priority="620" operator="equal">
      <formula>"Expenses"</formula>
    </cfRule>
  </conditionalFormatting>
  <conditionalFormatting sqref="B5875">
    <cfRule type="cellIs" dxfId="695" priority="618" operator="equal">
      <formula>"NonMember"</formula>
    </cfRule>
  </conditionalFormatting>
  <conditionalFormatting sqref="B5875">
    <cfRule type="cellIs" dxfId="694" priority="616" operator="equal">
      <formula>"Membership"</formula>
    </cfRule>
    <cfRule type="cellIs" dxfId="693" priority="617" operator="equal">
      <formula>"Expenses"</formula>
    </cfRule>
  </conditionalFormatting>
  <conditionalFormatting sqref="B5870 B5873:B5874">
    <cfRule type="cellIs" dxfId="692" priority="615" operator="equal">
      <formula>"NonMember"</formula>
    </cfRule>
  </conditionalFormatting>
  <conditionalFormatting sqref="B5870 B5873:B5874">
    <cfRule type="cellIs" dxfId="691" priority="613" operator="equal">
      <formula>"Membership"</formula>
    </cfRule>
    <cfRule type="cellIs" dxfId="690" priority="614" operator="equal">
      <formula>"Expenses"</formula>
    </cfRule>
  </conditionalFormatting>
  <conditionalFormatting sqref="B6107">
    <cfRule type="cellIs" dxfId="689" priority="612" operator="equal">
      <formula>"NonMember"</formula>
    </cfRule>
  </conditionalFormatting>
  <conditionalFormatting sqref="B6107">
    <cfRule type="cellIs" dxfId="688" priority="610" operator="equal">
      <formula>"Membership"</formula>
    </cfRule>
    <cfRule type="cellIs" dxfId="687" priority="611" operator="equal">
      <formula>"Expenses"</formula>
    </cfRule>
  </conditionalFormatting>
  <conditionalFormatting sqref="B5865">
    <cfRule type="cellIs" dxfId="686" priority="609" operator="equal">
      <formula>"NonMember"</formula>
    </cfRule>
  </conditionalFormatting>
  <conditionalFormatting sqref="B5865">
    <cfRule type="cellIs" dxfId="685" priority="607" operator="equal">
      <formula>"Membership"</formula>
    </cfRule>
    <cfRule type="cellIs" dxfId="684" priority="608" operator="equal">
      <formula>"Expenses"</formula>
    </cfRule>
  </conditionalFormatting>
  <conditionalFormatting sqref="B5857:B5858">
    <cfRule type="cellIs" dxfId="683" priority="606" operator="equal">
      <formula>"NonMember"</formula>
    </cfRule>
  </conditionalFormatting>
  <conditionalFormatting sqref="B5857:B5858">
    <cfRule type="cellIs" dxfId="682" priority="604" operator="equal">
      <formula>"Membership"</formula>
    </cfRule>
    <cfRule type="cellIs" dxfId="681" priority="605" operator="equal">
      <formula>"Expenses"</formula>
    </cfRule>
  </conditionalFormatting>
  <conditionalFormatting sqref="B5881">
    <cfRule type="cellIs" dxfId="680" priority="603" operator="equal">
      <formula>"NonMember"</formula>
    </cfRule>
  </conditionalFormatting>
  <conditionalFormatting sqref="B5881">
    <cfRule type="cellIs" dxfId="679" priority="601" operator="equal">
      <formula>"Membership"</formula>
    </cfRule>
    <cfRule type="cellIs" dxfId="678" priority="602" operator="equal">
      <formula>"Expenses"</formula>
    </cfRule>
  </conditionalFormatting>
  <conditionalFormatting sqref="B5859 B5861:B5862">
    <cfRule type="cellIs" dxfId="677" priority="600" operator="equal">
      <formula>"NonMember"</formula>
    </cfRule>
  </conditionalFormatting>
  <conditionalFormatting sqref="B5859 B5861:B5862">
    <cfRule type="cellIs" dxfId="676" priority="598" operator="equal">
      <formula>"Membership"</formula>
    </cfRule>
    <cfRule type="cellIs" dxfId="675" priority="599" operator="equal">
      <formula>"Expenses"</formula>
    </cfRule>
  </conditionalFormatting>
  <conditionalFormatting sqref="B5876">
    <cfRule type="cellIs" dxfId="674" priority="597" operator="equal">
      <formula>"NonMember"</formula>
    </cfRule>
  </conditionalFormatting>
  <conditionalFormatting sqref="B5876">
    <cfRule type="cellIs" dxfId="673" priority="595" operator="equal">
      <formula>"Membership"</formula>
    </cfRule>
    <cfRule type="cellIs" dxfId="672" priority="596" operator="equal">
      <formula>"Expenses"</formula>
    </cfRule>
  </conditionalFormatting>
  <conditionalFormatting sqref="B5853">
    <cfRule type="cellIs" dxfId="671" priority="594" operator="equal">
      <formula>"NonMember"</formula>
    </cfRule>
  </conditionalFormatting>
  <conditionalFormatting sqref="B5853">
    <cfRule type="cellIs" dxfId="670" priority="592" operator="equal">
      <formula>"Membership"</formula>
    </cfRule>
    <cfRule type="cellIs" dxfId="669" priority="593" operator="equal">
      <formula>"Expenses"</formula>
    </cfRule>
  </conditionalFormatting>
  <conditionalFormatting sqref="B5976">
    <cfRule type="cellIs" dxfId="668" priority="591" operator="equal">
      <formula>"NonMember"</formula>
    </cfRule>
  </conditionalFormatting>
  <conditionalFormatting sqref="B5976">
    <cfRule type="cellIs" dxfId="667" priority="589" operator="equal">
      <formula>"Membership"</formula>
    </cfRule>
    <cfRule type="cellIs" dxfId="666" priority="590" operator="equal">
      <formula>"Expenses"</formula>
    </cfRule>
  </conditionalFormatting>
  <conditionalFormatting sqref="B5884">
    <cfRule type="cellIs" dxfId="665" priority="588" operator="equal">
      <formula>"NonMember"</formula>
    </cfRule>
  </conditionalFormatting>
  <conditionalFormatting sqref="B5884">
    <cfRule type="cellIs" dxfId="664" priority="586" operator="equal">
      <formula>"Membership"</formula>
    </cfRule>
    <cfRule type="cellIs" dxfId="663" priority="587" operator="equal">
      <formula>"Expenses"</formula>
    </cfRule>
  </conditionalFormatting>
  <conditionalFormatting sqref="B5860">
    <cfRule type="cellIs" dxfId="662" priority="585" operator="equal">
      <formula>"NonMember"</formula>
    </cfRule>
  </conditionalFormatting>
  <conditionalFormatting sqref="B5860">
    <cfRule type="cellIs" dxfId="661" priority="583" operator="equal">
      <formula>"Membership"</formula>
    </cfRule>
    <cfRule type="cellIs" dxfId="660" priority="584" operator="equal">
      <formula>"Expenses"</formula>
    </cfRule>
  </conditionalFormatting>
  <conditionalFormatting sqref="B5848">
    <cfRule type="cellIs" dxfId="659" priority="582" operator="equal">
      <formula>"NonMember"</formula>
    </cfRule>
  </conditionalFormatting>
  <conditionalFormatting sqref="B5848">
    <cfRule type="cellIs" dxfId="658" priority="580" operator="equal">
      <formula>"Membership"</formula>
    </cfRule>
    <cfRule type="cellIs" dxfId="657" priority="581" operator="equal">
      <formula>"Expenses"</formula>
    </cfRule>
  </conditionalFormatting>
  <conditionalFormatting sqref="B5849">
    <cfRule type="cellIs" dxfId="656" priority="579" operator="equal">
      <formula>"NonMember"</formula>
    </cfRule>
  </conditionalFormatting>
  <conditionalFormatting sqref="B5849">
    <cfRule type="cellIs" dxfId="655" priority="577" operator="equal">
      <formula>"Membership"</formula>
    </cfRule>
    <cfRule type="cellIs" dxfId="654" priority="578" operator="equal">
      <formula>"Expenses"</formula>
    </cfRule>
  </conditionalFormatting>
  <conditionalFormatting sqref="B5851:B5852">
    <cfRule type="cellIs" dxfId="653" priority="576" operator="equal">
      <formula>"NonMember"</formula>
    </cfRule>
  </conditionalFormatting>
  <conditionalFormatting sqref="B5851:B5852">
    <cfRule type="cellIs" dxfId="652" priority="574" operator="equal">
      <formula>"Membership"</formula>
    </cfRule>
    <cfRule type="cellIs" dxfId="651" priority="575" operator="equal">
      <formula>"Expenses"</formula>
    </cfRule>
  </conditionalFormatting>
  <conditionalFormatting sqref="B5902">
    <cfRule type="cellIs" dxfId="650" priority="573" operator="equal">
      <formula>"NonMember"</formula>
    </cfRule>
  </conditionalFormatting>
  <conditionalFormatting sqref="B5902">
    <cfRule type="cellIs" dxfId="649" priority="571" operator="equal">
      <formula>"Membership"</formula>
    </cfRule>
    <cfRule type="cellIs" dxfId="648" priority="572" operator="equal">
      <formula>"Expenses"</formula>
    </cfRule>
  </conditionalFormatting>
  <conditionalFormatting sqref="B5950">
    <cfRule type="cellIs" dxfId="647" priority="570" operator="equal">
      <formula>"NonMember"</formula>
    </cfRule>
  </conditionalFormatting>
  <conditionalFormatting sqref="B5950">
    <cfRule type="cellIs" dxfId="646" priority="568" operator="equal">
      <formula>"Membership"</formula>
    </cfRule>
    <cfRule type="cellIs" dxfId="645" priority="569" operator="equal">
      <formula>"Expenses"</formula>
    </cfRule>
  </conditionalFormatting>
  <conditionalFormatting sqref="B5867">
    <cfRule type="cellIs" dxfId="644" priority="567" operator="equal">
      <formula>"NonMember"</formula>
    </cfRule>
  </conditionalFormatting>
  <conditionalFormatting sqref="B5867">
    <cfRule type="cellIs" dxfId="643" priority="565" operator="equal">
      <formula>"Membership"</formula>
    </cfRule>
    <cfRule type="cellIs" dxfId="642" priority="566" operator="equal">
      <formula>"Expenses"</formula>
    </cfRule>
  </conditionalFormatting>
  <conditionalFormatting sqref="B5871:B5872">
    <cfRule type="cellIs" dxfId="641" priority="564" operator="equal">
      <formula>"NonMember"</formula>
    </cfRule>
  </conditionalFormatting>
  <conditionalFormatting sqref="B5871:B5872">
    <cfRule type="cellIs" dxfId="640" priority="562" operator="equal">
      <formula>"Membership"</formula>
    </cfRule>
    <cfRule type="cellIs" dxfId="639" priority="563" operator="equal">
      <formula>"Expenses"</formula>
    </cfRule>
  </conditionalFormatting>
  <conditionalFormatting sqref="B5920">
    <cfRule type="cellIs" dxfId="638" priority="561" operator="equal">
      <formula>"NonMember"</formula>
    </cfRule>
  </conditionalFormatting>
  <conditionalFormatting sqref="B5920">
    <cfRule type="cellIs" dxfId="637" priority="559" operator="equal">
      <formula>"Membership"</formula>
    </cfRule>
    <cfRule type="cellIs" dxfId="636" priority="560" operator="equal">
      <formula>"Expenses"</formula>
    </cfRule>
  </conditionalFormatting>
  <conditionalFormatting sqref="B6020">
    <cfRule type="cellIs" dxfId="635" priority="558" operator="equal">
      <formula>"NonMember"</formula>
    </cfRule>
  </conditionalFormatting>
  <conditionalFormatting sqref="B6020">
    <cfRule type="cellIs" dxfId="634" priority="556" operator="equal">
      <formula>"Membership"</formula>
    </cfRule>
    <cfRule type="cellIs" dxfId="633" priority="557" operator="equal">
      <formula>"Expenses"</formula>
    </cfRule>
  </conditionalFormatting>
  <conditionalFormatting sqref="B5901">
    <cfRule type="cellIs" dxfId="632" priority="555" operator="equal">
      <formula>"NonMember"</formula>
    </cfRule>
  </conditionalFormatting>
  <conditionalFormatting sqref="B5901">
    <cfRule type="cellIs" dxfId="631" priority="553" operator="equal">
      <formula>"Membership"</formula>
    </cfRule>
    <cfRule type="cellIs" dxfId="630" priority="554" operator="equal">
      <formula>"Expenses"</formula>
    </cfRule>
  </conditionalFormatting>
  <conditionalFormatting sqref="B5898">
    <cfRule type="cellIs" dxfId="629" priority="552" operator="equal">
      <formula>"NonMember"</formula>
    </cfRule>
  </conditionalFormatting>
  <conditionalFormatting sqref="B5898">
    <cfRule type="cellIs" dxfId="628" priority="550" operator="equal">
      <formula>"Membership"</formula>
    </cfRule>
    <cfRule type="cellIs" dxfId="627" priority="551" operator="equal">
      <formula>"Expenses"</formula>
    </cfRule>
  </conditionalFormatting>
  <conditionalFormatting sqref="B5933 B5946 B5943">
    <cfRule type="cellIs" dxfId="626" priority="549" operator="equal">
      <formula>"NonMember"</formula>
    </cfRule>
  </conditionalFormatting>
  <conditionalFormatting sqref="B5933 B5946 B5943">
    <cfRule type="cellIs" dxfId="625" priority="547" operator="equal">
      <formula>"Membership"</formula>
    </cfRule>
    <cfRule type="cellIs" dxfId="624" priority="548" operator="equal">
      <formula>"Expenses"</formula>
    </cfRule>
  </conditionalFormatting>
  <conditionalFormatting sqref="B5900">
    <cfRule type="cellIs" dxfId="623" priority="546" operator="equal">
      <formula>"NonMember"</formula>
    </cfRule>
  </conditionalFormatting>
  <conditionalFormatting sqref="B5900">
    <cfRule type="cellIs" dxfId="622" priority="544" operator="equal">
      <formula>"Membership"</formula>
    </cfRule>
    <cfRule type="cellIs" dxfId="621" priority="545" operator="equal">
      <formula>"Expenses"</formula>
    </cfRule>
  </conditionalFormatting>
  <conditionalFormatting sqref="B5911">
    <cfRule type="cellIs" dxfId="620" priority="543" operator="equal">
      <formula>"NonMember"</formula>
    </cfRule>
  </conditionalFormatting>
  <conditionalFormatting sqref="B5911">
    <cfRule type="cellIs" dxfId="619" priority="541" operator="equal">
      <formula>"Membership"</formula>
    </cfRule>
    <cfRule type="cellIs" dxfId="618" priority="542" operator="equal">
      <formula>"Expenses"</formula>
    </cfRule>
  </conditionalFormatting>
  <conditionalFormatting sqref="B6140">
    <cfRule type="cellIs" dxfId="617" priority="540" operator="equal">
      <formula>"NonMember"</formula>
    </cfRule>
  </conditionalFormatting>
  <conditionalFormatting sqref="B6140">
    <cfRule type="cellIs" dxfId="616" priority="538" operator="equal">
      <formula>"Membership"</formula>
    </cfRule>
    <cfRule type="cellIs" dxfId="615" priority="539" operator="equal">
      <formula>"Expenses"</formula>
    </cfRule>
  </conditionalFormatting>
  <conditionalFormatting sqref="B6058">
    <cfRule type="cellIs" dxfId="614" priority="537" operator="equal">
      <formula>"NonMember"</formula>
    </cfRule>
  </conditionalFormatting>
  <conditionalFormatting sqref="B6058">
    <cfRule type="cellIs" dxfId="613" priority="535" operator="equal">
      <formula>"Membership"</formula>
    </cfRule>
    <cfRule type="cellIs" dxfId="612" priority="536" operator="equal">
      <formula>"Expenses"</formula>
    </cfRule>
  </conditionalFormatting>
  <conditionalFormatting sqref="B5908">
    <cfRule type="cellIs" dxfId="611" priority="534" operator="equal">
      <formula>"NonMember"</formula>
    </cfRule>
  </conditionalFormatting>
  <conditionalFormatting sqref="B5908">
    <cfRule type="cellIs" dxfId="610" priority="532" operator="equal">
      <formula>"Membership"</formula>
    </cfRule>
    <cfRule type="cellIs" dxfId="609" priority="533" operator="equal">
      <formula>"Expenses"</formula>
    </cfRule>
  </conditionalFormatting>
  <conditionalFormatting sqref="B5927">
    <cfRule type="cellIs" dxfId="608" priority="531" operator="equal">
      <formula>"NonMember"</formula>
    </cfRule>
  </conditionalFormatting>
  <conditionalFormatting sqref="B5927">
    <cfRule type="cellIs" dxfId="607" priority="529" operator="equal">
      <formula>"Membership"</formula>
    </cfRule>
    <cfRule type="cellIs" dxfId="606" priority="530" operator="equal">
      <formula>"Expenses"</formula>
    </cfRule>
  </conditionalFormatting>
  <conditionalFormatting sqref="B5894">
    <cfRule type="cellIs" dxfId="605" priority="528" operator="equal">
      <formula>"NonMember"</formula>
    </cfRule>
  </conditionalFormatting>
  <conditionalFormatting sqref="B5894">
    <cfRule type="cellIs" dxfId="604" priority="526" operator="equal">
      <formula>"Membership"</formula>
    </cfRule>
    <cfRule type="cellIs" dxfId="603" priority="527" operator="equal">
      <formula>"Expenses"</formula>
    </cfRule>
  </conditionalFormatting>
  <conditionalFormatting sqref="B5930">
    <cfRule type="cellIs" dxfId="602" priority="525" operator="equal">
      <formula>"NonMember"</formula>
    </cfRule>
  </conditionalFormatting>
  <conditionalFormatting sqref="B5930">
    <cfRule type="cellIs" dxfId="601" priority="523" operator="equal">
      <formula>"Membership"</formula>
    </cfRule>
    <cfRule type="cellIs" dxfId="600" priority="524" operator="equal">
      <formula>"Expenses"</formula>
    </cfRule>
  </conditionalFormatting>
  <conditionalFormatting sqref="B5889">
    <cfRule type="cellIs" dxfId="599" priority="522" operator="equal">
      <formula>"NonMember"</formula>
    </cfRule>
  </conditionalFormatting>
  <conditionalFormatting sqref="B5889">
    <cfRule type="cellIs" dxfId="598" priority="520" operator="equal">
      <formula>"Membership"</formula>
    </cfRule>
    <cfRule type="cellIs" dxfId="597" priority="521" operator="equal">
      <formula>"Expenses"</formula>
    </cfRule>
  </conditionalFormatting>
  <conditionalFormatting sqref="B5890">
    <cfRule type="cellIs" dxfId="596" priority="519" operator="equal">
      <formula>"NonMember"</formula>
    </cfRule>
  </conditionalFormatting>
  <conditionalFormatting sqref="B5890">
    <cfRule type="cellIs" dxfId="595" priority="517" operator="equal">
      <formula>"Membership"</formula>
    </cfRule>
    <cfRule type="cellIs" dxfId="594" priority="518" operator="equal">
      <formula>"Expenses"</formula>
    </cfRule>
  </conditionalFormatting>
  <conditionalFormatting sqref="B5892:B5893">
    <cfRule type="cellIs" dxfId="593" priority="516" operator="equal">
      <formula>"NonMember"</formula>
    </cfRule>
  </conditionalFormatting>
  <conditionalFormatting sqref="B5892:B5893">
    <cfRule type="cellIs" dxfId="592" priority="514" operator="equal">
      <formula>"Membership"</formula>
    </cfRule>
    <cfRule type="cellIs" dxfId="591" priority="515" operator="equal">
      <formula>"Expenses"</formula>
    </cfRule>
  </conditionalFormatting>
  <conditionalFormatting sqref="B5915">
    <cfRule type="cellIs" dxfId="590" priority="513" operator="equal">
      <formula>"NonMember"</formula>
    </cfRule>
  </conditionalFormatting>
  <conditionalFormatting sqref="B5915">
    <cfRule type="cellIs" dxfId="589" priority="511" operator="equal">
      <formula>"Membership"</formula>
    </cfRule>
    <cfRule type="cellIs" dxfId="588" priority="512" operator="equal">
      <formula>"Expenses"</formula>
    </cfRule>
  </conditionalFormatting>
  <conditionalFormatting sqref="B5888">
    <cfRule type="cellIs" dxfId="587" priority="510" operator="equal">
      <formula>"NonMember"</formula>
    </cfRule>
  </conditionalFormatting>
  <conditionalFormatting sqref="B5888">
    <cfRule type="cellIs" dxfId="586" priority="508" operator="equal">
      <formula>"Membership"</formula>
    </cfRule>
    <cfRule type="cellIs" dxfId="585" priority="509" operator="equal">
      <formula>"Expenses"</formula>
    </cfRule>
  </conditionalFormatting>
  <conditionalFormatting sqref="B5912">
    <cfRule type="cellIs" dxfId="584" priority="507" operator="equal">
      <formula>"NonMember"</formula>
    </cfRule>
  </conditionalFormatting>
  <conditionalFormatting sqref="B5912">
    <cfRule type="cellIs" dxfId="583" priority="505" operator="equal">
      <formula>"Membership"</formula>
    </cfRule>
    <cfRule type="cellIs" dxfId="582" priority="506" operator="equal">
      <formula>"Expenses"</formula>
    </cfRule>
  </conditionalFormatting>
  <conditionalFormatting sqref="B5885">
    <cfRule type="cellIs" dxfId="581" priority="504" operator="equal">
      <formula>"NonMember"</formula>
    </cfRule>
  </conditionalFormatting>
  <conditionalFormatting sqref="B5885">
    <cfRule type="cellIs" dxfId="580" priority="502" operator="equal">
      <formula>"Membership"</formula>
    </cfRule>
    <cfRule type="cellIs" dxfId="579" priority="503" operator="equal">
      <formula>"Expenses"</formula>
    </cfRule>
  </conditionalFormatting>
  <conditionalFormatting sqref="B5905">
    <cfRule type="cellIs" dxfId="578" priority="499" operator="equal">
      <formula>"Membership"</formula>
    </cfRule>
    <cfRule type="cellIs" dxfId="577" priority="500" operator="equal">
      <formula>"Expenses"</formula>
    </cfRule>
  </conditionalFormatting>
  <conditionalFormatting sqref="B5905">
    <cfRule type="cellIs" dxfId="576" priority="501" operator="equal">
      <formula>"NonMember"</formula>
    </cfRule>
  </conditionalFormatting>
  <conditionalFormatting sqref="B5906">
    <cfRule type="cellIs" dxfId="575" priority="496" operator="equal">
      <formula>"Membership"</formula>
    </cfRule>
    <cfRule type="cellIs" dxfId="574" priority="497" operator="equal">
      <formula>"Expenses"</formula>
    </cfRule>
  </conditionalFormatting>
  <conditionalFormatting sqref="B5917">
    <cfRule type="cellIs" dxfId="573" priority="493" operator="equal">
      <formula>"Membership"</formula>
    </cfRule>
    <cfRule type="cellIs" dxfId="572" priority="494" operator="equal">
      <formula>"Expenses"</formula>
    </cfRule>
  </conditionalFormatting>
  <conditionalFormatting sqref="B5906">
    <cfRule type="cellIs" dxfId="571" priority="498" operator="equal">
      <formula>"NonMember"</formula>
    </cfRule>
  </conditionalFormatting>
  <conditionalFormatting sqref="B5917">
    <cfRule type="cellIs" dxfId="570" priority="495" operator="equal">
      <formula>"NonMember"</formula>
    </cfRule>
  </conditionalFormatting>
  <conditionalFormatting sqref="B5985">
    <cfRule type="cellIs" dxfId="569" priority="490" operator="equal">
      <formula>"Membership"</formula>
    </cfRule>
    <cfRule type="cellIs" dxfId="568" priority="491" operator="equal">
      <formula>"Expenses"</formula>
    </cfRule>
  </conditionalFormatting>
  <conditionalFormatting sqref="B5985">
    <cfRule type="cellIs" dxfId="567" priority="492" operator="equal">
      <formula>"NonMember"</formula>
    </cfRule>
  </conditionalFormatting>
  <conditionalFormatting sqref="B5887">
    <cfRule type="cellIs" dxfId="566" priority="489" operator="equal">
      <formula>"NonMember"</formula>
    </cfRule>
  </conditionalFormatting>
  <conditionalFormatting sqref="B5887">
    <cfRule type="cellIs" dxfId="565" priority="487" operator="equal">
      <formula>"Membership"</formula>
    </cfRule>
    <cfRule type="cellIs" dxfId="564" priority="488" operator="equal">
      <formula>"Expenses"</formula>
    </cfRule>
  </conditionalFormatting>
  <conditionalFormatting sqref="B5887">
    <cfRule type="cellIs" dxfId="563" priority="486" operator="equal">
      <formula>"NonMember"</formula>
    </cfRule>
  </conditionalFormatting>
  <conditionalFormatting sqref="B5887">
    <cfRule type="cellIs" dxfId="562" priority="484" operator="equal">
      <formula>"Membership"</formula>
    </cfRule>
    <cfRule type="cellIs" dxfId="561" priority="485" operator="equal">
      <formula>"Expenses"</formula>
    </cfRule>
  </conditionalFormatting>
  <conditionalFormatting sqref="B5886">
    <cfRule type="cellIs" dxfId="560" priority="483" operator="equal">
      <formula>"NonMember"</formula>
    </cfRule>
  </conditionalFormatting>
  <conditionalFormatting sqref="B5886">
    <cfRule type="cellIs" dxfId="559" priority="481" operator="equal">
      <formula>"Membership"</formula>
    </cfRule>
    <cfRule type="cellIs" dxfId="558" priority="482" operator="equal">
      <formula>"Expenses"</formula>
    </cfRule>
  </conditionalFormatting>
  <conditionalFormatting sqref="B5850">
    <cfRule type="cellIs" dxfId="557" priority="480" operator="equal">
      <formula>"NonMember"</formula>
    </cfRule>
  </conditionalFormatting>
  <conditionalFormatting sqref="B5850">
    <cfRule type="cellIs" dxfId="556" priority="478" operator="equal">
      <formula>"Membership"</formula>
    </cfRule>
    <cfRule type="cellIs" dxfId="555" priority="479" operator="equal">
      <formula>"Expenses"</formula>
    </cfRule>
  </conditionalFormatting>
  <conditionalFormatting sqref="B5945">
    <cfRule type="cellIs" dxfId="554" priority="477" operator="equal">
      <formula>"NonMember"</formula>
    </cfRule>
  </conditionalFormatting>
  <conditionalFormatting sqref="B5945">
    <cfRule type="cellIs" dxfId="553" priority="475" operator="equal">
      <formula>"Membership"</formula>
    </cfRule>
    <cfRule type="cellIs" dxfId="552" priority="476" operator="equal">
      <formula>"Expenses"</formula>
    </cfRule>
  </conditionalFormatting>
  <conditionalFormatting sqref="B5929">
    <cfRule type="cellIs" dxfId="551" priority="474" operator="equal">
      <formula>"NonMember"</formula>
    </cfRule>
  </conditionalFormatting>
  <conditionalFormatting sqref="B5929">
    <cfRule type="cellIs" dxfId="550" priority="472" operator="equal">
      <formula>"Membership"</formula>
    </cfRule>
    <cfRule type="cellIs" dxfId="549" priority="473" operator="equal">
      <formula>"Expenses"</formula>
    </cfRule>
  </conditionalFormatting>
  <conditionalFormatting sqref="B6018">
    <cfRule type="cellIs" dxfId="548" priority="471" operator="equal">
      <formula>"NonMember"</formula>
    </cfRule>
  </conditionalFormatting>
  <conditionalFormatting sqref="B6018">
    <cfRule type="cellIs" dxfId="547" priority="469" operator="equal">
      <formula>"Membership"</formula>
    </cfRule>
    <cfRule type="cellIs" dxfId="546" priority="470" operator="equal">
      <formula>"Expenses"</formula>
    </cfRule>
  </conditionalFormatting>
  <conditionalFormatting sqref="B5944">
    <cfRule type="cellIs" dxfId="545" priority="468" operator="equal">
      <formula>"NonMember"</formula>
    </cfRule>
  </conditionalFormatting>
  <conditionalFormatting sqref="B5944">
    <cfRule type="cellIs" dxfId="544" priority="466" operator="equal">
      <formula>"Membership"</formula>
    </cfRule>
    <cfRule type="cellIs" dxfId="543" priority="467" operator="equal">
      <formula>"Expenses"</formula>
    </cfRule>
  </conditionalFormatting>
  <conditionalFormatting sqref="B6044">
    <cfRule type="cellIs" dxfId="542" priority="465" operator="equal">
      <formula>"NonMember"</formula>
    </cfRule>
  </conditionalFormatting>
  <conditionalFormatting sqref="B6044">
    <cfRule type="cellIs" dxfId="541" priority="463" operator="equal">
      <formula>"Membership"</formula>
    </cfRule>
    <cfRule type="cellIs" dxfId="540" priority="464" operator="equal">
      <formula>"Expenses"</formula>
    </cfRule>
  </conditionalFormatting>
  <conditionalFormatting sqref="B5951">
    <cfRule type="cellIs" dxfId="539" priority="462" operator="equal">
      <formula>"NonMember"</formula>
    </cfRule>
  </conditionalFormatting>
  <conditionalFormatting sqref="B5951">
    <cfRule type="cellIs" dxfId="538" priority="460" operator="equal">
      <formula>"Membership"</formula>
    </cfRule>
    <cfRule type="cellIs" dxfId="537" priority="461" operator="equal">
      <formula>"Expenses"</formula>
    </cfRule>
  </conditionalFormatting>
  <conditionalFormatting sqref="B6050">
    <cfRule type="cellIs" dxfId="536" priority="459" operator="equal">
      <formula>"NonMember"</formula>
    </cfRule>
  </conditionalFormatting>
  <conditionalFormatting sqref="B6050">
    <cfRule type="cellIs" dxfId="535" priority="457" operator="equal">
      <formula>"Membership"</formula>
    </cfRule>
    <cfRule type="cellIs" dxfId="534" priority="458" operator="equal">
      <formula>"Expenses"</formula>
    </cfRule>
  </conditionalFormatting>
  <conditionalFormatting sqref="B5947">
    <cfRule type="cellIs" dxfId="533" priority="451" operator="equal">
      <formula>"Membership"</formula>
    </cfRule>
    <cfRule type="cellIs" dxfId="532" priority="452" operator="equal">
      <formula>"Expenses"</formula>
    </cfRule>
  </conditionalFormatting>
  <conditionalFormatting sqref="B5947">
    <cfRule type="cellIs" dxfId="531" priority="453" operator="equal">
      <formula>"NonMember"</formula>
    </cfRule>
  </conditionalFormatting>
  <conditionalFormatting sqref="B5948">
    <cfRule type="cellIs" dxfId="530" priority="448" operator="equal">
      <formula>"Membership"</formula>
    </cfRule>
    <cfRule type="cellIs" dxfId="529" priority="449" operator="equal">
      <formula>"Expenses"</formula>
    </cfRule>
  </conditionalFormatting>
  <conditionalFormatting sqref="B5948">
    <cfRule type="cellIs" dxfId="528" priority="450" operator="equal">
      <formula>"NonMember"</formula>
    </cfRule>
  </conditionalFormatting>
  <conditionalFormatting sqref="B5942">
    <cfRule type="cellIs" dxfId="527" priority="447" operator="equal">
      <formula>"NonMember"</formula>
    </cfRule>
  </conditionalFormatting>
  <conditionalFormatting sqref="B5942">
    <cfRule type="cellIs" dxfId="526" priority="445" operator="equal">
      <formula>"Membership"</formula>
    </cfRule>
    <cfRule type="cellIs" dxfId="525" priority="446" operator="equal">
      <formula>"Expenses"</formula>
    </cfRule>
  </conditionalFormatting>
  <conditionalFormatting sqref="B6013">
    <cfRule type="cellIs" dxfId="524" priority="444" operator="equal">
      <formula>"NonMember"</formula>
    </cfRule>
  </conditionalFormatting>
  <conditionalFormatting sqref="B6013">
    <cfRule type="cellIs" dxfId="523" priority="442" operator="equal">
      <formula>"Membership"</formula>
    </cfRule>
    <cfRule type="cellIs" dxfId="522" priority="443" operator="equal">
      <formula>"Expenses"</formula>
    </cfRule>
  </conditionalFormatting>
  <conditionalFormatting sqref="B5974">
    <cfRule type="cellIs" dxfId="521" priority="441" operator="equal">
      <formula>"NonMember"</formula>
    </cfRule>
  </conditionalFormatting>
  <conditionalFormatting sqref="B5974">
    <cfRule type="cellIs" dxfId="520" priority="439" operator="equal">
      <formula>"Membership"</formula>
    </cfRule>
    <cfRule type="cellIs" dxfId="519" priority="440" operator="equal">
      <formula>"Expenses"</formula>
    </cfRule>
  </conditionalFormatting>
  <conditionalFormatting sqref="B6048">
    <cfRule type="cellIs" dxfId="518" priority="436" operator="equal">
      <formula>"Membership"</formula>
    </cfRule>
    <cfRule type="cellIs" dxfId="517" priority="437" operator="equal">
      <formula>"Expenses"</formula>
    </cfRule>
  </conditionalFormatting>
  <conditionalFormatting sqref="B6048">
    <cfRule type="cellIs" dxfId="516" priority="438" operator="equal">
      <formula>"NonMember"</formula>
    </cfRule>
  </conditionalFormatting>
  <conditionalFormatting sqref="B5954:B5956 B5964">
    <cfRule type="cellIs" dxfId="515" priority="435" operator="equal">
      <formula>"NonMember"</formula>
    </cfRule>
  </conditionalFormatting>
  <conditionalFormatting sqref="B5954:B5956 B5964">
    <cfRule type="cellIs" dxfId="514" priority="433" operator="equal">
      <formula>"Membership"</formula>
    </cfRule>
    <cfRule type="cellIs" dxfId="513" priority="434" operator="equal">
      <formula>"Expenses"</formula>
    </cfRule>
  </conditionalFormatting>
  <conditionalFormatting sqref="B6054">
    <cfRule type="cellIs" dxfId="512" priority="432" operator="equal">
      <formula>"NonMember"</formula>
    </cfRule>
  </conditionalFormatting>
  <conditionalFormatting sqref="B6054">
    <cfRule type="cellIs" dxfId="511" priority="430" operator="equal">
      <formula>"Membership"</formula>
    </cfRule>
    <cfRule type="cellIs" dxfId="510" priority="431" operator="equal">
      <formula>"Expenses"</formula>
    </cfRule>
  </conditionalFormatting>
  <conditionalFormatting sqref="B6111">
    <cfRule type="cellIs" dxfId="509" priority="429" operator="equal">
      <formula>"NonMember"</formula>
    </cfRule>
  </conditionalFormatting>
  <conditionalFormatting sqref="B6111">
    <cfRule type="cellIs" dxfId="508" priority="427" operator="equal">
      <formula>"Membership"</formula>
    </cfRule>
    <cfRule type="cellIs" dxfId="507" priority="428" operator="equal">
      <formula>"Expenses"</formula>
    </cfRule>
  </conditionalFormatting>
  <conditionalFormatting sqref="B6150">
    <cfRule type="cellIs" dxfId="506" priority="426" operator="equal">
      <formula>"NonMember"</formula>
    </cfRule>
  </conditionalFormatting>
  <conditionalFormatting sqref="B6150">
    <cfRule type="cellIs" dxfId="505" priority="424" operator="equal">
      <formula>"Membership"</formula>
    </cfRule>
    <cfRule type="cellIs" dxfId="504" priority="425" operator="equal">
      <formula>"Expenses"</formula>
    </cfRule>
  </conditionalFormatting>
  <conditionalFormatting sqref="B6157">
    <cfRule type="cellIs" dxfId="503" priority="423" operator="equal">
      <formula>"NonMember"</formula>
    </cfRule>
  </conditionalFormatting>
  <conditionalFormatting sqref="B6157">
    <cfRule type="cellIs" dxfId="502" priority="421" operator="equal">
      <formula>"Membership"</formula>
    </cfRule>
    <cfRule type="cellIs" dxfId="501" priority="422" operator="equal">
      <formula>"Expenses"</formula>
    </cfRule>
  </conditionalFormatting>
  <conditionalFormatting sqref="B5921">
    <cfRule type="cellIs" dxfId="500" priority="420" operator="equal">
      <formula>"NonMember"</formula>
    </cfRule>
  </conditionalFormatting>
  <conditionalFormatting sqref="B5921">
    <cfRule type="cellIs" dxfId="499" priority="418" operator="equal">
      <formula>"Membership"</formula>
    </cfRule>
    <cfRule type="cellIs" dxfId="498" priority="419" operator="equal">
      <formula>"Expenses"</formula>
    </cfRule>
  </conditionalFormatting>
  <conditionalFormatting sqref="B5923">
    <cfRule type="cellIs" dxfId="497" priority="417" operator="equal">
      <formula>"NonMember"</formula>
    </cfRule>
  </conditionalFormatting>
  <conditionalFormatting sqref="B5923">
    <cfRule type="cellIs" dxfId="496" priority="415" operator="equal">
      <formula>"Membership"</formula>
    </cfRule>
    <cfRule type="cellIs" dxfId="495" priority="416" operator="equal">
      <formula>"Expenses"</formula>
    </cfRule>
  </conditionalFormatting>
  <conditionalFormatting sqref="B5932">
    <cfRule type="cellIs" dxfId="494" priority="414" operator="equal">
      <formula>"NonMember"</formula>
    </cfRule>
  </conditionalFormatting>
  <conditionalFormatting sqref="B5932">
    <cfRule type="cellIs" dxfId="493" priority="412" operator="equal">
      <formula>"Membership"</formula>
    </cfRule>
    <cfRule type="cellIs" dxfId="492" priority="413" operator="equal">
      <formula>"Expenses"</formula>
    </cfRule>
  </conditionalFormatting>
  <conditionalFormatting sqref="B5922">
    <cfRule type="cellIs" dxfId="491" priority="411" operator="equal">
      <formula>"NonMember"</formula>
    </cfRule>
  </conditionalFormatting>
  <conditionalFormatting sqref="B5922">
    <cfRule type="cellIs" dxfId="490" priority="409" operator="equal">
      <formula>"Membership"</formula>
    </cfRule>
    <cfRule type="cellIs" dxfId="489" priority="410" operator="equal">
      <formula>"Expenses"</formula>
    </cfRule>
  </conditionalFormatting>
  <conditionalFormatting sqref="B5922">
    <cfRule type="cellIs" dxfId="488" priority="408" operator="equal">
      <formula>"NonMember"</formula>
    </cfRule>
  </conditionalFormatting>
  <conditionalFormatting sqref="B5922">
    <cfRule type="cellIs" dxfId="487" priority="406" operator="equal">
      <formula>"Membership"</formula>
    </cfRule>
    <cfRule type="cellIs" dxfId="486" priority="407" operator="equal">
      <formula>"Expenses"</formula>
    </cfRule>
  </conditionalFormatting>
  <conditionalFormatting sqref="B5934 B5936 B5940:B5941">
    <cfRule type="cellIs" dxfId="485" priority="405" operator="equal">
      <formula>"NonMember"</formula>
    </cfRule>
  </conditionalFormatting>
  <conditionalFormatting sqref="B5934 B5936 B5940:B5941">
    <cfRule type="cellIs" dxfId="484" priority="403" operator="equal">
      <formula>"Membership"</formula>
    </cfRule>
    <cfRule type="cellIs" dxfId="483" priority="404" operator="equal">
      <formula>"Expenses"</formula>
    </cfRule>
  </conditionalFormatting>
  <conditionalFormatting sqref="B5935">
    <cfRule type="cellIs" dxfId="482" priority="402" operator="equal">
      <formula>"NonMember"</formula>
    </cfRule>
  </conditionalFormatting>
  <conditionalFormatting sqref="B5935">
    <cfRule type="cellIs" dxfId="481" priority="400" operator="equal">
      <formula>"Membership"</formula>
    </cfRule>
    <cfRule type="cellIs" dxfId="480" priority="401" operator="equal">
      <formula>"Expenses"</formula>
    </cfRule>
  </conditionalFormatting>
  <conditionalFormatting sqref="B5949">
    <cfRule type="cellIs" dxfId="479" priority="399" operator="equal">
      <formula>"NonMember"</formula>
    </cfRule>
  </conditionalFormatting>
  <conditionalFormatting sqref="B5949">
    <cfRule type="cellIs" dxfId="478" priority="397" operator="equal">
      <formula>"Membership"</formula>
    </cfRule>
    <cfRule type="cellIs" dxfId="477" priority="398" operator="equal">
      <formula>"Expenses"</formula>
    </cfRule>
  </conditionalFormatting>
  <conditionalFormatting sqref="B5925">
    <cfRule type="cellIs" dxfId="476" priority="396" operator="equal">
      <formula>"NonMember"</formula>
    </cfRule>
  </conditionalFormatting>
  <conditionalFormatting sqref="B5925">
    <cfRule type="cellIs" dxfId="475" priority="394" operator="equal">
      <formula>"Membership"</formula>
    </cfRule>
    <cfRule type="cellIs" dxfId="474" priority="395" operator="equal">
      <formula>"Expenses"</formula>
    </cfRule>
  </conditionalFormatting>
  <conditionalFormatting sqref="B5969">
    <cfRule type="cellIs" dxfId="473" priority="393" operator="equal">
      <formula>"NonMember"</formula>
    </cfRule>
  </conditionalFormatting>
  <conditionalFormatting sqref="B5969">
    <cfRule type="cellIs" dxfId="472" priority="391" operator="equal">
      <formula>"Membership"</formula>
    </cfRule>
    <cfRule type="cellIs" dxfId="471" priority="392" operator="equal">
      <formula>"Expenses"</formula>
    </cfRule>
  </conditionalFormatting>
  <conditionalFormatting sqref="B5953">
    <cfRule type="cellIs" dxfId="470" priority="390" operator="equal">
      <formula>"NonMember"</formula>
    </cfRule>
  </conditionalFormatting>
  <conditionalFormatting sqref="B5953">
    <cfRule type="cellIs" dxfId="469" priority="388" operator="equal">
      <formula>"Membership"</formula>
    </cfRule>
    <cfRule type="cellIs" dxfId="468" priority="389" operator="equal">
      <formula>"Expenses"</formula>
    </cfRule>
  </conditionalFormatting>
  <conditionalFormatting sqref="B6028">
    <cfRule type="cellIs" dxfId="467" priority="387" operator="equal">
      <formula>"NonMember"</formula>
    </cfRule>
  </conditionalFormatting>
  <conditionalFormatting sqref="B6028">
    <cfRule type="cellIs" dxfId="466" priority="385" operator="equal">
      <formula>"Membership"</formula>
    </cfRule>
    <cfRule type="cellIs" dxfId="465" priority="386" operator="equal">
      <formula>"Expenses"</formula>
    </cfRule>
  </conditionalFormatting>
  <conditionalFormatting sqref="B5924">
    <cfRule type="cellIs" dxfId="464" priority="384" operator="equal">
      <formula>"NonMember"</formula>
    </cfRule>
  </conditionalFormatting>
  <conditionalFormatting sqref="B5924">
    <cfRule type="cellIs" dxfId="463" priority="382" operator="equal">
      <formula>"Membership"</formula>
    </cfRule>
    <cfRule type="cellIs" dxfId="462" priority="383" operator="equal">
      <formula>"Expenses"</formula>
    </cfRule>
  </conditionalFormatting>
  <conditionalFormatting sqref="B6014">
    <cfRule type="cellIs" dxfId="461" priority="381" operator="equal">
      <formula>"NonMember"</formula>
    </cfRule>
  </conditionalFormatting>
  <conditionalFormatting sqref="B6014">
    <cfRule type="cellIs" dxfId="460" priority="379" operator="equal">
      <formula>"Membership"</formula>
    </cfRule>
    <cfRule type="cellIs" dxfId="459" priority="380" operator="equal">
      <formula>"Expenses"</formula>
    </cfRule>
  </conditionalFormatting>
  <conditionalFormatting sqref="B5973">
    <cfRule type="cellIs" dxfId="458" priority="378" operator="equal">
      <formula>"NonMember"</formula>
    </cfRule>
  </conditionalFormatting>
  <conditionalFormatting sqref="B5973">
    <cfRule type="cellIs" dxfId="457" priority="376" operator="equal">
      <formula>"Membership"</formula>
    </cfRule>
    <cfRule type="cellIs" dxfId="456" priority="377" operator="equal">
      <formula>"Expenses"</formula>
    </cfRule>
  </conditionalFormatting>
  <conditionalFormatting sqref="B5978">
    <cfRule type="cellIs" dxfId="455" priority="375" operator="equal">
      <formula>"NonMember"</formula>
    </cfRule>
  </conditionalFormatting>
  <conditionalFormatting sqref="B5978">
    <cfRule type="cellIs" dxfId="454" priority="373" operator="equal">
      <formula>"Membership"</formula>
    </cfRule>
    <cfRule type="cellIs" dxfId="453" priority="374" operator="equal">
      <formula>"Expenses"</formula>
    </cfRule>
  </conditionalFormatting>
  <conditionalFormatting sqref="B5977">
    <cfRule type="cellIs" dxfId="452" priority="372" operator="equal">
      <formula>"NonMember"</formula>
    </cfRule>
  </conditionalFormatting>
  <conditionalFormatting sqref="B5977">
    <cfRule type="cellIs" dxfId="451" priority="370" operator="equal">
      <formula>"Membership"</formula>
    </cfRule>
    <cfRule type="cellIs" dxfId="450" priority="371" operator="equal">
      <formula>"Expenses"</formula>
    </cfRule>
  </conditionalFormatting>
  <conditionalFormatting sqref="B6047">
    <cfRule type="cellIs" dxfId="449" priority="369" operator="equal">
      <formula>"NonMember"</formula>
    </cfRule>
  </conditionalFormatting>
  <conditionalFormatting sqref="B6047">
    <cfRule type="cellIs" dxfId="448" priority="367" operator="equal">
      <formula>"Membership"</formula>
    </cfRule>
    <cfRule type="cellIs" dxfId="447" priority="368" operator="equal">
      <formula>"Expenses"</formula>
    </cfRule>
  </conditionalFormatting>
  <conditionalFormatting sqref="B6036">
    <cfRule type="cellIs" dxfId="446" priority="366" operator="equal">
      <formula>"NonMember"</formula>
    </cfRule>
  </conditionalFormatting>
  <conditionalFormatting sqref="B6036">
    <cfRule type="cellIs" dxfId="445" priority="364" operator="equal">
      <formula>"Membership"</formula>
    </cfRule>
    <cfRule type="cellIs" dxfId="444" priority="365" operator="equal">
      <formula>"Expenses"</formula>
    </cfRule>
  </conditionalFormatting>
  <conditionalFormatting sqref="B6029">
    <cfRule type="cellIs" dxfId="443" priority="363" operator="equal">
      <formula>"NonMember"</formula>
    </cfRule>
  </conditionalFormatting>
  <conditionalFormatting sqref="B6029">
    <cfRule type="cellIs" dxfId="442" priority="361" operator="equal">
      <formula>"Membership"</formula>
    </cfRule>
    <cfRule type="cellIs" dxfId="441" priority="362" operator="equal">
      <formula>"Expenses"</formula>
    </cfRule>
  </conditionalFormatting>
  <conditionalFormatting sqref="B6057">
    <cfRule type="cellIs" dxfId="440" priority="360" operator="equal">
      <formula>"NonMember"</formula>
    </cfRule>
  </conditionalFormatting>
  <conditionalFormatting sqref="B6057">
    <cfRule type="cellIs" dxfId="439" priority="358" operator="equal">
      <formula>"Membership"</formula>
    </cfRule>
    <cfRule type="cellIs" dxfId="438" priority="359" operator="equal">
      <formula>"Expenses"</formula>
    </cfRule>
  </conditionalFormatting>
  <conditionalFormatting sqref="B6156">
    <cfRule type="cellIs" dxfId="437" priority="357" operator="equal">
      <formula>"NonMember"</formula>
    </cfRule>
  </conditionalFormatting>
  <conditionalFormatting sqref="B6156">
    <cfRule type="cellIs" dxfId="436" priority="355" operator="equal">
      <formula>"Membership"</formula>
    </cfRule>
    <cfRule type="cellIs" dxfId="435" priority="356" operator="equal">
      <formula>"Expenses"</formula>
    </cfRule>
  </conditionalFormatting>
  <conditionalFormatting sqref="B6151">
    <cfRule type="cellIs" dxfId="434" priority="354" operator="equal">
      <formula>"NonMember"</formula>
    </cfRule>
  </conditionalFormatting>
  <conditionalFormatting sqref="B6151">
    <cfRule type="cellIs" dxfId="433" priority="352" operator="equal">
      <formula>"Membership"</formula>
    </cfRule>
    <cfRule type="cellIs" dxfId="432" priority="353" operator="equal">
      <formula>"Expenses"</formula>
    </cfRule>
  </conditionalFormatting>
  <conditionalFormatting sqref="B6152">
    <cfRule type="cellIs" dxfId="431" priority="351" operator="equal">
      <formula>"NonMember"</formula>
    </cfRule>
  </conditionalFormatting>
  <conditionalFormatting sqref="B6152">
    <cfRule type="cellIs" dxfId="430" priority="349" operator="equal">
      <formula>"Membership"</formula>
    </cfRule>
    <cfRule type="cellIs" dxfId="429" priority="350" operator="equal">
      <formula>"Expenses"</formula>
    </cfRule>
  </conditionalFormatting>
  <conditionalFormatting sqref="B5937:B5939">
    <cfRule type="cellIs" dxfId="428" priority="348" operator="equal">
      <formula>"NonMember"</formula>
    </cfRule>
  </conditionalFormatting>
  <conditionalFormatting sqref="B5937:B5939">
    <cfRule type="cellIs" dxfId="427" priority="346" operator="equal">
      <formula>"Membership"</formula>
    </cfRule>
    <cfRule type="cellIs" dxfId="426" priority="347" operator="equal">
      <formula>"Expenses"</formula>
    </cfRule>
  </conditionalFormatting>
  <conditionalFormatting sqref="B5970:B5972">
    <cfRule type="cellIs" dxfId="425" priority="345" operator="equal">
      <formula>"NonMember"</formula>
    </cfRule>
  </conditionalFormatting>
  <conditionalFormatting sqref="B5970:B5972">
    <cfRule type="cellIs" dxfId="424" priority="343" operator="equal">
      <formula>"Membership"</formula>
    </cfRule>
    <cfRule type="cellIs" dxfId="423" priority="344" operator="equal">
      <formula>"Expenses"</formula>
    </cfRule>
  </conditionalFormatting>
  <conditionalFormatting sqref="B6015:B6016">
    <cfRule type="cellIs" dxfId="422" priority="342" operator="equal">
      <formula>"NonMember"</formula>
    </cfRule>
  </conditionalFormatting>
  <conditionalFormatting sqref="B6015:B6016">
    <cfRule type="cellIs" dxfId="421" priority="340" operator="equal">
      <formula>"Membership"</formula>
    </cfRule>
    <cfRule type="cellIs" dxfId="420" priority="341" operator="equal">
      <formula>"Expenses"</formula>
    </cfRule>
  </conditionalFormatting>
  <conditionalFormatting sqref="B5965:B5966">
    <cfRule type="cellIs" dxfId="419" priority="339" operator="equal">
      <formula>"NonMember"</formula>
    </cfRule>
  </conditionalFormatting>
  <conditionalFormatting sqref="B5965:B5966">
    <cfRule type="cellIs" dxfId="418" priority="337" operator="equal">
      <formula>"Membership"</formula>
    </cfRule>
    <cfRule type="cellIs" dxfId="417" priority="338" operator="equal">
      <formula>"Expenses"</formula>
    </cfRule>
  </conditionalFormatting>
  <conditionalFormatting sqref="B5986:B5987">
    <cfRule type="cellIs" dxfId="416" priority="336" operator="equal">
      <formula>"NonMember"</formula>
    </cfRule>
  </conditionalFormatting>
  <conditionalFormatting sqref="B5986:B5987">
    <cfRule type="cellIs" dxfId="415" priority="334" operator="equal">
      <formula>"Membership"</formula>
    </cfRule>
    <cfRule type="cellIs" dxfId="414" priority="335" operator="equal">
      <formula>"Expenses"</formula>
    </cfRule>
  </conditionalFormatting>
  <conditionalFormatting sqref="B5958">
    <cfRule type="cellIs" dxfId="413" priority="333" operator="equal">
      <formula>"NonMember"</formula>
    </cfRule>
  </conditionalFormatting>
  <conditionalFormatting sqref="B5958">
    <cfRule type="cellIs" dxfId="412" priority="331" operator="equal">
      <formula>"Membership"</formula>
    </cfRule>
    <cfRule type="cellIs" dxfId="411" priority="332" operator="equal">
      <formula>"Expenses"</formula>
    </cfRule>
  </conditionalFormatting>
  <conditionalFormatting sqref="B5957">
    <cfRule type="cellIs" dxfId="410" priority="330" operator="equal">
      <formula>"NonMember"</formula>
    </cfRule>
  </conditionalFormatting>
  <conditionalFormatting sqref="B5957">
    <cfRule type="cellIs" dxfId="409" priority="328" operator="equal">
      <formula>"Membership"</formula>
    </cfRule>
    <cfRule type="cellIs" dxfId="408" priority="329" operator="equal">
      <formula>"Expenses"</formula>
    </cfRule>
  </conditionalFormatting>
  <conditionalFormatting sqref="B5957">
    <cfRule type="cellIs" dxfId="407" priority="327" operator="equal">
      <formula>"NonMember"</formula>
    </cfRule>
  </conditionalFormatting>
  <conditionalFormatting sqref="B5957">
    <cfRule type="cellIs" dxfId="406" priority="325" operator="equal">
      <formula>"Membership"</formula>
    </cfRule>
    <cfRule type="cellIs" dxfId="405" priority="326" operator="equal">
      <formula>"Expenses"</formula>
    </cfRule>
  </conditionalFormatting>
  <conditionalFormatting sqref="B5988 B6002:B6003 B6005">
    <cfRule type="cellIs" dxfId="404" priority="324" operator="equal">
      <formula>"NonMember"</formula>
    </cfRule>
  </conditionalFormatting>
  <conditionalFormatting sqref="B5988 B6002:B6003 B6005">
    <cfRule type="cellIs" dxfId="403" priority="322" operator="equal">
      <formula>"Membership"</formula>
    </cfRule>
    <cfRule type="cellIs" dxfId="402" priority="323" operator="equal">
      <formula>"Expenses"</formula>
    </cfRule>
  </conditionalFormatting>
  <conditionalFormatting sqref="B5993:B5994 B5998:B5999">
    <cfRule type="cellIs" dxfId="401" priority="319" operator="equal">
      <formula>"Membership"</formula>
    </cfRule>
    <cfRule type="cellIs" dxfId="400" priority="320" operator="equal">
      <formula>"Expenses"</formula>
    </cfRule>
  </conditionalFormatting>
  <conditionalFormatting sqref="B5993:B5994 B5998:B5999">
    <cfRule type="cellIs" dxfId="399" priority="321" operator="equal">
      <formula>"NonMember"</formula>
    </cfRule>
  </conditionalFormatting>
  <conditionalFormatting sqref="B5960:B5963">
    <cfRule type="cellIs" dxfId="398" priority="316" operator="equal">
      <formula>"Membership"</formula>
    </cfRule>
    <cfRule type="cellIs" dxfId="397" priority="317" operator="equal">
      <formula>"Expenses"</formula>
    </cfRule>
  </conditionalFormatting>
  <conditionalFormatting sqref="B5960:B5963">
    <cfRule type="cellIs" dxfId="396" priority="318" operator="equal">
      <formula>"NonMember"</formula>
    </cfRule>
  </conditionalFormatting>
  <conditionalFormatting sqref="B5979:B5980 B5983:B5984">
    <cfRule type="cellIs" dxfId="395" priority="313" operator="equal">
      <formula>"Membership"</formula>
    </cfRule>
    <cfRule type="cellIs" dxfId="394" priority="314" operator="equal">
      <formula>"Expenses"</formula>
    </cfRule>
  </conditionalFormatting>
  <conditionalFormatting sqref="B5979:B5980 B5983:B5984">
    <cfRule type="cellIs" dxfId="393" priority="315" operator="equal">
      <formula>"NonMember"</formula>
    </cfRule>
  </conditionalFormatting>
  <conditionalFormatting sqref="B5981:B5982">
    <cfRule type="cellIs" dxfId="392" priority="312" operator="equal">
      <formula>"NonMember"</formula>
    </cfRule>
  </conditionalFormatting>
  <conditionalFormatting sqref="B5981:B5982">
    <cfRule type="cellIs" dxfId="391" priority="310" operator="equal">
      <formula>"Membership"</formula>
    </cfRule>
    <cfRule type="cellIs" dxfId="390" priority="311" operator="equal">
      <formula>"Expenses"</formula>
    </cfRule>
  </conditionalFormatting>
  <conditionalFormatting sqref="B5975">
    <cfRule type="cellIs" dxfId="389" priority="309" operator="equal">
      <formula>"NonMember"</formula>
    </cfRule>
  </conditionalFormatting>
  <conditionalFormatting sqref="B5975">
    <cfRule type="cellIs" dxfId="388" priority="307" operator="equal">
      <formula>"Membership"</formula>
    </cfRule>
    <cfRule type="cellIs" dxfId="387" priority="308" operator="equal">
      <formula>"Expenses"</formula>
    </cfRule>
  </conditionalFormatting>
  <conditionalFormatting sqref="B5967">
    <cfRule type="cellIs" dxfId="386" priority="306" operator="equal">
      <formula>"NonMember"</formula>
    </cfRule>
  </conditionalFormatting>
  <conditionalFormatting sqref="B5967">
    <cfRule type="cellIs" dxfId="385" priority="304" operator="equal">
      <formula>"Membership"</formula>
    </cfRule>
    <cfRule type="cellIs" dxfId="384" priority="305" operator="equal">
      <formula>"Expenses"</formula>
    </cfRule>
  </conditionalFormatting>
  <conditionalFormatting sqref="B6000">
    <cfRule type="cellIs" dxfId="383" priority="303" operator="equal">
      <formula>"NonMember"</formula>
    </cfRule>
  </conditionalFormatting>
  <conditionalFormatting sqref="B6000">
    <cfRule type="cellIs" dxfId="382" priority="301" operator="equal">
      <formula>"Membership"</formula>
    </cfRule>
    <cfRule type="cellIs" dxfId="381" priority="302" operator="equal">
      <formula>"Expenses"</formula>
    </cfRule>
  </conditionalFormatting>
  <conditionalFormatting sqref="B5959">
    <cfRule type="cellIs" dxfId="380" priority="300" operator="equal">
      <formula>"NonMember"</formula>
    </cfRule>
  </conditionalFormatting>
  <conditionalFormatting sqref="B5959">
    <cfRule type="cellIs" dxfId="379" priority="298" operator="equal">
      <formula>"Membership"</formula>
    </cfRule>
    <cfRule type="cellIs" dxfId="378" priority="299" operator="equal">
      <formula>"Expenses"</formula>
    </cfRule>
  </conditionalFormatting>
  <conditionalFormatting sqref="B6008:B6009">
    <cfRule type="cellIs" dxfId="377" priority="297" operator="equal">
      <formula>"NonMember"</formula>
    </cfRule>
  </conditionalFormatting>
  <conditionalFormatting sqref="B6008:B6009">
    <cfRule type="cellIs" dxfId="376" priority="295" operator="equal">
      <formula>"Membership"</formula>
    </cfRule>
    <cfRule type="cellIs" dxfId="375" priority="296" operator="equal">
      <formula>"Expenses"</formula>
    </cfRule>
  </conditionalFormatting>
  <conditionalFormatting sqref="B5989">
    <cfRule type="cellIs" dxfId="374" priority="294" operator="equal">
      <formula>"NonMember"</formula>
    </cfRule>
  </conditionalFormatting>
  <conditionalFormatting sqref="B5989">
    <cfRule type="cellIs" dxfId="373" priority="292" operator="equal">
      <formula>"Membership"</formula>
    </cfRule>
    <cfRule type="cellIs" dxfId="372" priority="293" operator="equal">
      <formula>"Expenses"</formula>
    </cfRule>
  </conditionalFormatting>
  <conditionalFormatting sqref="B5990">
    <cfRule type="cellIs" dxfId="371" priority="291" operator="equal">
      <formula>"NonMember"</formula>
    </cfRule>
  </conditionalFormatting>
  <conditionalFormatting sqref="B5990">
    <cfRule type="cellIs" dxfId="370" priority="289" operator="equal">
      <formula>"Membership"</formula>
    </cfRule>
    <cfRule type="cellIs" dxfId="369" priority="290" operator="equal">
      <formula>"Expenses"</formula>
    </cfRule>
  </conditionalFormatting>
  <conditionalFormatting sqref="B5990">
    <cfRule type="cellIs" dxfId="368" priority="288" operator="equal">
      <formula>"NonMember"</formula>
    </cfRule>
  </conditionalFormatting>
  <conditionalFormatting sqref="B5990">
    <cfRule type="cellIs" dxfId="367" priority="286" operator="equal">
      <formula>"Membership"</formula>
    </cfRule>
    <cfRule type="cellIs" dxfId="366" priority="287" operator="equal">
      <formula>"Expenses"</formula>
    </cfRule>
  </conditionalFormatting>
  <conditionalFormatting sqref="B6023">
    <cfRule type="cellIs" dxfId="365" priority="285" operator="equal">
      <formula>"NonMember"</formula>
    </cfRule>
  </conditionalFormatting>
  <conditionalFormatting sqref="B6023">
    <cfRule type="cellIs" dxfId="364" priority="283" operator="equal">
      <formula>"Membership"</formula>
    </cfRule>
    <cfRule type="cellIs" dxfId="363" priority="284" operator="equal">
      <formula>"Expenses"</formula>
    </cfRule>
  </conditionalFormatting>
  <conditionalFormatting sqref="B5996:B5997">
    <cfRule type="cellIs" dxfId="362" priority="282" operator="equal">
      <formula>"NonMember"</formula>
    </cfRule>
  </conditionalFormatting>
  <conditionalFormatting sqref="B5996:B5997">
    <cfRule type="cellIs" dxfId="361" priority="280" operator="equal">
      <formula>"Membership"</formula>
    </cfRule>
    <cfRule type="cellIs" dxfId="360" priority="281" operator="equal">
      <formula>"Expenses"</formula>
    </cfRule>
  </conditionalFormatting>
  <conditionalFormatting sqref="B6004">
    <cfRule type="cellIs" dxfId="359" priority="279" operator="equal">
      <formula>"NonMember"</formula>
    </cfRule>
  </conditionalFormatting>
  <conditionalFormatting sqref="B6004">
    <cfRule type="cellIs" dxfId="358" priority="277" operator="equal">
      <formula>"Membership"</formula>
    </cfRule>
    <cfRule type="cellIs" dxfId="357" priority="278" operator="equal">
      <formula>"Expenses"</formula>
    </cfRule>
  </conditionalFormatting>
  <conditionalFormatting sqref="B6046">
    <cfRule type="cellIs" dxfId="356" priority="276" operator="equal">
      <formula>"NonMember"</formula>
    </cfRule>
  </conditionalFormatting>
  <conditionalFormatting sqref="B6046">
    <cfRule type="cellIs" dxfId="355" priority="274" operator="equal">
      <formula>"Membership"</formula>
    </cfRule>
    <cfRule type="cellIs" dxfId="354" priority="275" operator="equal">
      <formula>"Expenses"</formula>
    </cfRule>
  </conditionalFormatting>
  <conditionalFormatting sqref="B6006">
    <cfRule type="cellIs" dxfId="353" priority="273" operator="equal">
      <formula>"NonMember"</formula>
    </cfRule>
  </conditionalFormatting>
  <conditionalFormatting sqref="B6006">
    <cfRule type="cellIs" dxfId="352" priority="271" operator="equal">
      <formula>"Membership"</formula>
    </cfRule>
    <cfRule type="cellIs" dxfId="351" priority="272" operator="equal">
      <formula>"Expenses"</formula>
    </cfRule>
  </conditionalFormatting>
  <conditionalFormatting sqref="B5995">
    <cfRule type="cellIs" dxfId="350" priority="268" operator="equal">
      <formula>"Membership"</formula>
    </cfRule>
    <cfRule type="cellIs" dxfId="349" priority="269" operator="equal">
      <formula>"Expenses"</formula>
    </cfRule>
  </conditionalFormatting>
  <conditionalFormatting sqref="B5995">
    <cfRule type="cellIs" dxfId="348" priority="270" operator="equal">
      <formula>"NonMember"</formula>
    </cfRule>
  </conditionalFormatting>
  <conditionalFormatting sqref="B6001">
    <cfRule type="cellIs" dxfId="347" priority="267" operator="equal">
      <formula>"NonMember"</formula>
    </cfRule>
  </conditionalFormatting>
  <conditionalFormatting sqref="B6001">
    <cfRule type="cellIs" dxfId="346" priority="265" operator="equal">
      <formula>"Membership"</formula>
    </cfRule>
    <cfRule type="cellIs" dxfId="345" priority="266" operator="equal">
      <formula>"Expenses"</formula>
    </cfRule>
  </conditionalFormatting>
  <conditionalFormatting sqref="B6010:B6011">
    <cfRule type="cellIs" dxfId="344" priority="264" operator="equal">
      <formula>"NonMember"</formula>
    </cfRule>
  </conditionalFormatting>
  <conditionalFormatting sqref="B6010:B6011">
    <cfRule type="cellIs" dxfId="343" priority="262" operator="equal">
      <formula>"Membership"</formula>
    </cfRule>
    <cfRule type="cellIs" dxfId="342" priority="263" operator="equal">
      <formula>"Expenses"</formula>
    </cfRule>
  </conditionalFormatting>
  <conditionalFormatting sqref="B5992">
    <cfRule type="cellIs" dxfId="341" priority="261" operator="equal">
      <formula>"NonMember"</formula>
    </cfRule>
  </conditionalFormatting>
  <conditionalFormatting sqref="B5992">
    <cfRule type="cellIs" dxfId="340" priority="259" operator="equal">
      <formula>"Membership"</formula>
    </cfRule>
    <cfRule type="cellIs" dxfId="339" priority="260" operator="equal">
      <formula>"Expenses"</formula>
    </cfRule>
  </conditionalFormatting>
  <conditionalFormatting sqref="B6007">
    <cfRule type="cellIs" dxfId="338" priority="258" operator="equal">
      <formula>"NonMember"</formula>
    </cfRule>
  </conditionalFormatting>
  <conditionalFormatting sqref="B6007">
    <cfRule type="cellIs" dxfId="337" priority="256" operator="equal">
      <formula>"Membership"</formula>
    </cfRule>
    <cfRule type="cellIs" dxfId="336" priority="257" operator="equal">
      <formula>"Expenses"</formula>
    </cfRule>
  </conditionalFormatting>
  <conditionalFormatting sqref="B5991">
    <cfRule type="cellIs" dxfId="335" priority="255" operator="equal">
      <formula>"NonMember"</formula>
    </cfRule>
  </conditionalFormatting>
  <conditionalFormatting sqref="B5991">
    <cfRule type="cellIs" dxfId="334" priority="253" operator="equal">
      <formula>"Membership"</formula>
    </cfRule>
    <cfRule type="cellIs" dxfId="333" priority="254" operator="equal">
      <formula>"Expenses"</formula>
    </cfRule>
  </conditionalFormatting>
  <conditionalFormatting sqref="B6026:B6027">
    <cfRule type="cellIs" dxfId="332" priority="250" operator="equal">
      <formula>"Membership"</formula>
    </cfRule>
    <cfRule type="cellIs" dxfId="331" priority="251" operator="equal">
      <formula>"Expenses"</formula>
    </cfRule>
  </conditionalFormatting>
  <conditionalFormatting sqref="B6026:B6027">
    <cfRule type="cellIs" dxfId="330" priority="252" operator="equal">
      <formula>"NonMember"</formula>
    </cfRule>
  </conditionalFormatting>
  <conditionalFormatting sqref="B6031 B6035">
    <cfRule type="cellIs" dxfId="329" priority="247" operator="equal">
      <formula>"Membership"</formula>
    </cfRule>
    <cfRule type="cellIs" dxfId="328" priority="248" operator="equal">
      <formula>"Expenses"</formula>
    </cfRule>
  </conditionalFormatting>
  <conditionalFormatting sqref="B6031 B6035">
    <cfRule type="cellIs" dxfId="327" priority="249" operator="equal">
      <formula>"NonMember"</formula>
    </cfRule>
  </conditionalFormatting>
  <conditionalFormatting sqref="B6034">
    <cfRule type="cellIs" dxfId="326" priority="246" operator="equal">
      <formula>"NonMember"</formula>
    </cfRule>
  </conditionalFormatting>
  <conditionalFormatting sqref="B6034">
    <cfRule type="cellIs" dxfId="325" priority="244" operator="equal">
      <formula>"Membership"</formula>
    </cfRule>
    <cfRule type="cellIs" dxfId="324" priority="245" operator="equal">
      <formula>"Expenses"</formula>
    </cfRule>
  </conditionalFormatting>
  <conditionalFormatting sqref="B6032:B6033">
    <cfRule type="cellIs" dxfId="323" priority="243" operator="equal">
      <formula>"NonMember"</formula>
    </cfRule>
  </conditionalFormatting>
  <conditionalFormatting sqref="B6032:B6033">
    <cfRule type="cellIs" dxfId="322" priority="241" operator="equal">
      <formula>"Membership"</formula>
    </cfRule>
    <cfRule type="cellIs" dxfId="321" priority="242" operator="equal">
      <formula>"Expenses"</formula>
    </cfRule>
  </conditionalFormatting>
  <conditionalFormatting sqref="B6038:B6039">
    <cfRule type="cellIs" dxfId="320" priority="240" operator="equal">
      <formula>"NonMember"</formula>
    </cfRule>
  </conditionalFormatting>
  <conditionalFormatting sqref="B6038:B6039">
    <cfRule type="cellIs" dxfId="319" priority="238" operator="equal">
      <formula>"Membership"</formula>
    </cfRule>
    <cfRule type="cellIs" dxfId="318" priority="239" operator="equal">
      <formula>"Expenses"</formula>
    </cfRule>
  </conditionalFormatting>
  <conditionalFormatting sqref="B6037">
    <cfRule type="cellIs" dxfId="317" priority="237" operator="equal">
      <formula>"NonMember"</formula>
    </cfRule>
  </conditionalFormatting>
  <conditionalFormatting sqref="B6037">
    <cfRule type="cellIs" dxfId="316" priority="235" operator="equal">
      <formula>"Membership"</formula>
    </cfRule>
    <cfRule type="cellIs" dxfId="315" priority="236" operator="equal">
      <formula>"Expenses"</formula>
    </cfRule>
  </conditionalFormatting>
  <conditionalFormatting sqref="B6030">
    <cfRule type="cellIs" dxfId="314" priority="231" operator="equal">
      <formula>"NonMember"</formula>
    </cfRule>
  </conditionalFormatting>
  <conditionalFormatting sqref="B6030">
    <cfRule type="cellIs" dxfId="313" priority="229" operator="equal">
      <formula>"Membership"</formula>
    </cfRule>
    <cfRule type="cellIs" dxfId="312" priority="230" operator="equal">
      <formula>"Expenses"</formula>
    </cfRule>
  </conditionalFormatting>
  <conditionalFormatting sqref="B6040:B6041">
    <cfRule type="cellIs" dxfId="311" priority="228" operator="equal">
      <formula>"NonMember"</formula>
    </cfRule>
  </conditionalFormatting>
  <conditionalFormatting sqref="B6040:B6041">
    <cfRule type="cellIs" dxfId="310" priority="226" operator="equal">
      <formula>"Membership"</formula>
    </cfRule>
    <cfRule type="cellIs" dxfId="309" priority="227" operator="equal">
      <formula>"Expenses"</formula>
    </cfRule>
  </conditionalFormatting>
  <conditionalFormatting sqref="B6045">
    <cfRule type="cellIs" dxfId="308" priority="225" operator="equal">
      <formula>"NonMember"</formula>
    </cfRule>
  </conditionalFormatting>
  <conditionalFormatting sqref="B6045">
    <cfRule type="cellIs" dxfId="307" priority="223" operator="equal">
      <formula>"Membership"</formula>
    </cfRule>
    <cfRule type="cellIs" dxfId="306" priority="224" operator="equal">
      <formula>"Expenses"</formula>
    </cfRule>
  </conditionalFormatting>
  <conditionalFormatting sqref="B6024:B6025">
    <cfRule type="cellIs" dxfId="305" priority="220" operator="equal">
      <formula>"Membership"</formula>
    </cfRule>
    <cfRule type="cellIs" dxfId="304" priority="221" operator="equal">
      <formula>"Expenses"</formula>
    </cfRule>
  </conditionalFormatting>
  <conditionalFormatting sqref="B6024:B6025">
    <cfRule type="cellIs" dxfId="303" priority="222" operator="equal">
      <formula>"NonMember"</formula>
    </cfRule>
  </conditionalFormatting>
  <conditionalFormatting sqref="B6021">
    <cfRule type="cellIs" dxfId="302" priority="216" operator="equal">
      <formula>"NonMember"</formula>
    </cfRule>
  </conditionalFormatting>
  <conditionalFormatting sqref="B6021">
    <cfRule type="cellIs" dxfId="301" priority="214" operator="equal">
      <formula>"Membership"</formula>
    </cfRule>
    <cfRule type="cellIs" dxfId="300" priority="215" operator="equal">
      <formula>"Expenses"</formula>
    </cfRule>
  </conditionalFormatting>
  <conditionalFormatting sqref="B6021">
    <cfRule type="cellIs" dxfId="299" priority="213" operator="equal">
      <formula>"NonMember"</formula>
    </cfRule>
  </conditionalFormatting>
  <conditionalFormatting sqref="B6021">
    <cfRule type="cellIs" dxfId="298" priority="211" operator="equal">
      <formula>"Membership"</formula>
    </cfRule>
    <cfRule type="cellIs" dxfId="297" priority="212" operator="equal">
      <formula>"Expenses"</formula>
    </cfRule>
  </conditionalFormatting>
  <conditionalFormatting sqref="B6022">
    <cfRule type="cellIs" dxfId="296" priority="210" operator="equal">
      <formula>"NonMember"</formula>
    </cfRule>
  </conditionalFormatting>
  <conditionalFormatting sqref="B6022">
    <cfRule type="cellIs" dxfId="295" priority="208" operator="equal">
      <formula>"Membership"</formula>
    </cfRule>
    <cfRule type="cellIs" dxfId="294" priority="209" operator="equal">
      <formula>"Expenses"</formula>
    </cfRule>
  </conditionalFormatting>
  <conditionalFormatting sqref="B6019">
    <cfRule type="cellIs" dxfId="293" priority="207" operator="equal">
      <formula>"NonMember"</formula>
    </cfRule>
  </conditionalFormatting>
  <conditionalFormatting sqref="B6019">
    <cfRule type="cellIs" dxfId="292" priority="205" operator="equal">
      <formula>"Membership"</formula>
    </cfRule>
    <cfRule type="cellIs" dxfId="291" priority="206" operator="equal">
      <formula>"Expenses"</formula>
    </cfRule>
  </conditionalFormatting>
  <conditionalFormatting sqref="B6167:B6168 B6170:B6171 B6173:B6174 B6176">
    <cfRule type="cellIs" dxfId="290" priority="202" operator="equal">
      <formula>"Membership"</formula>
    </cfRule>
    <cfRule type="cellIs" dxfId="289" priority="203" operator="equal">
      <formula>"Expenses"</formula>
    </cfRule>
  </conditionalFormatting>
  <conditionalFormatting sqref="B6167:B6168 B6170:B6171 B6173:B6174 B6176">
    <cfRule type="cellIs" dxfId="288" priority="204" operator="equal">
      <formula>"NonMember"</formula>
    </cfRule>
  </conditionalFormatting>
  <conditionalFormatting sqref="B6177 B6179:B6180 B6183:B6184 B6188">
    <cfRule type="cellIs" dxfId="287" priority="199" operator="equal">
      <formula>"Membership"</formula>
    </cfRule>
    <cfRule type="cellIs" dxfId="286" priority="200" operator="equal">
      <formula>"Expenses"</formula>
    </cfRule>
  </conditionalFormatting>
  <conditionalFormatting sqref="B6177 B6179:B6180 B6183:B6184 B6188">
    <cfRule type="cellIs" dxfId="285" priority="201" operator="equal">
      <formula>"NonMember"</formula>
    </cfRule>
  </conditionalFormatting>
  <conditionalFormatting sqref="B6158">
    <cfRule type="cellIs" dxfId="284" priority="196" operator="equal">
      <formula>"Membership"</formula>
    </cfRule>
    <cfRule type="cellIs" dxfId="283" priority="197" operator="equal">
      <formula>"Expenses"</formula>
    </cfRule>
  </conditionalFormatting>
  <conditionalFormatting sqref="B6158">
    <cfRule type="cellIs" dxfId="282" priority="198" operator="equal">
      <formula>"NonMember"</formula>
    </cfRule>
  </conditionalFormatting>
  <conditionalFormatting sqref="B6169">
    <cfRule type="cellIs" dxfId="281" priority="193" operator="equal">
      <formula>"Membership"</formula>
    </cfRule>
    <cfRule type="cellIs" dxfId="280" priority="194" operator="equal">
      <formula>"Expenses"</formula>
    </cfRule>
  </conditionalFormatting>
  <conditionalFormatting sqref="B6169">
    <cfRule type="cellIs" dxfId="279" priority="195" operator="equal">
      <formula>"NonMember"</formula>
    </cfRule>
  </conditionalFormatting>
  <conditionalFormatting sqref="B6172">
    <cfRule type="cellIs" dxfId="278" priority="190" operator="equal">
      <formula>"Membership"</formula>
    </cfRule>
    <cfRule type="cellIs" dxfId="277" priority="191" operator="equal">
      <formula>"Expenses"</formula>
    </cfRule>
  </conditionalFormatting>
  <conditionalFormatting sqref="B6172">
    <cfRule type="cellIs" dxfId="276" priority="192" operator="equal">
      <formula>"NonMember"</formula>
    </cfRule>
  </conditionalFormatting>
  <conditionalFormatting sqref="B6175">
    <cfRule type="cellIs" dxfId="275" priority="187" operator="equal">
      <formula>"Membership"</formula>
    </cfRule>
    <cfRule type="cellIs" dxfId="274" priority="188" operator="equal">
      <formula>"Expenses"</formula>
    </cfRule>
  </conditionalFormatting>
  <conditionalFormatting sqref="B6175">
    <cfRule type="cellIs" dxfId="273" priority="189" operator="equal">
      <formula>"NonMember"</formula>
    </cfRule>
  </conditionalFormatting>
  <conditionalFormatting sqref="B6178">
    <cfRule type="cellIs" dxfId="272" priority="184" operator="equal">
      <formula>"Membership"</formula>
    </cfRule>
    <cfRule type="cellIs" dxfId="271" priority="185" operator="equal">
      <formula>"Expenses"</formula>
    </cfRule>
  </conditionalFormatting>
  <conditionalFormatting sqref="B6178">
    <cfRule type="cellIs" dxfId="270" priority="186" operator="equal">
      <formula>"NonMember"</formula>
    </cfRule>
  </conditionalFormatting>
  <conditionalFormatting sqref="B6181">
    <cfRule type="cellIs" dxfId="269" priority="181" operator="equal">
      <formula>"Membership"</formula>
    </cfRule>
    <cfRule type="cellIs" dxfId="268" priority="182" operator="equal">
      <formula>"Expenses"</formula>
    </cfRule>
  </conditionalFormatting>
  <conditionalFormatting sqref="B6181">
    <cfRule type="cellIs" dxfId="267" priority="183" operator="equal">
      <formula>"NonMember"</formula>
    </cfRule>
  </conditionalFormatting>
  <conditionalFormatting sqref="B6185">
    <cfRule type="cellIs" dxfId="266" priority="178" operator="equal">
      <formula>"Membership"</formula>
    </cfRule>
    <cfRule type="cellIs" dxfId="265" priority="179" operator="equal">
      <formula>"Expenses"</formula>
    </cfRule>
  </conditionalFormatting>
  <conditionalFormatting sqref="B6185">
    <cfRule type="cellIs" dxfId="264" priority="180" operator="equal">
      <formula>"NonMember"</formula>
    </cfRule>
  </conditionalFormatting>
  <conditionalFormatting sqref="B6190">
    <cfRule type="cellIs" dxfId="263" priority="175" operator="equal">
      <formula>"Membership"</formula>
    </cfRule>
    <cfRule type="cellIs" dxfId="262" priority="176" operator="equal">
      <formula>"Expenses"</formula>
    </cfRule>
  </conditionalFormatting>
  <conditionalFormatting sqref="B6190">
    <cfRule type="cellIs" dxfId="261" priority="177" operator="equal">
      <formula>"NonMember"</formula>
    </cfRule>
  </conditionalFormatting>
  <conditionalFormatting sqref="B6159">
    <cfRule type="cellIs" dxfId="260" priority="174" operator="equal">
      <formula>"NonMember"</formula>
    </cfRule>
  </conditionalFormatting>
  <conditionalFormatting sqref="B6159">
    <cfRule type="cellIs" dxfId="259" priority="172" operator="equal">
      <formula>"Membership"</formula>
    </cfRule>
    <cfRule type="cellIs" dxfId="258" priority="173" operator="equal">
      <formula>"Expenses"</formula>
    </cfRule>
  </conditionalFormatting>
  <conditionalFormatting sqref="B6160:B6166">
    <cfRule type="cellIs" dxfId="257" priority="171" operator="equal">
      <formula>"NonMember"</formula>
    </cfRule>
  </conditionalFormatting>
  <conditionalFormatting sqref="B6160:B6166">
    <cfRule type="cellIs" dxfId="256" priority="169" operator="equal">
      <formula>"Membership"</formula>
    </cfRule>
    <cfRule type="cellIs" dxfId="255" priority="170" operator="equal">
      <formula>"Expenses"</formula>
    </cfRule>
  </conditionalFormatting>
  <conditionalFormatting sqref="B6059 B6091">
    <cfRule type="cellIs" dxfId="254" priority="166" operator="equal">
      <formula>"Membership"</formula>
    </cfRule>
    <cfRule type="cellIs" dxfId="253" priority="167" operator="equal">
      <formula>"Expenses"</formula>
    </cfRule>
  </conditionalFormatting>
  <conditionalFormatting sqref="B6059 B6091">
    <cfRule type="cellIs" dxfId="252" priority="168" operator="equal">
      <formula>"NonMember"</formula>
    </cfRule>
  </conditionalFormatting>
  <conditionalFormatting sqref="B6117 B6127 B6121">
    <cfRule type="cellIs" dxfId="251" priority="163" operator="equal">
      <formula>"Membership"</formula>
    </cfRule>
    <cfRule type="cellIs" dxfId="250" priority="164" operator="equal">
      <formula>"Expenses"</formula>
    </cfRule>
  </conditionalFormatting>
  <conditionalFormatting sqref="B6117 B6127 B6121">
    <cfRule type="cellIs" dxfId="249" priority="165" operator="equal">
      <formula>"NonMember"</formula>
    </cfRule>
  </conditionalFormatting>
  <conditionalFormatting sqref="B6052">
    <cfRule type="cellIs" dxfId="248" priority="162" operator="equal">
      <formula>"NonMember"</formula>
    </cfRule>
  </conditionalFormatting>
  <conditionalFormatting sqref="B6052">
    <cfRule type="cellIs" dxfId="247" priority="160" operator="equal">
      <formula>"Membership"</formula>
    </cfRule>
    <cfRule type="cellIs" dxfId="246" priority="161" operator="equal">
      <formula>"Expenses"</formula>
    </cfRule>
  </conditionalFormatting>
  <conditionalFormatting sqref="B6052">
    <cfRule type="cellIs" dxfId="245" priority="159" operator="equal">
      <formula>"NonMember"</formula>
    </cfRule>
  </conditionalFormatting>
  <conditionalFormatting sqref="B6052">
    <cfRule type="cellIs" dxfId="244" priority="157" operator="equal">
      <formula>"Membership"</formula>
    </cfRule>
    <cfRule type="cellIs" dxfId="243" priority="158" operator="equal">
      <formula>"Expenses"</formula>
    </cfRule>
  </conditionalFormatting>
  <conditionalFormatting sqref="B6064:B6067">
    <cfRule type="cellIs" dxfId="242" priority="154" operator="equal">
      <formula>"Membership"</formula>
    </cfRule>
    <cfRule type="cellIs" dxfId="241" priority="155" operator="equal">
      <formula>"Expenses"</formula>
    </cfRule>
  </conditionalFormatting>
  <conditionalFormatting sqref="B6064:B6067">
    <cfRule type="cellIs" dxfId="240" priority="156" operator="equal">
      <formula>"NonMember"</formula>
    </cfRule>
  </conditionalFormatting>
  <conditionalFormatting sqref="B6125:B6126">
    <cfRule type="cellIs" dxfId="239" priority="150" operator="equal">
      <formula>"NonMember"</formula>
    </cfRule>
  </conditionalFormatting>
  <conditionalFormatting sqref="B6125:B6126">
    <cfRule type="cellIs" dxfId="238" priority="148" operator="equal">
      <formula>"Membership"</formula>
    </cfRule>
    <cfRule type="cellIs" dxfId="237" priority="149" operator="equal">
      <formula>"Expenses"</formula>
    </cfRule>
  </conditionalFormatting>
  <conditionalFormatting sqref="B6068:B6071">
    <cfRule type="cellIs" dxfId="236" priority="147" operator="equal">
      <formula>"NonMember"</formula>
    </cfRule>
  </conditionalFormatting>
  <conditionalFormatting sqref="B6068:B6071">
    <cfRule type="cellIs" dxfId="235" priority="145" operator="equal">
      <formula>"Membership"</formula>
    </cfRule>
    <cfRule type="cellIs" dxfId="234" priority="146" operator="equal">
      <formula>"Expenses"</formula>
    </cfRule>
  </conditionalFormatting>
  <conditionalFormatting sqref="B6092">
    <cfRule type="cellIs" dxfId="233" priority="144" operator="equal">
      <formula>"NonMember"</formula>
    </cfRule>
  </conditionalFormatting>
  <conditionalFormatting sqref="B6092">
    <cfRule type="cellIs" dxfId="232" priority="142" operator="equal">
      <formula>"Membership"</formula>
    </cfRule>
    <cfRule type="cellIs" dxfId="231" priority="143" operator="equal">
      <formula>"Expenses"</formula>
    </cfRule>
  </conditionalFormatting>
  <conditionalFormatting sqref="B6060:B6063">
    <cfRule type="cellIs" dxfId="230" priority="141" operator="equal">
      <formula>"NonMember"</formula>
    </cfRule>
  </conditionalFormatting>
  <conditionalFormatting sqref="B6060:B6063">
    <cfRule type="cellIs" dxfId="229" priority="139" operator="equal">
      <formula>"Membership"</formula>
    </cfRule>
    <cfRule type="cellIs" dxfId="228" priority="140" operator="equal">
      <formula>"Expenses"</formula>
    </cfRule>
  </conditionalFormatting>
  <conditionalFormatting sqref="B6053">
    <cfRule type="cellIs" dxfId="227" priority="138" operator="equal">
      <formula>"NonMember"</formula>
    </cfRule>
  </conditionalFormatting>
  <conditionalFormatting sqref="B6053">
    <cfRule type="cellIs" dxfId="226" priority="136" operator="equal">
      <formula>"Membership"</formula>
    </cfRule>
    <cfRule type="cellIs" dxfId="225" priority="137" operator="equal">
      <formula>"Expenses"</formula>
    </cfRule>
  </conditionalFormatting>
  <conditionalFormatting sqref="B6043">
    <cfRule type="cellIs" dxfId="224" priority="135" operator="equal">
      <formula>"NonMember"</formula>
    </cfRule>
  </conditionalFormatting>
  <conditionalFormatting sqref="B6043">
    <cfRule type="cellIs" dxfId="223" priority="133" operator="equal">
      <formula>"Membership"</formula>
    </cfRule>
    <cfRule type="cellIs" dxfId="222" priority="134" operator="equal">
      <formula>"Expenses"</formula>
    </cfRule>
  </conditionalFormatting>
  <conditionalFormatting sqref="B6084">
    <cfRule type="cellIs" dxfId="221" priority="132" operator="equal">
      <formula>"NonMember"</formula>
    </cfRule>
  </conditionalFormatting>
  <conditionalFormatting sqref="B6084">
    <cfRule type="cellIs" dxfId="220" priority="130" operator="equal">
      <formula>"Membership"</formula>
    </cfRule>
    <cfRule type="cellIs" dxfId="219" priority="131" operator="equal">
      <formula>"Expenses"</formula>
    </cfRule>
  </conditionalFormatting>
  <conditionalFormatting sqref="B6076:B6077 B6079:B6080">
    <cfRule type="cellIs" dxfId="218" priority="129" operator="equal">
      <formula>"NonMember"</formula>
    </cfRule>
  </conditionalFormatting>
  <conditionalFormatting sqref="B6076:B6077 B6079:B6080">
    <cfRule type="cellIs" dxfId="217" priority="127" operator="equal">
      <formula>"Membership"</formula>
    </cfRule>
    <cfRule type="cellIs" dxfId="216" priority="128" operator="equal">
      <formula>"Expenses"</formula>
    </cfRule>
  </conditionalFormatting>
  <conditionalFormatting sqref="B6118">
    <cfRule type="cellIs" dxfId="215" priority="126" operator="equal">
      <formula>"NonMember"</formula>
    </cfRule>
  </conditionalFormatting>
  <conditionalFormatting sqref="B6118">
    <cfRule type="cellIs" dxfId="214" priority="124" operator="equal">
      <formula>"Membership"</formula>
    </cfRule>
    <cfRule type="cellIs" dxfId="213" priority="125" operator="equal">
      <formula>"Expenses"</formula>
    </cfRule>
  </conditionalFormatting>
  <conditionalFormatting sqref="B6049">
    <cfRule type="cellIs" dxfId="212" priority="123" operator="equal">
      <formula>"NonMember"</formula>
    </cfRule>
  </conditionalFormatting>
  <conditionalFormatting sqref="B6049">
    <cfRule type="cellIs" dxfId="211" priority="121" operator="equal">
      <formula>"Membership"</formula>
    </cfRule>
    <cfRule type="cellIs" dxfId="210" priority="122" operator="equal">
      <formula>"Expenses"</formula>
    </cfRule>
  </conditionalFormatting>
  <conditionalFormatting sqref="B6141">
    <cfRule type="cellIs" dxfId="209" priority="120" operator="equal">
      <formula>"NonMember"</formula>
    </cfRule>
  </conditionalFormatting>
  <conditionalFormatting sqref="B6141">
    <cfRule type="cellIs" dxfId="208" priority="118" operator="equal">
      <formula>"Membership"</formula>
    </cfRule>
    <cfRule type="cellIs" dxfId="207" priority="119" operator="equal">
      <formula>"Expenses"</formula>
    </cfRule>
  </conditionalFormatting>
  <conditionalFormatting sqref="B6147:B6149">
    <cfRule type="cellIs" dxfId="206" priority="117" operator="equal">
      <formula>"NonMember"</formula>
    </cfRule>
  </conditionalFormatting>
  <conditionalFormatting sqref="B6147:B6149">
    <cfRule type="cellIs" dxfId="205" priority="115" operator="equal">
      <formula>"Membership"</formula>
    </cfRule>
    <cfRule type="cellIs" dxfId="204" priority="116" operator="equal">
      <formula>"Expenses"</formula>
    </cfRule>
  </conditionalFormatting>
  <conditionalFormatting sqref="B6081:B6083">
    <cfRule type="cellIs" dxfId="203" priority="114" operator="equal">
      <formula>"NonMember"</formula>
    </cfRule>
  </conditionalFormatting>
  <conditionalFormatting sqref="B6081:B6083">
    <cfRule type="cellIs" dxfId="202" priority="112" operator="equal">
      <formula>"Membership"</formula>
    </cfRule>
    <cfRule type="cellIs" dxfId="201" priority="113" operator="equal">
      <formula>"Expenses"</formula>
    </cfRule>
  </conditionalFormatting>
  <conditionalFormatting sqref="B6108">
    <cfRule type="cellIs" dxfId="200" priority="111" operator="equal">
      <formula>"NonMember"</formula>
    </cfRule>
  </conditionalFormatting>
  <conditionalFormatting sqref="B6108">
    <cfRule type="cellIs" dxfId="199" priority="109" operator="equal">
      <formula>"Membership"</formula>
    </cfRule>
    <cfRule type="cellIs" dxfId="198" priority="110" operator="equal">
      <formula>"Expenses"</formula>
    </cfRule>
  </conditionalFormatting>
  <conditionalFormatting sqref="B6128 B6137:B6139">
    <cfRule type="cellIs" dxfId="197" priority="108" operator="equal">
      <formula>"NonMember"</formula>
    </cfRule>
  </conditionalFormatting>
  <conditionalFormatting sqref="B6128 B6137:B6139">
    <cfRule type="cellIs" dxfId="196" priority="106" operator="equal">
      <formula>"Membership"</formula>
    </cfRule>
    <cfRule type="cellIs" dxfId="195" priority="107" operator="equal">
      <formula>"Expenses"</formula>
    </cfRule>
  </conditionalFormatting>
  <conditionalFormatting sqref="B6124">
    <cfRule type="cellIs" dxfId="194" priority="105" operator="equal">
      <formula>"NonMember"</formula>
    </cfRule>
  </conditionalFormatting>
  <conditionalFormatting sqref="B6124">
    <cfRule type="cellIs" dxfId="193" priority="103" operator="equal">
      <formula>"Membership"</formula>
    </cfRule>
    <cfRule type="cellIs" dxfId="192" priority="104" operator="equal">
      <formula>"Expenses"</formula>
    </cfRule>
  </conditionalFormatting>
  <conditionalFormatting sqref="B6085:B6086">
    <cfRule type="cellIs" dxfId="191" priority="102" operator="equal">
      <formula>"NonMember"</formula>
    </cfRule>
  </conditionalFormatting>
  <conditionalFormatting sqref="B6085:B6086">
    <cfRule type="cellIs" dxfId="190" priority="100" operator="equal">
      <formula>"Membership"</formula>
    </cfRule>
    <cfRule type="cellIs" dxfId="189" priority="101" operator="equal">
      <formula>"Expenses"</formula>
    </cfRule>
  </conditionalFormatting>
  <conditionalFormatting sqref="B6055:B6056">
    <cfRule type="cellIs" dxfId="188" priority="99" operator="equal">
      <formula>"NonMember"</formula>
    </cfRule>
  </conditionalFormatting>
  <conditionalFormatting sqref="B6055:B6056">
    <cfRule type="cellIs" dxfId="187" priority="97" operator="equal">
      <formula>"Membership"</formula>
    </cfRule>
    <cfRule type="cellIs" dxfId="186" priority="98" operator="equal">
      <formula>"Expenses"</formula>
    </cfRule>
  </conditionalFormatting>
  <conditionalFormatting sqref="B6051">
    <cfRule type="cellIs" dxfId="185" priority="96" operator="equal">
      <formula>"NonMember"</formula>
    </cfRule>
  </conditionalFormatting>
  <conditionalFormatting sqref="B6051">
    <cfRule type="cellIs" dxfId="184" priority="94" operator="equal">
      <formula>"Membership"</formula>
    </cfRule>
    <cfRule type="cellIs" dxfId="183" priority="95" operator="equal">
      <formula>"Expenses"</formula>
    </cfRule>
  </conditionalFormatting>
  <conditionalFormatting sqref="B6072:B6075">
    <cfRule type="cellIs" dxfId="182" priority="91" operator="equal">
      <formula>"Membership"</formula>
    </cfRule>
    <cfRule type="cellIs" dxfId="181" priority="92" operator="equal">
      <formula>"Expenses"</formula>
    </cfRule>
  </conditionalFormatting>
  <conditionalFormatting sqref="B6072:B6075">
    <cfRule type="cellIs" dxfId="180" priority="93" operator="equal">
      <formula>"NonMember"</formula>
    </cfRule>
  </conditionalFormatting>
  <conditionalFormatting sqref="B6093 B6101">
    <cfRule type="cellIs" dxfId="179" priority="88" operator="equal">
      <formula>"Membership"</formula>
    </cfRule>
    <cfRule type="cellIs" dxfId="178" priority="89" operator="equal">
      <formula>"Expenses"</formula>
    </cfRule>
  </conditionalFormatting>
  <conditionalFormatting sqref="B6093 B6101">
    <cfRule type="cellIs" dxfId="177" priority="90" operator="equal">
      <formula>"NonMember"</formula>
    </cfRule>
  </conditionalFormatting>
  <conditionalFormatting sqref="B6109">
    <cfRule type="cellIs" dxfId="176" priority="87" operator="equal">
      <formula>"NonMember"</formula>
    </cfRule>
  </conditionalFormatting>
  <conditionalFormatting sqref="B6109">
    <cfRule type="cellIs" dxfId="175" priority="85" operator="equal">
      <formula>"Membership"</formula>
    </cfRule>
    <cfRule type="cellIs" dxfId="174" priority="86" operator="equal">
      <formula>"Expenses"</formula>
    </cfRule>
  </conditionalFormatting>
  <conditionalFormatting sqref="B6094 B6100">
    <cfRule type="cellIs" dxfId="173" priority="84" operator="equal">
      <formula>"NonMember"</formula>
    </cfRule>
  </conditionalFormatting>
  <conditionalFormatting sqref="B6094 B6100">
    <cfRule type="cellIs" dxfId="172" priority="82" operator="equal">
      <formula>"Membership"</formula>
    </cfRule>
    <cfRule type="cellIs" dxfId="171" priority="83" operator="equal">
      <formula>"Expenses"</formula>
    </cfRule>
  </conditionalFormatting>
  <conditionalFormatting sqref="B6146">
    <cfRule type="cellIs" dxfId="170" priority="81" operator="equal">
      <formula>"NonMember"</formula>
    </cfRule>
  </conditionalFormatting>
  <conditionalFormatting sqref="B6146">
    <cfRule type="cellIs" dxfId="169" priority="79" operator="equal">
      <formula>"Membership"</formula>
    </cfRule>
    <cfRule type="cellIs" dxfId="168" priority="80" operator="equal">
      <formula>"Expenses"</formula>
    </cfRule>
  </conditionalFormatting>
  <conditionalFormatting sqref="B6142 B6144:B6145">
    <cfRule type="cellIs" dxfId="167" priority="78" operator="equal">
      <formula>"NonMember"</formula>
    </cfRule>
  </conditionalFormatting>
  <conditionalFormatting sqref="B6142 B6144:B6145">
    <cfRule type="cellIs" dxfId="166" priority="76" operator="equal">
      <formula>"Membership"</formula>
    </cfRule>
    <cfRule type="cellIs" dxfId="165" priority="77" operator="equal">
      <formula>"Expenses"</formula>
    </cfRule>
  </conditionalFormatting>
  <conditionalFormatting sqref="B6102:B6105">
    <cfRule type="cellIs" dxfId="164" priority="70" operator="equal">
      <formula>"Membership"</formula>
    </cfRule>
    <cfRule type="cellIs" dxfId="163" priority="71" operator="equal">
      <formula>"Expenses"</formula>
    </cfRule>
  </conditionalFormatting>
  <conditionalFormatting sqref="B6102:B6105">
    <cfRule type="cellIs" dxfId="162" priority="72" operator="equal">
      <formula>"NonMember"</formula>
    </cfRule>
  </conditionalFormatting>
  <conditionalFormatting sqref="B6119:B6120">
    <cfRule type="cellIs" dxfId="161" priority="69" operator="equal">
      <formula>"NonMember"</formula>
    </cfRule>
  </conditionalFormatting>
  <conditionalFormatting sqref="B6119:B6120">
    <cfRule type="cellIs" dxfId="160" priority="67" operator="equal">
      <formula>"Membership"</formula>
    </cfRule>
    <cfRule type="cellIs" dxfId="159" priority="68" operator="equal">
      <formula>"Expenses"</formula>
    </cfRule>
  </conditionalFormatting>
  <conditionalFormatting sqref="B6078">
    <cfRule type="cellIs" dxfId="158" priority="66" operator="equal">
      <formula>"NonMember"</formula>
    </cfRule>
  </conditionalFormatting>
  <conditionalFormatting sqref="B6078">
    <cfRule type="cellIs" dxfId="157" priority="64" operator="equal">
      <formula>"Membership"</formula>
    </cfRule>
    <cfRule type="cellIs" dxfId="156" priority="65" operator="equal">
      <formula>"Expenses"</formula>
    </cfRule>
  </conditionalFormatting>
  <conditionalFormatting sqref="B6122:B6123">
    <cfRule type="cellIs" dxfId="155" priority="63" operator="equal">
      <formula>"NonMember"</formula>
    </cfRule>
  </conditionalFormatting>
  <conditionalFormatting sqref="B6122:B6123">
    <cfRule type="cellIs" dxfId="154" priority="61" operator="equal">
      <formula>"Membership"</formula>
    </cfRule>
    <cfRule type="cellIs" dxfId="153" priority="62" operator="equal">
      <formula>"Expenses"</formula>
    </cfRule>
  </conditionalFormatting>
  <conditionalFormatting sqref="B6153:B6155">
    <cfRule type="cellIs" dxfId="152" priority="60" operator="equal">
      <formula>"NonMember"</formula>
    </cfRule>
  </conditionalFormatting>
  <conditionalFormatting sqref="B6153:B6155">
    <cfRule type="cellIs" dxfId="151" priority="58" operator="equal">
      <formula>"Membership"</formula>
    </cfRule>
    <cfRule type="cellIs" dxfId="150" priority="59" operator="equal">
      <formula>"Expenses"</formula>
    </cfRule>
  </conditionalFormatting>
  <conditionalFormatting sqref="B6130:B6133">
    <cfRule type="cellIs" dxfId="149" priority="57" operator="equal">
      <formula>"NonMember"</formula>
    </cfRule>
  </conditionalFormatting>
  <conditionalFormatting sqref="B6130:B6133">
    <cfRule type="cellIs" dxfId="148" priority="55" operator="equal">
      <formula>"Membership"</formula>
    </cfRule>
    <cfRule type="cellIs" dxfId="147" priority="56" operator="equal">
      <formula>"Expenses"</formula>
    </cfRule>
  </conditionalFormatting>
  <conditionalFormatting sqref="B6129">
    <cfRule type="cellIs" dxfId="146" priority="54" operator="equal">
      <formula>"NonMember"</formula>
    </cfRule>
  </conditionalFormatting>
  <conditionalFormatting sqref="B6129">
    <cfRule type="cellIs" dxfId="145" priority="52" operator="equal">
      <formula>"Membership"</formula>
    </cfRule>
    <cfRule type="cellIs" dxfId="144" priority="53" operator="equal">
      <formula>"Expenses"</formula>
    </cfRule>
  </conditionalFormatting>
  <conditionalFormatting sqref="B6116">
    <cfRule type="cellIs" dxfId="143" priority="51" operator="equal">
      <formula>"NonMember"</formula>
    </cfRule>
  </conditionalFormatting>
  <conditionalFormatting sqref="B6116">
    <cfRule type="cellIs" dxfId="142" priority="49" operator="equal">
      <formula>"Membership"</formula>
    </cfRule>
    <cfRule type="cellIs" dxfId="141" priority="50" operator="equal">
      <formula>"Expenses"</formula>
    </cfRule>
  </conditionalFormatting>
  <conditionalFormatting sqref="B6115">
    <cfRule type="cellIs" dxfId="140" priority="48" operator="equal">
      <formula>"NonMember"</formula>
    </cfRule>
  </conditionalFormatting>
  <conditionalFormatting sqref="B6115">
    <cfRule type="cellIs" dxfId="139" priority="46" operator="equal">
      <formula>"Membership"</formula>
    </cfRule>
    <cfRule type="cellIs" dxfId="138" priority="47" operator="equal">
      <formula>"Expenses"</formula>
    </cfRule>
  </conditionalFormatting>
  <conditionalFormatting sqref="B6110">
    <cfRule type="cellIs" dxfId="137" priority="45" operator="equal">
      <formula>"NonMember"</formula>
    </cfRule>
  </conditionalFormatting>
  <conditionalFormatting sqref="B6110">
    <cfRule type="cellIs" dxfId="136" priority="43" operator="equal">
      <formula>"Membership"</formula>
    </cfRule>
    <cfRule type="cellIs" dxfId="135" priority="44" operator="equal">
      <formula>"Expenses"</formula>
    </cfRule>
  </conditionalFormatting>
  <conditionalFormatting sqref="B6114">
    <cfRule type="cellIs" dxfId="134" priority="42" operator="equal">
      <formula>"NonMember"</formula>
    </cfRule>
  </conditionalFormatting>
  <conditionalFormatting sqref="B6114">
    <cfRule type="cellIs" dxfId="133" priority="40" operator="equal">
      <formula>"Membership"</formula>
    </cfRule>
    <cfRule type="cellIs" dxfId="132" priority="41" operator="equal">
      <formula>"Expenses"</formula>
    </cfRule>
  </conditionalFormatting>
  <conditionalFormatting sqref="B6112">
    <cfRule type="cellIs" dxfId="131" priority="39" operator="equal">
      <formula>"NonMember"</formula>
    </cfRule>
  </conditionalFormatting>
  <conditionalFormatting sqref="B6112">
    <cfRule type="cellIs" dxfId="130" priority="37" operator="equal">
      <formula>"Membership"</formula>
    </cfRule>
    <cfRule type="cellIs" dxfId="129" priority="38" operator="equal">
      <formula>"Expenses"</formula>
    </cfRule>
  </conditionalFormatting>
  <conditionalFormatting sqref="B6143">
    <cfRule type="cellIs" dxfId="128" priority="36" operator="equal">
      <formula>"NonMember"</formula>
    </cfRule>
  </conditionalFormatting>
  <conditionalFormatting sqref="B6143">
    <cfRule type="cellIs" dxfId="127" priority="34" operator="equal">
      <formula>"Membership"</formula>
    </cfRule>
    <cfRule type="cellIs" dxfId="126" priority="35" operator="equal">
      <formula>"Expenses"</formula>
    </cfRule>
  </conditionalFormatting>
  <conditionalFormatting sqref="B6113">
    <cfRule type="cellIs" dxfId="125" priority="33" operator="equal">
      <formula>"NonMember"</formula>
    </cfRule>
  </conditionalFormatting>
  <conditionalFormatting sqref="B6113">
    <cfRule type="cellIs" dxfId="124" priority="31" operator="equal">
      <formula>"Membership"</formula>
    </cfRule>
    <cfRule type="cellIs" dxfId="123" priority="32" operator="equal">
      <formula>"Expenses"</formula>
    </cfRule>
  </conditionalFormatting>
  <conditionalFormatting sqref="B6182">
    <cfRule type="cellIs" dxfId="122" priority="28" operator="equal">
      <formula>"Membership"</formula>
    </cfRule>
    <cfRule type="cellIs" dxfId="121" priority="29" operator="equal">
      <formula>"Expenses"</formula>
    </cfRule>
  </conditionalFormatting>
  <conditionalFormatting sqref="B6182">
    <cfRule type="cellIs" dxfId="120" priority="30" operator="equal">
      <formula>"NonMember"</formula>
    </cfRule>
  </conditionalFormatting>
  <conditionalFormatting sqref="B6087:B6090">
    <cfRule type="cellIs" dxfId="119" priority="27" operator="equal">
      <formula>"NonMember"</formula>
    </cfRule>
  </conditionalFormatting>
  <conditionalFormatting sqref="B6087:B6090">
    <cfRule type="cellIs" dxfId="118" priority="25" operator="equal">
      <formula>"Membership"</formula>
    </cfRule>
    <cfRule type="cellIs" dxfId="117" priority="26" operator="equal">
      <formula>"Expenses"</formula>
    </cfRule>
  </conditionalFormatting>
  <conditionalFormatting sqref="B6186">
    <cfRule type="cellIs" dxfId="116" priority="22" operator="equal">
      <formula>"Membership"</formula>
    </cfRule>
    <cfRule type="cellIs" dxfId="115" priority="23" operator="equal">
      <formula>"Expenses"</formula>
    </cfRule>
  </conditionalFormatting>
  <conditionalFormatting sqref="B6186">
    <cfRule type="cellIs" dxfId="114" priority="24" operator="equal">
      <formula>"NonMember"</formula>
    </cfRule>
  </conditionalFormatting>
  <conditionalFormatting sqref="B6189">
    <cfRule type="cellIs" dxfId="113" priority="19" operator="equal">
      <formula>"Membership"</formula>
    </cfRule>
    <cfRule type="cellIs" dxfId="112" priority="20" operator="equal">
      <formula>"Expenses"</formula>
    </cfRule>
  </conditionalFormatting>
  <conditionalFormatting sqref="B6189">
    <cfRule type="cellIs" dxfId="111" priority="21" operator="equal">
      <formula>"NonMember"</formula>
    </cfRule>
  </conditionalFormatting>
  <conditionalFormatting sqref="B6095 B6098:B6099">
    <cfRule type="cellIs" dxfId="110" priority="13" operator="equal">
      <formula>"Membership"</formula>
    </cfRule>
    <cfRule type="cellIs" dxfId="109" priority="14" operator="equal">
      <formula>"Expenses"</formula>
    </cfRule>
  </conditionalFormatting>
  <conditionalFormatting sqref="B6095 B6098:B6099">
    <cfRule type="cellIs" dxfId="108" priority="15" operator="equal">
      <formula>"NonMember"</formula>
    </cfRule>
  </conditionalFormatting>
  <conditionalFormatting sqref="B6096:B6097">
    <cfRule type="cellIs" dxfId="107" priority="12" operator="equal">
      <formula>"NonMember"</formula>
    </cfRule>
  </conditionalFormatting>
  <conditionalFormatting sqref="B6096:B6097">
    <cfRule type="cellIs" dxfId="106" priority="10" operator="equal">
      <formula>"Membership"</formula>
    </cfRule>
    <cfRule type="cellIs" dxfId="105" priority="11" operator="equal">
      <formula>"Expenses"</formula>
    </cfRule>
  </conditionalFormatting>
  <conditionalFormatting sqref="B6187">
    <cfRule type="cellIs" dxfId="104" priority="7" operator="equal">
      <formula>"Membership"</formula>
    </cfRule>
    <cfRule type="cellIs" dxfId="103" priority="8" operator="equal">
      <formula>"Expenses"</formula>
    </cfRule>
  </conditionalFormatting>
  <conditionalFormatting sqref="B6187">
    <cfRule type="cellIs" dxfId="102" priority="9" operator="equal">
      <formula>"NonMember"</formula>
    </cfRule>
  </conditionalFormatting>
  <conditionalFormatting sqref="B6135:B6136">
    <cfRule type="cellIs" dxfId="101" priority="6" operator="equal">
      <formula>"NonMember"</formula>
    </cfRule>
  </conditionalFormatting>
  <conditionalFormatting sqref="B6135:B6136">
    <cfRule type="cellIs" dxfId="100" priority="4" operator="equal">
      <formula>"Membership"</formula>
    </cfRule>
    <cfRule type="cellIs" dxfId="99" priority="5" operator="equal">
      <formula>"Expenses"</formula>
    </cfRule>
  </conditionalFormatting>
  <conditionalFormatting sqref="B6134">
    <cfRule type="cellIs" dxfId="93" priority="1" operator="equal">
      <formula>"Membership"</formula>
    </cfRule>
    <cfRule type="cellIs" dxfId="92" priority="2" operator="equal">
      <formula>"Expenses"</formula>
    </cfRule>
  </conditionalFormatting>
  <conditionalFormatting sqref="B6134">
    <cfRule type="cellIs" dxfId="91" priority="3" operator="equal">
      <formula>"NonMember"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HR61"/>
  <sheetViews>
    <sheetView topLeftCell="A19" zoomScaleNormal="100" workbookViewId="0">
      <pane xSplit="1" topLeftCell="B1" activePane="topRight" state="frozen"/>
      <selection pane="topRight" activeCell="O40" sqref="O40"/>
    </sheetView>
  </sheetViews>
  <sheetFormatPr defaultRowHeight="15" x14ac:dyDescent="0.25"/>
  <cols>
    <col min="1" max="1" width="30.5703125" customWidth="1"/>
    <col min="2" max="19" width="12" customWidth="1"/>
    <col min="20" max="20" width="9.7109375" customWidth="1"/>
    <col min="21" max="21" width="13.28515625" customWidth="1"/>
    <col min="22" max="22" width="9.7109375" customWidth="1"/>
    <col min="23" max="23" width="7.140625" bestFit="1" customWidth="1"/>
    <col min="24" max="24" width="8.85546875" customWidth="1"/>
    <col min="25" max="26" width="12.5703125" customWidth="1"/>
    <col min="27" max="27" width="5.140625" bestFit="1" customWidth="1"/>
    <col min="28" max="28" width="4.140625" bestFit="1" customWidth="1"/>
    <col min="29" max="29" width="3.5703125" bestFit="1" customWidth="1"/>
    <col min="30" max="30" width="4.5703125" bestFit="1" customWidth="1"/>
    <col min="31" max="31" width="4.42578125" bestFit="1" customWidth="1"/>
    <col min="32" max="32" width="4.28515625" bestFit="1" customWidth="1"/>
    <col min="33" max="33" width="4.85546875" bestFit="1" customWidth="1"/>
    <col min="34" max="34" width="4.5703125" bestFit="1" customWidth="1"/>
    <col min="35" max="35" width="7.140625" bestFit="1" customWidth="1"/>
    <col min="36" max="36" width="4.42578125" bestFit="1" customWidth="1"/>
    <col min="37" max="37" width="4.85546875" bestFit="1" customWidth="1"/>
    <col min="38" max="38" width="4.28515625" bestFit="1" customWidth="1"/>
    <col min="39" max="39" width="5.140625" bestFit="1" customWidth="1"/>
    <col min="40" max="40" width="4.140625" bestFit="1" customWidth="1"/>
    <col min="41" max="41" width="3.5703125" bestFit="1" customWidth="1"/>
    <col min="42" max="42" width="4.5703125" bestFit="1" customWidth="1"/>
    <col min="43" max="43" width="4.42578125" bestFit="1" customWidth="1"/>
    <col min="44" max="44" width="4.28515625" bestFit="1" customWidth="1"/>
    <col min="45" max="45" width="4.85546875" bestFit="1" customWidth="1"/>
    <col min="46" max="46" width="4.5703125" bestFit="1" customWidth="1"/>
    <col min="47" max="47" width="7.140625" bestFit="1" customWidth="1"/>
    <col min="48" max="48" width="4.42578125" bestFit="1" customWidth="1"/>
    <col min="49" max="49" width="4.85546875" bestFit="1" customWidth="1"/>
    <col min="50" max="50" width="4.28515625" bestFit="1" customWidth="1"/>
    <col min="51" max="51" width="5.140625" bestFit="1" customWidth="1"/>
    <col min="52" max="52" width="4.140625" bestFit="1" customWidth="1"/>
    <col min="53" max="53" width="3.5703125" bestFit="1" customWidth="1"/>
    <col min="54" max="54" width="4.5703125" bestFit="1" customWidth="1"/>
    <col min="55" max="55" width="4.42578125" bestFit="1" customWidth="1"/>
    <col min="56" max="56" width="4.28515625" bestFit="1" customWidth="1"/>
    <col min="57" max="57" width="4.85546875" bestFit="1" customWidth="1"/>
    <col min="58" max="58" width="4.5703125" bestFit="1" customWidth="1"/>
    <col min="59" max="59" width="7.140625" bestFit="1" customWidth="1"/>
    <col min="60" max="60" width="4.42578125" bestFit="1" customWidth="1"/>
    <col min="61" max="61" width="4.85546875" bestFit="1" customWidth="1"/>
    <col min="62" max="62" width="4.28515625" bestFit="1" customWidth="1"/>
    <col min="63" max="63" width="5.140625" bestFit="1" customWidth="1"/>
    <col min="64" max="64" width="4.140625" bestFit="1" customWidth="1"/>
    <col min="65" max="65" width="3.5703125" bestFit="1" customWidth="1"/>
    <col min="66" max="66" width="4.5703125" bestFit="1" customWidth="1"/>
    <col min="67" max="67" width="4.42578125" bestFit="1" customWidth="1"/>
    <col min="68" max="68" width="4.28515625" bestFit="1" customWidth="1"/>
    <col min="69" max="69" width="4.85546875" bestFit="1" customWidth="1"/>
    <col min="70" max="70" width="4.5703125" bestFit="1" customWidth="1"/>
    <col min="71" max="71" width="7.140625" bestFit="1" customWidth="1"/>
    <col min="72" max="72" width="4.42578125" bestFit="1" customWidth="1"/>
    <col min="73" max="73" width="4.85546875" bestFit="1" customWidth="1"/>
    <col min="74" max="74" width="4.28515625" bestFit="1" customWidth="1"/>
    <col min="75" max="75" width="5.140625" bestFit="1" customWidth="1"/>
    <col min="76" max="76" width="4.140625" bestFit="1" customWidth="1"/>
    <col min="77" max="77" width="3.5703125" bestFit="1" customWidth="1"/>
    <col min="78" max="78" width="4.5703125" bestFit="1" customWidth="1"/>
    <col min="79" max="79" width="4.42578125" bestFit="1" customWidth="1"/>
    <col min="80" max="80" width="4.28515625" bestFit="1" customWidth="1"/>
    <col min="81" max="81" width="4.85546875" bestFit="1" customWidth="1"/>
    <col min="82" max="82" width="4.5703125" bestFit="1" customWidth="1"/>
    <col min="83" max="83" width="7.140625" bestFit="1" customWidth="1"/>
    <col min="84" max="84" width="4.42578125" bestFit="1" customWidth="1"/>
    <col min="85" max="85" width="4.85546875" bestFit="1" customWidth="1"/>
    <col min="86" max="86" width="4.28515625" bestFit="1" customWidth="1"/>
    <col min="87" max="87" width="5.140625" bestFit="1" customWidth="1"/>
    <col min="88" max="88" width="4.140625" bestFit="1" customWidth="1"/>
    <col min="89" max="89" width="3.5703125" bestFit="1" customWidth="1"/>
    <col min="90" max="90" width="4.5703125" bestFit="1" customWidth="1"/>
    <col min="91" max="91" width="4.42578125" bestFit="1" customWidth="1"/>
    <col min="92" max="92" width="4.28515625" bestFit="1" customWidth="1"/>
    <col min="93" max="93" width="4.85546875" bestFit="1" customWidth="1"/>
    <col min="94" max="94" width="4.5703125" bestFit="1" customWidth="1"/>
    <col min="95" max="95" width="7.140625" bestFit="1" customWidth="1"/>
    <col min="96" max="96" width="4.42578125" bestFit="1" customWidth="1"/>
    <col min="97" max="97" width="4.85546875" bestFit="1" customWidth="1"/>
    <col min="98" max="98" width="4.28515625" bestFit="1" customWidth="1"/>
    <col min="99" max="99" width="5.140625" bestFit="1" customWidth="1"/>
    <col min="100" max="100" width="4.140625" bestFit="1" customWidth="1"/>
    <col min="101" max="101" width="3.5703125" bestFit="1" customWidth="1"/>
    <col min="102" max="102" width="4.5703125" bestFit="1" customWidth="1"/>
    <col min="103" max="103" width="4.42578125" bestFit="1" customWidth="1"/>
    <col min="104" max="104" width="4.28515625" bestFit="1" customWidth="1"/>
    <col min="105" max="105" width="4.85546875" bestFit="1" customWidth="1"/>
    <col min="106" max="106" width="4.5703125" bestFit="1" customWidth="1"/>
    <col min="107" max="107" width="7.140625" bestFit="1" customWidth="1"/>
    <col min="108" max="108" width="4.42578125" bestFit="1" customWidth="1"/>
    <col min="109" max="109" width="4.85546875" bestFit="1" customWidth="1"/>
    <col min="110" max="110" width="4.28515625" bestFit="1" customWidth="1"/>
    <col min="111" max="111" width="5.140625" bestFit="1" customWidth="1"/>
    <col min="112" max="112" width="4.140625" bestFit="1" customWidth="1"/>
    <col min="113" max="113" width="3.5703125" bestFit="1" customWidth="1"/>
    <col min="114" max="114" width="4.5703125" bestFit="1" customWidth="1"/>
    <col min="115" max="115" width="4.42578125" bestFit="1" customWidth="1"/>
    <col min="116" max="116" width="4.28515625" bestFit="1" customWidth="1"/>
    <col min="117" max="117" width="4.85546875" bestFit="1" customWidth="1"/>
    <col min="118" max="118" width="4.5703125" bestFit="1" customWidth="1"/>
    <col min="119" max="119" width="7.140625" bestFit="1" customWidth="1"/>
    <col min="120" max="120" width="4.42578125" bestFit="1" customWidth="1"/>
    <col min="121" max="121" width="4.85546875" bestFit="1" customWidth="1"/>
    <col min="122" max="122" width="4.28515625" bestFit="1" customWidth="1"/>
    <col min="123" max="123" width="5.140625" bestFit="1" customWidth="1"/>
    <col min="124" max="124" width="4.140625" bestFit="1" customWidth="1"/>
    <col min="125" max="125" width="3.5703125" bestFit="1" customWidth="1"/>
    <col min="126" max="126" width="4.5703125" bestFit="1" customWidth="1"/>
    <col min="127" max="127" width="4.42578125" bestFit="1" customWidth="1"/>
    <col min="128" max="128" width="4.28515625" bestFit="1" customWidth="1"/>
    <col min="129" max="129" width="4.85546875" bestFit="1" customWidth="1"/>
    <col min="130" max="130" width="4.5703125" bestFit="1" customWidth="1"/>
    <col min="131" max="131" width="7.140625" bestFit="1" customWidth="1"/>
    <col min="132" max="132" width="4.42578125" bestFit="1" customWidth="1"/>
    <col min="133" max="133" width="4.85546875" bestFit="1" customWidth="1"/>
    <col min="134" max="134" width="4.28515625" bestFit="1" customWidth="1"/>
    <col min="135" max="135" width="5.140625" bestFit="1" customWidth="1"/>
    <col min="136" max="136" width="4.140625" bestFit="1" customWidth="1"/>
    <col min="137" max="137" width="3.5703125" bestFit="1" customWidth="1"/>
    <col min="138" max="138" width="4.5703125" bestFit="1" customWidth="1"/>
    <col min="139" max="139" width="4.42578125" bestFit="1" customWidth="1"/>
    <col min="140" max="140" width="4.28515625" bestFit="1" customWidth="1"/>
    <col min="141" max="141" width="4.85546875" bestFit="1" customWidth="1"/>
    <col min="142" max="142" width="4.5703125" bestFit="1" customWidth="1"/>
    <col min="143" max="143" width="7.140625" bestFit="1" customWidth="1"/>
    <col min="144" max="144" width="4.42578125" bestFit="1" customWidth="1"/>
    <col min="145" max="145" width="4.85546875" bestFit="1" customWidth="1"/>
    <col min="146" max="146" width="4.28515625" bestFit="1" customWidth="1"/>
    <col min="147" max="147" width="5.140625" bestFit="1" customWidth="1"/>
    <col min="148" max="148" width="4.140625" bestFit="1" customWidth="1"/>
    <col min="149" max="149" width="3.5703125" bestFit="1" customWidth="1"/>
    <col min="150" max="150" width="4.5703125" bestFit="1" customWidth="1"/>
    <col min="151" max="151" width="4.42578125" bestFit="1" customWidth="1"/>
    <col min="152" max="152" width="4.28515625" bestFit="1" customWidth="1"/>
    <col min="153" max="153" width="4.85546875" bestFit="1" customWidth="1"/>
    <col min="154" max="154" width="4.5703125" bestFit="1" customWidth="1"/>
    <col min="155" max="155" width="7.140625" bestFit="1" customWidth="1"/>
    <col min="156" max="156" width="4.42578125" bestFit="1" customWidth="1"/>
    <col min="157" max="157" width="4.85546875" bestFit="1" customWidth="1"/>
    <col min="158" max="158" width="4.28515625" bestFit="1" customWidth="1"/>
    <col min="159" max="159" width="5.140625" bestFit="1" customWidth="1"/>
    <col min="160" max="160" width="4.140625" bestFit="1" customWidth="1"/>
    <col min="161" max="161" width="3.5703125" bestFit="1" customWidth="1"/>
    <col min="162" max="162" width="4.5703125" bestFit="1" customWidth="1"/>
    <col min="163" max="163" width="4.42578125" bestFit="1" customWidth="1"/>
    <col min="164" max="164" width="4.28515625" bestFit="1" customWidth="1"/>
    <col min="165" max="165" width="4.85546875" bestFit="1" customWidth="1"/>
    <col min="166" max="166" width="4.5703125" bestFit="1" customWidth="1"/>
    <col min="167" max="167" width="7.140625" bestFit="1" customWidth="1"/>
    <col min="168" max="168" width="4.42578125" bestFit="1" customWidth="1"/>
    <col min="169" max="169" width="4.85546875" bestFit="1" customWidth="1"/>
    <col min="170" max="170" width="4.28515625" bestFit="1" customWidth="1"/>
    <col min="171" max="171" width="5.140625" bestFit="1" customWidth="1"/>
    <col min="172" max="172" width="4.140625" bestFit="1" customWidth="1"/>
    <col min="173" max="173" width="3.5703125" bestFit="1" customWidth="1"/>
    <col min="174" max="174" width="4.5703125" bestFit="1" customWidth="1"/>
    <col min="175" max="175" width="4.42578125" bestFit="1" customWidth="1"/>
    <col min="176" max="176" width="4.28515625" bestFit="1" customWidth="1"/>
    <col min="177" max="177" width="4.85546875" bestFit="1" customWidth="1"/>
    <col min="178" max="178" width="4.5703125" bestFit="1" customWidth="1"/>
    <col min="179" max="179" width="7.140625" bestFit="1" customWidth="1"/>
    <col min="180" max="180" width="4.42578125" bestFit="1" customWidth="1"/>
    <col min="181" max="181" width="4.85546875" bestFit="1" customWidth="1"/>
    <col min="182" max="182" width="4.28515625" bestFit="1" customWidth="1"/>
    <col min="183" max="183" width="5.140625" bestFit="1" customWidth="1"/>
    <col min="184" max="184" width="4.140625" bestFit="1" customWidth="1"/>
    <col min="185" max="185" width="3.5703125" bestFit="1" customWidth="1"/>
    <col min="186" max="186" width="4.5703125" bestFit="1" customWidth="1"/>
    <col min="187" max="187" width="4.42578125" bestFit="1" customWidth="1"/>
    <col min="188" max="188" width="4.28515625" bestFit="1" customWidth="1"/>
    <col min="189" max="189" width="4.85546875" bestFit="1" customWidth="1"/>
    <col min="190" max="190" width="4.5703125" bestFit="1" customWidth="1"/>
    <col min="191" max="191" width="7.140625" bestFit="1" customWidth="1"/>
    <col min="192" max="192" width="4.42578125" bestFit="1" customWidth="1"/>
    <col min="193" max="193" width="4.85546875" bestFit="1" customWidth="1"/>
    <col min="194" max="194" width="4.28515625" bestFit="1" customWidth="1"/>
    <col min="195" max="195" width="5.140625" bestFit="1" customWidth="1"/>
    <col min="196" max="196" width="4.140625" bestFit="1" customWidth="1"/>
    <col min="197" max="197" width="3.5703125" bestFit="1" customWidth="1"/>
    <col min="198" max="198" width="4.5703125" bestFit="1" customWidth="1"/>
    <col min="199" max="199" width="4.42578125" bestFit="1" customWidth="1"/>
    <col min="200" max="200" width="4.28515625" bestFit="1" customWidth="1"/>
    <col min="201" max="201" width="4.85546875" bestFit="1" customWidth="1"/>
    <col min="202" max="202" width="4.5703125" bestFit="1" customWidth="1"/>
    <col min="203" max="203" width="7.140625" bestFit="1" customWidth="1"/>
    <col min="204" max="204" width="4.42578125" bestFit="1" customWidth="1"/>
    <col min="205" max="205" width="4.85546875" bestFit="1" customWidth="1"/>
    <col min="206" max="206" width="4.28515625" bestFit="1" customWidth="1"/>
    <col min="207" max="207" width="5.140625" bestFit="1" customWidth="1"/>
    <col min="208" max="208" width="4.140625" bestFit="1" customWidth="1"/>
    <col min="209" max="209" width="3.5703125" bestFit="1" customWidth="1"/>
    <col min="210" max="210" width="4.5703125" bestFit="1" customWidth="1"/>
    <col min="211" max="211" width="4.42578125" bestFit="1" customWidth="1"/>
    <col min="212" max="212" width="4.28515625" bestFit="1" customWidth="1"/>
    <col min="213" max="213" width="4.85546875" bestFit="1" customWidth="1"/>
    <col min="214" max="214" width="4.5703125" bestFit="1" customWidth="1"/>
    <col min="215" max="215" width="7.140625" bestFit="1" customWidth="1"/>
    <col min="216" max="216" width="11.5703125" bestFit="1" customWidth="1"/>
    <col min="217" max="217" width="9.7109375" bestFit="1" customWidth="1"/>
    <col min="218" max="218" width="6.7109375" bestFit="1" customWidth="1"/>
    <col min="219" max="219" width="4.85546875" bestFit="1" customWidth="1"/>
    <col min="220" max="220" width="4" bestFit="1" customWidth="1"/>
    <col min="221" max="221" width="9.7109375" bestFit="1" customWidth="1"/>
    <col min="222" max="222" width="6.7109375" bestFit="1" customWidth="1"/>
    <col min="223" max="223" width="4.42578125" bestFit="1" customWidth="1"/>
    <col min="224" max="224" width="4.28515625" bestFit="1" customWidth="1"/>
    <col min="225" max="225" width="9.7109375" bestFit="1" customWidth="1"/>
    <col min="226" max="226" width="6.7109375" bestFit="1" customWidth="1"/>
    <col min="227" max="227" width="4.5703125" bestFit="1" customWidth="1"/>
    <col min="228" max="228" width="4.28515625" bestFit="1" customWidth="1"/>
    <col min="229" max="229" width="9.7109375" bestFit="1" customWidth="1"/>
    <col min="230" max="230" width="9.85546875" bestFit="1" customWidth="1"/>
    <col min="231" max="231" width="6.85546875" bestFit="1" customWidth="1"/>
    <col min="232" max="232" width="4.28515625" bestFit="1" customWidth="1"/>
    <col min="233" max="233" width="4.5703125" bestFit="1" customWidth="1"/>
    <col min="234" max="234" width="9.7109375" bestFit="1" customWidth="1"/>
    <col min="235" max="235" width="6.7109375" bestFit="1" customWidth="1"/>
    <col min="236" max="236" width="4.85546875" bestFit="1" customWidth="1"/>
    <col min="237" max="237" width="4" bestFit="1" customWidth="1"/>
    <col min="238" max="238" width="9.7109375" bestFit="1" customWidth="1"/>
    <col min="239" max="239" width="6.7109375" bestFit="1" customWidth="1"/>
    <col min="240" max="240" width="4.42578125" bestFit="1" customWidth="1"/>
    <col min="241" max="241" width="4.28515625" bestFit="1" customWidth="1"/>
    <col min="242" max="242" width="9.7109375" bestFit="1" customWidth="1"/>
    <col min="243" max="243" width="6.7109375" bestFit="1" customWidth="1"/>
    <col min="244" max="244" width="4.5703125" bestFit="1" customWidth="1"/>
    <col min="245" max="245" width="4.28515625" bestFit="1" customWidth="1"/>
    <col min="246" max="246" width="9.7109375" bestFit="1" customWidth="1"/>
    <col min="247" max="247" width="9.85546875" bestFit="1" customWidth="1"/>
    <col min="248" max="248" width="6.85546875" bestFit="1" customWidth="1"/>
    <col min="249" max="249" width="4.28515625" bestFit="1" customWidth="1"/>
    <col min="250" max="250" width="4.5703125" bestFit="1" customWidth="1"/>
    <col min="251" max="251" width="9.7109375" bestFit="1" customWidth="1"/>
    <col min="252" max="252" width="6.7109375" bestFit="1" customWidth="1"/>
    <col min="253" max="253" width="4.85546875" bestFit="1" customWidth="1"/>
    <col min="254" max="254" width="4" bestFit="1" customWidth="1"/>
    <col min="255" max="255" width="9.7109375" bestFit="1" customWidth="1"/>
    <col min="256" max="256" width="6.7109375" bestFit="1" customWidth="1"/>
    <col min="257" max="257" width="4.42578125" bestFit="1" customWidth="1"/>
    <col min="258" max="258" width="4.28515625" bestFit="1" customWidth="1"/>
    <col min="259" max="259" width="9.7109375" bestFit="1" customWidth="1"/>
    <col min="260" max="260" width="6.7109375" bestFit="1" customWidth="1"/>
    <col min="261" max="261" width="4.5703125" bestFit="1" customWidth="1"/>
    <col min="262" max="262" width="4.28515625" bestFit="1" customWidth="1"/>
    <col min="263" max="263" width="9.7109375" bestFit="1" customWidth="1"/>
    <col min="264" max="264" width="9.85546875" bestFit="1" customWidth="1"/>
    <col min="265" max="265" width="6.85546875" bestFit="1" customWidth="1"/>
    <col min="266" max="266" width="4.28515625" bestFit="1" customWidth="1"/>
    <col min="267" max="267" width="4.5703125" bestFit="1" customWidth="1"/>
    <col min="268" max="268" width="9.7109375" bestFit="1" customWidth="1"/>
    <col min="269" max="269" width="6.7109375" bestFit="1" customWidth="1"/>
    <col min="270" max="270" width="4.85546875" bestFit="1" customWidth="1"/>
    <col min="271" max="271" width="4" bestFit="1" customWidth="1"/>
    <col min="272" max="272" width="9.7109375" bestFit="1" customWidth="1"/>
    <col min="273" max="273" width="6.7109375" bestFit="1" customWidth="1"/>
    <col min="274" max="274" width="4.42578125" bestFit="1" customWidth="1"/>
    <col min="275" max="275" width="4.28515625" bestFit="1" customWidth="1"/>
    <col min="276" max="276" width="9.7109375" bestFit="1" customWidth="1"/>
    <col min="277" max="277" width="6.7109375" bestFit="1" customWidth="1"/>
    <col min="278" max="278" width="4.5703125" bestFit="1" customWidth="1"/>
    <col min="279" max="279" width="4.28515625" bestFit="1" customWidth="1"/>
    <col min="280" max="280" width="9.7109375" bestFit="1" customWidth="1"/>
    <col min="281" max="281" width="9.85546875" bestFit="1" customWidth="1"/>
    <col min="282" max="282" width="6.85546875" bestFit="1" customWidth="1"/>
    <col min="283" max="283" width="4.28515625" bestFit="1" customWidth="1"/>
    <col min="284" max="284" width="4.5703125" bestFit="1" customWidth="1"/>
    <col min="285" max="285" width="9.7109375" bestFit="1" customWidth="1"/>
    <col min="286" max="286" width="6.7109375" bestFit="1" customWidth="1"/>
    <col min="287" max="287" width="4.85546875" bestFit="1" customWidth="1"/>
    <col min="288" max="288" width="4" bestFit="1" customWidth="1"/>
    <col min="289" max="289" width="9.7109375" bestFit="1" customWidth="1"/>
    <col min="290" max="290" width="6.7109375" bestFit="1" customWidth="1"/>
    <col min="291" max="291" width="4.42578125" bestFit="1" customWidth="1"/>
    <col min="292" max="292" width="4.28515625" bestFit="1" customWidth="1"/>
    <col min="293" max="293" width="9.7109375" bestFit="1" customWidth="1"/>
    <col min="294" max="294" width="6.7109375" bestFit="1" customWidth="1"/>
    <col min="295" max="295" width="4.5703125" bestFit="1" customWidth="1"/>
    <col min="296" max="296" width="4.28515625" bestFit="1" customWidth="1"/>
    <col min="297" max="297" width="9.7109375" bestFit="1" customWidth="1"/>
    <col min="298" max="298" width="9.85546875" bestFit="1" customWidth="1"/>
    <col min="299" max="299" width="11.28515625" bestFit="1" customWidth="1"/>
    <col min="300" max="300" width="6.7109375" bestFit="1" customWidth="1"/>
    <col min="301" max="301" width="4.5703125" bestFit="1" customWidth="1"/>
    <col min="302" max="302" width="9.7109375" bestFit="1" customWidth="1"/>
    <col min="303" max="303" width="9.85546875" bestFit="1" customWidth="1"/>
    <col min="304" max="304" width="11.28515625" bestFit="1" customWidth="1"/>
  </cols>
  <sheetData>
    <row r="1" spans="1:226" ht="15.75" x14ac:dyDescent="0.25">
      <c r="A1" s="6" t="s">
        <v>113</v>
      </c>
      <c r="B1" s="3">
        <f ca="1">SUM(LineItems!E:E)-G1</f>
        <v>415.84887967741759</v>
      </c>
      <c r="C1">
        <f>MATCH("Income Total",A20:A56,)</f>
        <v>26</v>
      </c>
      <c r="D1" s="17" t="s">
        <v>119</v>
      </c>
      <c r="E1">
        <f ca="1">MATCH(TEXT(TODAY(),"MMM"),E19:V19,0)</f>
        <v>9</v>
      </c>
      <c r="F1" t="s">
        <v>135</v>
      </c>
      <c r="G1" s="5">
        <f ca="1">SUM(OFFSET(E19,C1,E1,1,1):OFFSET(E19,C1,E1+17,1,1))</f>
        <v>90.005000000000024</v>
      </c>
      <c r="H1" s="17" t="s">
        <v>136</v>
      </c>
      <c r="I1">
        <f>MATCH("Count of Paid",A20:A76,)</f>
        <v>42</v>
      </c>
      <c r="J1" s="1">
        <v>43405</v>
      </c>
      <c r="K1" s="1">
        <v>44196</v>
      </c>
    </row>
    <row r="2" spans="1:226" ht="15.75" x14ac:dyDescent="0.25">
      <c r="A2" s="6" t="s">
        <v>175</v>
      </c>
      <c r="B2" s="18">
        <f ca="1">SUM(OFFSET(B19,$I$1,0))</f>
        <v>30</v>
      </c>
      <c r="C2" s="18">
        <f t="shared" ref="C2:S2" ca="1" si="0">SUM(OFFSET(C19,$I$1,0))</f>
        <v>30</v>
      </c>
      <c r="D2" s="18">
        <f t="shared" ca="1" si="0"/>
        <v>30</v>
      </c>
      <c r="E2" s="18">
        <f t="shared" ca="1" si="0"/>
        <v>30</v>
      </c>
      <c r="F2" s="18">
        <f t="shared" ca="1" si="0"/>
        <v>30</v>
      </c>
      <c r="G2" s="18">
        <f t="shared" ca="1" si="0"/>
        <v>27</v>
      </c>
      <c r="H2" s="18">
        <f t="shared" ca="1" si="0"/>
        <v>25</v>
      </c>
      <c r="I2" s="18">
        <f t="shared" ca="1" si="0"/>
        <v>25</v>
      </c>
      <c r="J2" s="18">
        <f t="shared" ca="1" si="0"/>
        <v>22</v>
      </c>
      <c r="K2" s="18">
        <f t="shared" ca="1" si="0"/>
        <v>21</v>
      </c>
      <c r="L2" s="18">
        <f t="shared" ca="1" si="0"/>
        <v>24</v>
      </c>
      <c r="M2" s="18">
        <f t="shared" ca="1" si="0"/>
        <v>22</v>
      </c>
      <c r="N2" s="18">
        <f t="shared" ca="1" si="0"/>
        <v>12</v>
      </c>
      <c r="O2" s="18">
        <f t="shared" ca="1" si="0"/>
        <v>6</v>
      </c>
      <c r="P2" s="18">
        <f t="shared" ca="1" si="0"/>
        <v>2</v>
      </c>
      <c r="Q2" s="18">
        <f t="shared" ca="1" si="0"/>
        <v>2</v>
      </c>
      <c r="R2" s="18">
        <f t="shared" ca="1" si="0"/>
        <v>1</v>
      </c>
      <c r="S2" s="18">
        <f t="shared" ca="1" si="0"/>
        <v>0</v>
      </c>
      <c r="T2" s="18">
        <f ca="1">SUM(OFFSET(T19,$I$1,0))</f>
        <v>0</v>
      </c>
      <c r="U2" s="18">
        <f ca="1">SUM(OFFSET(U19,$I$1,0))</f>
        <v>0</v>
      </c>
      <c r="V2" s="18">
        <f ca="1">SUM(OFFSET(V19,$I$1,0))</f>
        <v>0</v>
      </c>
    </row>
    <row r="3" spans="1:226" ht="15.75" x14ac:dyDescent="0.25">
      <c r="A3" s="6" t="s">
        <v>105</v>
      </c>
      <c r="B3" s="3">
        <f t="shared" ref="B3:S3" ca="1" si="1">OFFSET(B19,$C1,0,1,1)+B15</f>
        <v>-190.54899999999998</v>
      </c>
      <c r="C3" s="3">
        <f t="shared" ca="1" si="1"/>
        <v>44.820999999999998</v>
      </c>
      <c r="D3" s="3">
        <f t="shared" ca="1" si="1"/>
        <v>-8.6189999999999856</v>
      </c>
      <c r="E3" s="3">
        <f t="shared" ca="1" si="1"/>
        <v>-70.888999999999982</v>
      </c>
      <c r="F3" s="3">
        <f t="shared" ca="1" si="1"/>
        <v>-32.468999999999966</v>
      </c>
      <c r="G3" s="3">
        <f t="shared" ca="1" si="1"/>
        <v>75.100999999999999</v>
      </c>
      <c r="H3" s="3">
        <f t="shared" ca="1" si="1"/>
        <v>-55.228999999999985</v>
      </c>
      <c r="I3" s="3">
        <f t="shared" ca="1" si="1"/>
        <v>-38.678999999999988</v>
      </c>
      <c r="J3" s="3">
        <f t="shared" ca="1" si="1"/>
        <v>38.161000000000016</v>
      </c>
      <c r="K3" s="3">
        <f t="shared" ca="1" si="1"/>
        <v>10.741</v>
      </c>
      <c r="L3" s="3">
        <f t="shared" ca="1" si="1"/>
        <v>-17.729000000000013</v>
      </c>
      <c r="M3" s="3">
        <f t="shared" ca="1" si="1"/>
        <v>101.251</v>
      </c>
      <c r="N3" s="3">
        <f t="shared" ca="1" si="1"/>
        <v>50.001000000000005</v>
      </c>
      <c r="O3" s="3">
        <f t="shared" ca="1" si="1"/>
        <v>20.000999999999998</v>
      </c>
      <c r="P3" s="3">
        <f t="shared" ca="1" si="1"/>
        <v>1.000000000000334E-3</v>
      </c>
      <c r="Q3" s="3">
        <f t="shared" ca="1" si="1"/>
        <v>1.000000000000334E-3</v>
      </c>
      <c r="R3" s="3">
        <f t="shared" ca="1" si="1"/>
        <v>-4.9989999999999997</v>
      </c>
      <c r="S3" s="3">
        <f t="shared" ca="1" si="1"/>
        <v>0</v>
      </c>
      <c r="T3" s="3">
        <f ca="1">OFFSET(T19,$C1,0,1,1)+T15</f>
        <v>0</v>
      </c>
      <c r="U3" s="3">
        <f ca="1">OFFSET(U19,$C1,0,1,1)+U15</f>
        <v>0</v>
      </c>
      <c r="V3" s="3">
        <f ca="1">OFFSET(V19,$C1,0,1,1)+V15</f>
        <v>0</v>
      </c>
    </row>
    <row r="4" spans="1:226" ht="15.75" x14ac:dyDescent="0.25">
      <c r="A4" s="6" t="s">
        <v>173</v>
      </c>
      <c r="B4" s="3">
        <f ca="1">SUM(OFFSET(B19,$C$1,0))</f>
        <v>123.521</v>
      </c>
      <c r="C4" s="3">
        <f t="shared" ref="C4:S4" ca="1" si="2">SUM(OFFSET(C19,$C$1,0))</f>
        <v>116.911</v>
      </c>
      <c r="D4" s="3">
        <f t="shared" ca="1" si="2"/>
        <v>118.111</v>
      </c>
      <c r="E4" s="3">
        <f t="shared" ca="1" si="2"/>
        <v>119.351</v>
      </c>
      <c r="F4" s="3">
        <f t="shared" ca="1" si="2"/>
        <v>123.74100000000001</v>
      </c>
      <c r="G4" s="3">
        <f t="shared" ca="1" si="2"/>
        <v>125.20100000000001</v>
      </c>
      <c r="H4" s="3">
        <f t="shared" ca="1" si="2"/>
        <v>124.751</v>
      </c>
      <c r="I4" s="3">
        <f t="shared" ca="1" si="2"/>
        <v>108.95100000000001</v>
      </c>
      <c r="J4" s="3">
        <f t="shared" ca="1" si="2"/>
        <v>115.101</v>
      </c>
      <c r="K4" s="3">
        <f t="shared" ca="1" si="2"/>
        <v>108.261</v>
      </c>
      <c r="L4" s="3">
        <f t="shared" ca="1" si="2"/>
        <v>129.30099999999999</v>
      </c>
      <c r="M4" s="3">
        <f t="shared" ca="1" si="2"/>
        <v>109.251</v>
      </c>
      <c r="N4" s="3">
        <f t="shared" ca="1" si="2"/>
        <v>55.001000000000005</v>
      </c>
      <c r="O4" s="3">
        <f t="shared" ca="1" si="2"/>
        <v>25.000999999999998</v>
      </c>
      <c r="P4" s="3">
        <f t="shared" ca="1" si="2"/>
        <v>5.0010000000000003</v>
      </c>
      <c r="Q4" s="3">
        <f t="shared" ca="1" si="2"/>
        <v>5.0010000000000003</v>
      </c>
      <c r="R4" s="3">
        <f t="shared" ca="1" si="2"/>
        <v>1E-3</v>
      </c>
      <c r="S4" s="3">
        <f t="shared" ca="1" si="2"/>
        <v>0</v>
      </c>
      <c r="T4" s="3">
        <f ca="1">SUM(OFFSET(T19,$C$1,0))</f>
        <v>0</v>
      </c>
      <c r="U4" s="3">
        <f ca="1">SUM(OFFSET(U19,$C$1,0))</f>
        <v>0</v>
      </c>
      <c r="V4" s="3">
        <f ca="1">SUM(OFFSET(V19,$C$1,0))</f>
        <v>0</v>
      </c>
    </row>
    <row r="5" spans="1:226" ht="15.75" x14ac:dyDescent="0.25">
      <c r="A5" s="6" t="s">
        <v>117</v>
      </c>
      <c r="B5" s="3">
        <f>(B15-B14)*(-1)</f>
        <v>169.07</v>
      </c>
      <c r="C5" s="3">
        <f t="shared" ref="C5:V5" si="3">(C15-C14)*(-1)</f>
        <v>72.09</v>
      </c>
      <c r="D5" s="3">
        <f t="shared" si="3"/>
        <v>126.72999999999999</v>
      </c>
      <c r="E5" s="3">
        <f t="shared" si="3"/>
        <v>190.23999999999998</v>
      </c>
      <c r="F5" s="3">
        <f t="shared" si="3"/>
        <v>156.20999999999998</v>
      </c>
      <c r="G5" s="3">
        <f t="shared" si="3"/>
        <v>50.1</v>
      </c>
      <c r="H5" s="3">
        <f t="shared" si="3"/>
        <v>179.98</v>
      </c>
      <c r="I5" s="3">
        <f t="shared" si="3"/>
        <v>147.63</v>
      </c>
      <c r="J5" s="3">
        <f t="shared" si="3"/>
        <v>76.939999999999984</v>
      </c>
      <c r="K5" s="3">
        <f t="shared" si="3"/>
        <v>97.52</v>
      </c>
      <c r="L5" s="3">
        <f t="shared" si="3"/>
        <v>147.03</v>
      </c>
      <c r="M5" s="3">
        <f t="shared" si="3"/>
        <v>8</v>
      </c>
      <c r="N5" s="3">
        <f t="shared" si="3"/>
        <v>5</v>
      </c>
      <c r="O5" s="3">
        <f t="shared" si="3"/>
        <v>5</v>
      </c>
      <c r="P5" s="3">
        <f t="shared" si="3"/>
        <v>5</v>
      </c>
      <c r="Q5" s="3">
        <f t="shared" si="3"/>
        <v>5</v>
      </c>
      <c r="R5" s="3">
        <f t="shared" si="3"/>
        <v>5</v>
      </c>
      <c r="S5" s="3">
        <f t="shared" si="3"/>
        <v>0</v>
      </c>
      <c r="T5" s="3">
        <f t="shared" si="3"/>
        <v>0</v>
      </c>
      <c r="U5" s="3">
        <f t="shared" si="3"/>
        <v>0</v>
      </c>
      <c r="V5" s="3">
        <f t="shared" si="3"/>
        <v>0</v>
      </c>
    </row>
    <row r="6" spans="1:226" ht="15.75" x14ac:dyDescent="0.25">
      <c r="A6" s="7" t="s">
        <v>138</v>
      </c>
      <c r="B6" s="44" t="s">
        <v>139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</row>
    <row r="7" spans="1:226" s="4" customFormat="1" ht="15.75" x14ac:dyDescent="0.25">
      <c r="A7" s="6"/>
      <c r="B7" s="10" t="s">
        <v>120</v>
      </c>
      <c r="C7" s="10"/>
      <c r="D7" s="60" t="s">
        <v>176</v>
      </c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" t="s">
        <v>198</v>
      </c>
      <c r="Q7" s="6"/>
      <c r="R7" s="6" t="s">
        <v>211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</row>
    <row r="8" spans="1:226" ht="15.75" x14ac:dyDescent="0.25">
      <c r="A8" s="8" t="s">
        <v>141</v>
      </c>
      <c r="B8" s="61" t="s">
        <v>6</v>
      </c>
      <c r="C8" s="61" t="s">
        <v>5</v>
      </c>
      <c r="D8" s="6" t="s">
        <v>4</v>
      </c>
      <c r="E8" s="6" t="s">
        <v>3</v>
      </c>
      <c r="F8" s="6" t="s">
        <v>2</v>
      </c>
      <c r="G8" s="6" t="s">
        <v>1</v>
      </c>
      <c r="H8" s="6" t="s">
        <v>0</v>
      </c>
      <c r="I8" s="6" t="s">
        <v>121</v>
      </c>
      <c r="J8" s="6" t="s">
        <v>122</v>
      </c>
      <c r="K8" s="6" t="s">
        <v>8</v>
      </c>
      <c r="L8" s="6" t="s">
        <v>123</v>
      </c>
      <c r="M8" s="6" t="s">
        <v>7</v>
      </c>
      <c r="N8" s="6" t="s">
        <v>6</v>
      </c>
      <c r="O8" s="6" t="s">
        <v>5</v>
      </c>
      <c r="P8" s="6" t="s">
        <v>4</v>
      </c>
      <c r="Q8" s="6" t="s">
        <v>3</v>
      </c>
      <c r="R8" s="6" t="s">
        <v>2</v>
      </c>
    </row>
    <row r="9" spans="1:226" ht="15.75" x14ac:dyDescent="0.25">
      <c r="A9" s="9" t="s">
        <v>100</v>
      </c>
      <c r="B9" s="43">
        <v>-78.319999999999993</v>
      </c>
      <c r="C9" s="43">
        <v>-19.96</v>
      </c>
      <c r="D9" s="43">
        <v>-78.319999999999993</v>
      </c>
      <c r="E9" s="43">
        <v>-78.319999999999993</v>
      </c>
      <c r="F9" s="43">
        <v>-74.319999999999993</v>
      </c>
      <c r="G9" s="43"/>
      <c r="H9" s="43">
        <v>-74.319999999999993</v>
      </c>
      <c r="I9" s="43">
        <v>-62.45</v>
      </c>
      <c r="J9" s="43"/>
      <c r="K9" s="43">
        <v>-77.52</v>
      </c>
      <c r="L9" s="43">
        <v>-71.92</v>
      </c>
      <c r="M9" s="43"/>
      <c r="N9" s="43"/>
      <c r="O9" s="43"/>
      <c r="P9" s="43"/>
      <c r="Q9" s="43"/>
      <c r="R9" s="43"/>
    </row>
    <row r="10" spans="1:226" ht="15.75" x14ac:dyDescent="0.25">
      <c r="A10" s="9" t="s">
        <v>102</v>
      </c>
      <c r="B10" s="43">
        <v>-69.789999999999992</v>
      </c>
      <c r="C10" s="43">
        <v>-47.129999999999995</v>
      </c>
      <c r="D10" s="43">
        <v>-27.14</v>
      </c>
      <c r="E10" s="43">
        <v>-66.760000000000005</v>
      </c>
      <c r="F10" s="43">
        <v>-61.22</v>
      </c>
      <c r="G10" s="43">
        <v>-19.410000000000004</v>
      </c>
      <c r="H10" s="43">
        <v>-80</v>
      </c>
      <c r="I10" s="43">
        <v>-58.23</v>
      </c>
      <c r="J10" s="43">
        <v>-67.949999999999989</v>
      </c>
      <c r="K10" s="43">
        <v>-15</v>
      </c>
      <c r="L10" s="43">
        <v>-59.14</v>
      </c>
      <c r="M10" s="43">
        <v>-3</v>
      </c>
      <c r="N10" s="43"/>
      <c r="O10" s="43"/>
      <c r="P10" s="43"/>
      <c r="Q10" s="43"/>
      <c r="R10" s="43"/>
    </row>
    <row r="11" spans="1:226" ht="15.75" x14ac:dyDescent="0.25">
      <c r="A11" s="9" t="s">
        <v>103</v>
      </c>
      <c r="B11" s="43">
        <v>-3.98</v>
      </c>
      <c r="C11" s="43"/>
      <c r="D11" s="43">
        <v>-3.98</v>
      </c>
      <c r="E11" s="43">
        <v>-28.490000000000002</v>
      </c>
      <c r="F11" s="43">
        <v>-5.98</v>
      </c>
      <c r="G11" s="43">
        <v>-8.7200000000000006</v>
      </c>
      <c r="H11" s="43">
        <v>-5.98</v>
      </c>
      <c r="I11" s="43">
        <v>-10.97</v>
      </c>
      <c r="J11" s="43"/>
      <c r="K11" s="43"/>
      <c r="L11" s="43">
        <v>-10.97</v>
      </c>
      <c r="M11" s="43"/>
      <c r="N11" s="43"/>
      <c r="O11" s="43"/>
      <c r="P11" s="43"/>
      <c r="Q11" s="43"/>
      <c r="R11" s="43"/>
    </row>
    <row r="12" spans="1:226" ht="15.75" x14ac:dyDescent="0.25">
      <c r="A12" s="9" t="s">
        <v>101</v>
      </c>
      <c r="B12" s="43">
        <v>-2.99</v>
      </c>
      <c r="C12" s="43"/>
      <c r="D12" s="43">
        <v>-12.29</v>
      </c>
      <c r="E12" s="43">
        <v>-2.69</v>
      </c>
      <c r="F12" s="43">
        <v>-4.6900000000000004</v>
      </c>
      <c r="G12" s="43">
        <v>-5.78</v>
      </c>
      <c r="H12" s="43">
        <v>-14.68</v>
      </c>
      <c r="I12" s="43"/>
      <c r="J12" s="43">
        <v>-3.99</v>
      </c>
      <c r="K12" s="43"/>
      <c r="L12" s="43"/>
      <c r="M12" s="43"/>
      <c r="N12" s="43"/>
      <c r="O12" s="43"/>
      <c r="P12" s="43"/>
      <c r="Q12" s="43"/>
      <c r="R12" s="43"/>
    </row>
    <row r="13" spans="1:226" ht="15.75" x14ac:dyDescent="0.25">
      <c r="A13" s="9" t="s">
        <v>104</v>
      </c>
      <c r="B13" s="43">
        <v>-13.99</v>
      </c>
      <c r="C13" s="43">
        <v>-5</v>
      </c>
      <c r="D13" s="43">
        <v>-5</v>
      </c>
      <c r="E13" s="43">
        <v>-13.98</v>
      </c>
      <c r="F13" s="43">
        <v>-10</v>
      </c>
      <c r="G13" s="43">
        <v>-16.189999999999998</v>
      </c>
      <c r="H13" s="43">
        <v>-5</v>
      </c>
      <c r="I13" s="43">
        <v>-15.98</v>
      </c>
      <c r="J13" s="43">
        <v>-5</v>
      </c>
      <c r="K13" s="43">
        <v>-5</v>
      </c>
      <c r="L13" s="43">
        <v>-5</v>
      </c>
      <c r="M13" s="43">
        <v>-5</v>
      </c>
      <c r="N13" s="43">
        <v>-5</v>
      </c>
      <c r="O13" s="43">
        <v>-5</v>
      </c>
      <c r="P13" s="43">
        <v>-5</v>
      </c>
      <c r="Q13" s="43">
        <v>-5</v>
      </c>
      <c r="R13" s="43">
        <v>-5</v>
      </c>
    </row>
    <row r="14" spans="1:226" ht="15.75" x14ac:dyDescent="0.25">
      <c r="A14" s="9" t="s">
        <v>143</v>
      </c>
      <c r="B14" s="43">
        <v>-145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</row>
    <row r="15" spans="1:226" ht="15.75" x14ac:dyDescent="0.25">
      <c r="A15" s="9" t="s">
        <v>112</v>
      </c>
      <c r="B15" s="43">
        <v>-314.07</v>
      </c>
      <c r="C15" s="43">
        <v>-72.09</v>
      </c>
      <c r="D15" s="43">
        <v>-126.72999999999999</v>
      </c>
      <c r="E15" s="43">
        <v>-190.23999999999998</v>
      </c>
      <c r="F15" s="43">
        <v>-156.20999999999998</v>
      </c>
      <c r="G15" s="43">
        <v>-50.1</v>
      </c>
      <c r="H15" s="43">
        <v>-179.98</v>
      </c>
      <c r="I15" s="43">
        <v>-147.63</v>
      </c>
      <c r="J15" s="43">
        <v>-76.939999999999984</v>
      </c>
      <c r="K15" s="43">
        <v>-97.52</v>
      </c>
      <c r="L15" s="43">
        <v>-147.03</v>
      </c>
      <c r="M15" s="43">
        <v>-8</v>
      </c>
      <c r="N15" s="43">
        <v>-5</v>
      </c>
      <c r="O15" s="43">
        <v>-5</v>
      </c>
      <c r="P15" s="43">
        <v>-5</v>
      </c>
      <c r="Q15" s="43">
        <v>-5</v>
      </c>
      <c r="R15" s="43">
        <v>-5</v>
      </c>
    </row>
    <row r="16" spans="1:226" ht="15.75" x14ac:dyDescent="0.25">
      <c r="A16" s="9" t="s">
        <v>193</v>
      </c>
      <c r="B16" s="2">
        <f ca="1">B5/B2</f>
        <v>5.6356666666666664</v>
      </c>
      <c r="C16" s="2">
        <f t="shared" ref="C16:V16" ca="1" si="4">C5/C2</f>
        <v>2.403</v>
      </c>
      <c r="D16" s="2">
        <f t="shared" ca="1" si="4"/>
        <v>4.2243333333333331</v>
      </c>
      <c r="E16" s="2">
        <f t="shared" ca="1" si="4"/>
        <v>6.341333333333333</v>
      </c>
      <c r="F16" s="2">
        <f t="shared" ca="1" si="4"/>
        <v>5.206999999999999</v>
      </c>
      <c r="G16" s="2">
        <f t="shared" ca="1" si="4"/>
        <v>1.8555555555555556</v>
      </c>
      <c r="H16" s="2">
        <f t="shared" ca="1" si="4"/>
        <v>7.1991999999999994</v>
      </c>
      <c r="I16" s="2">
        <f t="shared" ca="1" si="4"/>
        <v>5.9051999999999998</v>
      </c>
      <c r="J16" s="2">
        <f t="shared" ca="1" si="4"/>
        <v>3.4972727272727266</v>
      </c>
      <c r="K16" s="2">
        <f t="shared" ca="1" si="4"/>
        <v>4.6438095238095238</v>
      </c>
      <c r="L16" s="2">
        <f t="shared" ca="1" si="4"/>
        <v>6.1262499999999998</v>
      </c>
      <c r="M16" s="2">
        <f t="shared" ca="1" si="4"/>
        <v>0.36363636363636365</v>
      </c>
      <c r="N16" s="2">
        <f t="shared" ca="1" si="4"/>
        <v>0.41666666666666669</v>
      </c>
      <c r="O16" s="2">
        <f t="shared" ca="1" si="4"/>
        <v>0.83333333333333337</v>
      </c>
      <c r="P16" s="2">
        <f t="shared" ca="1" si="4"/>
        <v>2.5</v>
      </c>
      <c r="Q16" s="2">
        <f t="shared" ca="1" si="4"/>
        <v>2.5</v>
      </c>
      <c r="R16" s="2">
        <f t="shared" ca="1" si="4"/>
        <v>5</v>
      </c>
      <c r="S16" s="2" t="e">
        <f t="shared" ca="1" si="4"/>
        <v>#DIV/0!</v>
      </c>
      <c r="T16" s="2" t="e">
        <f t="shared" ca="1" si="4"/>
        <v>#DIV/0!</v>
      </c>
      <c r="U16" s="2" t="e">
        <f t="shared" ca="1" si="4"/>
        <v>#DIV/0!</v>
      </c>
      <c r="V16" s="2" t="e">
        <f t="shared" ca="1" si="4"/>
        <v>#DIV/0!</v>
      </c>
    </row>
    <row r="17" spans="1:34" ht="18.75" x14ac:dyDescent="0.3">
      <c r="A17" s="62" t="s">
        <v>140</v>
      </c>
      <c r="B17" s="62" t="s">
        <v>139</v>
      </c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</row>
    <row r="18" spans="1:34" ht="18.75" x14ac:dyDescent="0.3">
      <c r="A18" s="63"/>
      <c r="B18" s="66" t="s">
        <v>120</v>
      </c>
      <c r="C18" s="66"/>
      <c r="D18" s="67" t="s">
        <v>176</v>
      </c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5" t="s">
        <v>198</v>
      </c>
      <c r="Q18" s="65"/>
      <c r="R18" s="65"/>
      <c r="AH18" s="3"/>
    </row>
    <row r="19" spans="1:34" ht="18.75" x14ac:dyDescent="0.3">
      <c r="A19" s="62" t="s">
        <v>137</v>
      </c>
      <c r="B19" s="68" t="s">
        <v>6</v>
      </c>
      <c r="C19" s="68" t="s">
        <v>5</v>
      </c>
      <c r="D19" s="69" t="s">
        <v>4</v>
      </c>
      <c r="E19" s="69" t="s">
        <v>3</v>
      </c>
      <c r="F19" s="69" t="s">
        <v>2</v>
      </c>
      <c r="G19" s="69" t="s">
        <v>1</v>
      </c>
      <c r="H19" s="69" t="s">
        <v>0</v>
      </c>
      <c r="I19" s="69" t="s">
        <v>121</v>
      </c>
      <c r="J19" s="69" t="s">
        <v>122</v>
      </c>
      <c r="K19" s="70" t="s">
        <v>8</v>
      </c>
      <c r="L19" s="70" t="s">
        <v>123</v>
      </c>
      <c r="M19" s="70" t="s">
        <v>7</v>
      </c>
      <c r="N19" s="70" t="s">
        <v>6</v>
      </c>
      <c r="O19" s="70" t="s">
        <v>5</v>
      </c>
      <c r="P19" s="70" t="s">
        <v>4</v>
      </c>
      <c r="Q19" s="70" t="s">
        <v>3</v>
      </c>
      <c r="R19" s="70" t="s">
        <v>2</v>
      </c>
    </row>
    <row r="20" spans="1:34" ht="18.75" x14ac:dyDescent="0.3">
      <c r="A20" s="64" t="s">
        <v>99</v>
      </c>
      <c r="B20" s="71">
        <v>18.52</v>
      </c>
      <c r="C20" s="71">
        <v>11.91</v>
      </c>
      <c r="D20" s="71">
        <v>13.110000000000001</v>
      </c>
      <c r="E20" s="71">
        <v>14.350000000000001</v>
      </c>
      <c r="F20" s="71">
        <v>18.740000000000002</v>
      </c>
      <c r="G20" s="71">
        <v>20.2</v>
      </c>
      <c r="H20" s="71">
        <v>19.75</v>
      </c>
      <c r="I20" s="71">
        <v>7.95</v>
      </c>
      <c r="J20" s="71">
        <v>15.1</v>
      </c>
      <c r="K20" s="71">
        <v>8.26</v>
      </c>
      <c r="L20" s="71">
        <v>14.3</v>
      </c>
      <c r="M20" s="71">
        <v>4.25</v>
      </c>
      <c r="N20" s="71">
        <v>0</v>
      </c>
      <c r="O20" s="71">
        <v>0</v>
      </c>
      <c r="P20" s="71">
        <v>0</v>
      </c>
      <c r="Q20" s="71">
        <v>0</v>
      </c>
      <c r="R20" s="71"/>
    </row>
    <row r="21" spans="1:34" ht="18.75" x14ac:dyDescent="0.3">
      <c r="A21" s="64" t="s">
        <v>48</v>
      </c>
      <c r="B21" s="72">
        <v>5</v>
      </c>
      <c r="C21" s="72">
        <v>5</v>
      </c>
      <c r="D21" s="72">
        <v>5</v>
      </c>
      <c r="E21" s="72">
        <v>5</v>
      </c>
      <c r="F21" s="72">
        <v>5</v>
      </c>
      <c r="G21" s="72">
        <v>5</v>
      </c>
      <c r="H21" s="72">
        <v>5</v>
      </c>
      <c r="I21" s="72">
        <v>5</v>
      </c>
      <c r="J21" s="72">
        <v>5</v>
      </c>
      <c r="K21" s="72">
        <v>5</v>
      </c>
      <c r="L21" s="72">
        <v>5</v>
      </c>
      <c r="M21" s="72">
        <v>5</v>
      </c>
      <c r="N21" s="72">
        <v>5</v>
      </c>
      <c r="O21" s="72"/>
      <c r="P21" s="72"/>
      <c r="Q21" s="72"/>
      <c r="R21" s="72"/>
    </row>
    <row r="22" spans="1:34" ht="18.75" x14ac:dyDescent="0.3">
      <c r="A22" s="64" t="s">
        <v>49</v>
      </c>
      <c r="B22" s="72">
        <v>5</v>
      </c>
      <c r="C22" s="72">
        <v>5</v>
      </c>
      <c r="D22" s="72">
        <v>5</v>
      </c>
      <c r="E22" s="72">
        <v>5</v>
      </c>
      <c r="F22" s="72">
        <v>5</v>
      </c>
      <c r="G22" s="72">
        <v>5</v>
      </c>
      <c r="H22" s="72">
        <v>5</v>
      </c>
      <c r="I22" s="72">
        <v>5</v>
      </c>
      <c r="J22" s="72">
        <v>5</v>
      </c>
      <c r="K22" s="72">
        <v>5</v>
      </c>
      <c r="L22" s="72">
        <v>5</v>
      </c>
      <c r="M22" s="72">
        <v>5</v>
      </c>
      <c r="N22" s="72"/>
      <c r="O22" s="72"/>
      <c r="P22" s="72"/>
      <c r="Q22" s="72"/>
      <c r="R22" s="72"/>
    </row>
    <row r="23" spans="1:34" ht="18.75" x14ac:dyDescent="0.3">
      <c r="A23" s="64" t="s">
        <v>50</v>
      </c>
      <c r="B23" s="72">
        <v>5</v>
      </c>
      <c r="C23" s="72">
        <v>5</v>
      </c>
      <c r="D23" s="72">
        <v>5</v>
      </c>
      <c r="E23" s="72">
        <v>5</v>
      </c>
      <c r="F23" s="72">
        <v>5</v>
      </c>
      <c r="G23" s="72">
        <v>5</v>
      </c>
      <c r="H23" s="72">
        <v>5</v>
      </c>
      <c r="I23" s="72">
        <v>5</v>
      </c>
      <c r="J23" s="72">
        <v>5</v>
      </c>
      <c r="K23" s="72">
        <v>5</v>
      </c>
      <c r="L23" s="72">
        <v>5</v>
      </c>
      <c r="M23" s="72">
        <v>5</v>
      </c>
      <c r="N23" s="72"/>
      <c r="O23" s="72"/>
      <c r="P23" s="72"/>
      <c r="Q23" s="72"/>
      <c r="R23" s="72"/>
    </row>
    <row r="24" spans="1:34" ht="18.75" x14ac:dyDescent="0.3">
      <c r="A24" s="64" t="s">
        <v>51</v>
      </c>
      <c r="B24" s="72">
        <v>5</v>
      </c>
      <c r="C24" s="72">
        <v>5</v>
      </c>
      <c r="D24" s="72">
        <v>5</v>
      </c>
      <c r="E24" s="72">
        <v>5</v>
      </c>
      <c r="F24" s="72">
        <v>5</v>
      </c>
      <c r="G24" s="72">
        <v>5</v>
      </c>
      <c r="H24" s="72">
        <v>5</v>
      </c>
      <c r="I24" s="72">
        <v>5</v>
      </c>
      <c r="J24" s="72">
        <v>5</v>
      </c>
      <c r="K24" s="72">
        <v>5</v>
      </c>
      <c r="L24" s="72">
        <v>5</v>
      </c>
      <c r="M24" s="72">
        <v>5</v>
      </c>
      <c r="N24" s="72"/>
      <c r="O24" s="72"/>
      <c r="P24" s="72"/>
      <c r="Q24" s="72"/>
      <c r="R24" s="72"/>
    </row>
    <row r="25" spans="1:34" ht="18.75" x14ac:dyDescent="0.3">
      <c r="A25" s="64" t="s">
        <v>52</v>
      </c>
      <c r="B25" s="72">
        <v>5</v>
      </c>
      <c r="C25" s="72">
        <v>5</v>
      </c>
      <c r="D25" s="72">
        <v>5</v>
      </c>
      <c r="E25" s="72">
        <v>5</v>
      </c>
      <c r="F25" s="72">
        <v>5</v>
      </c>
      <c r="G25" s="72">
        <v>5</v>
      </c>
      <c r="H25" s="72">
        <v>5</v>
      </c>
      <c r="I25" s="72">
        <v>5</v>
      </c>
      <c r="J25" s="72">
        <v>5</v>
      </c>
      <c r="K25" s="72">
        <v>5</v>
      </c>
      <c r="L25" s="72">
        <v>5</v>
      </c>
      <c r="M25" s="72">
        <v>5</v>
      </c>
      <c r="N25" s="72"/>
      <c r="O25" s="72"/>
      <c r="P25" s="72"/>
      <c r="Q25" s="72"/>
      <c r="R25" s="72"/>
    </row>
    <row r="26" spans="1:34" ht="18.75" x14ac:dyDescent="0.3">
      <c r="A26" s="64" t="s">
        <v>190</v>
      </c>
      <c r="B26" s="72">
        <v>5</v>
      </c>
      <c r="C26" s="72">
        <v>5</v>
      </c>
      <c r="D26" s="72">
        <v>5</v>
      </c>
      <c r="E26" s="72">
        <v>5</v>
      </c>
      <c r="F26" s="72">
        <v>5</v>
      </c>
      <c r="G26" s="72">
        <v>5</v>
      </c>
      <c r="H26" s="72">
        <v>5</v>
      </c>
      <c r="I26" s="72">
        <v>5</v>
      </c>
      <c r="J26" s="72">
        <v>5</v>
      </c>
      <c r="K26" s="72">
        <v>5</v>
      </c>
      <c r="L26" s="72">
        <v>5</v>
      </c>
      <c r="M26" s="72">
        <v>5</v>
      </c>
      <c r="N26" s="72"/>
      <c r="O26" s="72"/>
      <c r="P26" s="72"/>
      <c r="Q26" s="72"/>
      <c r="R26" s="72"/>
    </row>
    <row r="27" spans="1:34" ht="18.75" x14ac:dyDescent="0.3">
      <c r="A27" s="64" t="s">
        <v>55</v>
      </c>
      <c r="B27" s="72">
        <v>5</v>
      </c>
      <c r="C27" s="72">
        <v>5</v>
      </c>
      <c r="D27" s="72">
        <v>5</v>
      </c>
      <c r="E27" s="72">
        <v>5</v>
      </c>
      <c r="F27" s="72">
        <v>5</v>
      </c>
      <c r="G27" s="72">
        <v>5</v>
      </c>
      <c r="H27" s="72">
        <v>5</v>
      </c>
      <c r="I27" s="72">
        <v>5</v>
      </c>
      <c r="J27" s="72">
        <v>5</v>
      </c>
      <c r="K27" s="72">
        <v>5</v>
      </c>
      <c r="L27" s="72">
        <v>5</v>
      </c>
      <c r="M27" s="72">
        <v>5</v>
      </c>
      <c r="N27" s="72"/>
      <c r="O27" s="72"/>
      <c r="P27" s="72"/>
      <c r="Q27" s="72"/>
      <c r="R27" s="72"/>
    </row>
    <row r="28" spans="1:34" ht="18.75" x14ac:dyDescent="0.3">
      <c r="A28" s="64" t="s">
        <v>58</v>
      </c>
      <c r="B28" s="72">
        <v>5</v>
      </c>
      <c r="C28" s="72">
        <v>5</v>
      </c>
      <c r="D28" s="72">
        <v>5</v>
      </c>
      <c r="E28" s="72">
        <v>5</v>
      </c>
      <c r="F28" s="72">
        <v>5</v>
      </c>
      <c r="G28" s="72">
        <v>5</v>
      </c>
      <c r="H28" s="72">
        <v>5</v>
      </c>
      <c r="I28" s="72">
        <v>5</v>
      </c>
      <c r="J28" s="72">
        <v>5</v>
      </c>
      <c r="K28" s="72">
        <v>5</v>
      </c>
      <c r="L28" s="72">
        <v>5</v>
      </c>
      <c r="M28" s="72">
        <v>5</v>
      </c>
      <c r="N28" s="72">
        <v>5</v>
      </c>
      <c r="O28" s="72">
        <v>5</v>
      </c>
      <c r="P28" s="72">
        <v>5</v>
      </c>
      <c r="Q28" s="72">
        <v>5</v>
      </c>
      <c r="R28" s="72"/>
      <c r="X28" s="3"/>
    </row>
    <row r="29" spans="1:34" ht="18.75" x14ac:dyDescent="0.3">
      <c r="A29" s="64" t="s">
        <v>149</v>
      </c>
      <c r="B29" s="72">
        <v>5</v>
      </c>
      <c r="C29" s="72">
        <v>5</v>
      </c>
      <c r="D29" s="72">
        <v>5</v>
      </c>
      <c r="E29" s="72">
        <v>5</v>
      </c>
      <c r="F29" s="72">
        <v>5</v>
      </c>
      <c r="G29" s="72">
        <v>5</v>
      </c>
      <c r="H29" s="72">
        <v>5</v>
      </c>
      <c r="I29" s="72">
        <v>5</v>
      </c>
      <c r="J29" s="72"/>
      <c r="K29" s="72"/>
      <c r="L29" s="72">
        <v>5</v>
      </c>
      <c r="M29" s="72">
        <v>5</v>
      </c>
      <c r="N29" s="72">
        <v>5</v>
      </c>
      <c r="O29" s="72">
        <v>5</v>
      </c>
      <c r="P29" s="72"/>
      <c r="Q29" s="72"/>
      <c r="R29" s="72"/>
    </row>
    <row r="30" spans="1:34" ht="18.75" x14ac:dyDescent="0.3">
      <c r="A30" s="64" t="s">
        <v>65</v>
      </c>
      <c r="B30" s="72">
        <v>5</v>
      </c>
      <c r="C30" s="72">
        <v>5</v>
      </c>
      <c r="D30" s="72">
        <v>5</v>
      </c>
      <c r="E30" s="72">
        <v>5</v>
      </c>
      <c r="F30" s="72">
        <v>5</v>
      </c>
      <c r="G30" s="72">
        <v>5</v>
      </c>
      <c r="H30" s="72">
        <v>5</v>
      </c>
      <c r="I30" s="72">
        <v>5</v>
      </c>
      <c r="J30" s="72">
        <v>5</v>
      </c>
      <c r="K30" s="72">
        <v>5</v>
      </c>
      <c r="L30" s="72">
        <v>5</v>
      </c>
      <c r="M30" s="72">
        <v>5</v>
      </c>
      <c r="N30" s="72"/>
      <c r="O30" s="72"/>
      <c r="P30" s="72"/>
      <c r="Q30" s="72"/>
      <c r="R30" s="72"/>
    </row>
    <row r="31" spans="1:34" ht="18.75" x14ac:dyDescent="0.3">
      <c r="A31" s="64" t="s">
        <v>66</v>
      </c>
      <c r="B31" s="72">
        <v>5</v>
      </c>
      <c r="C31" s="72">
        <v>5</v>
      </c>
      <c r="D31" s="72">
        <v>5</v>
      </c>
      <c r="E31" s="72">
        <v>5</v>
      </c>
      <c r="F31" s="72">
        <v>5</v>
      </c>
      <c r="G31" s="72">
        <v>5</v>
      </c>
      <c r="H31" s="72">
        <v>5</v>
      </c>
      <c r="I31" s="72">
        <v>5</v>
      </c>
      <c r="J31" s="72">
        <v>5</v>
      </c>
      <c r="K31" s="72">
        <v>5</v>
      </c>
      <c r="L31" s="72">
        <v>5</v>
      </c>
      <c r="M31" s="72">
        <v>5</v>
      </c>
      <c r="N31" s="72">
        <v>5</v>
      </c>
      <c r="O31" s="72">
        <v>5</v>
      </c>
      <c r="P31" s="72"/>
      <c r="Q31" s="72"/>
      <c r="R31" s="72"/>
    </row>
    <row r="32" spans="1:34" ht="18.75" x14ac:dyDescent="0.3">
      <c r="A32" s="64" t="s">
        <v>75</v>
      </c>
      <c r="B32" s="72">
        <v>5</v>
      </c>
      <c r="C32" s="72">
        <v>5</v>
      </c>
      <c r="D32" s="72">
        <v>5</v>
      </c>
      <c r="E32" s="72">
        <v>5</v>
      </c>
      <c r="F32" s="72">
        <v>5</v>
      </c>
      <c r="G32" s="72">
        <v>5</v>
      </c>
      <c r="H32" s="72">
        <v>5</v>
      </c>
      <c r="I32" s="72">
        <v>5</v>
      </c>
      <c r="J32" s="72">
        <v>5</v>
      </c>
      <c r="K32" s="72">
        <v>5</v>
      </c>
      <c r="L32" s="72">
        <v>5</v>
      </c>
      <c r="M32" s="72"/>
      <c r="N32" s="72"/>
      <c r="O32" s="72"/>
      <c r="P32" s="72"/>
      <c r="Q32" s="72"/>
      <c r="R32" s="72"/>
    </row>
    <row r="33" spans="1:18" ht="18.75" x14ac:dyDescent="0.3">
      <c r="A33" s="64" t="s">
        <v>76</v>
      </c>
      <c r="B33" s="72">
        <v>1E-3</v>
      </c>
      <c r="C33" s="72">
        <v>1E-3</v>
      </c>
      <c r="D33" s="72">
        <v>1E-3</v>
      </c>
      <c r="E33" s="72">
        <v>1E-3</v>
      </c>
      <c r="F33" s="72">
        <v>1E-3</v>
      </c>
      <c r="G33" s="72">
        <v>1E-3</v>
      </c>
      <c r="H33" s="72">
        <v>1E-3</v>
      </c>
      <c r="I33" s="72">
        <v>1E-3</v>
      </c>
      <c r="J33" s="72">
        <v>1E-3</v>
      </c>
      <c r="K33" s="72">
        <v>1E-3</v>
      </c>
      <c r="L33" s="72">
        <v>1E-3</v>
      </c>
      <c r="M33" s="72">
        <v>1E-3</v>
      </c>
      <c r="N33" s="72">
        <v>1E-3</v>
      </c>
      <c r="O33" s="72">
        <v>1E-3</v>
      </c>
      <c r="P33" s="72">
        <v>1E-3</v>
      </c>
      <c r="Q33" s="72">
        <v>1E-3</v>
      </c>
      <c r="R33" s="72">
        <v>1E-3</v>
      </c>
    </row>
    <row r="34" spans="1:18" ht="18.75" x14ac:dyDescent="0.3">
      <c r="A34" s="64" t="s">
        <v>204</v>
      </c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>
        <v>5</v>
      </c>
      <c r="M34" s="72">
        <v>5</v>
      </c>
      <c r="N34" s="72">
        <v>5</v>
      </c>
      <c r="O34" s="72">
        <v>5</v>
      </c>
      <c r="P34" s="72"/>
      <c r="Q34" s="72"/>
      <c r="R34" s="72"/>
    </row>
    <row r="35" spans="1:18" ht="18.75" x14ac:dyDescent="0.3">
      <c r="A35" s="64" t="s">
        <v>147</v>
      </c>
      <c r="B35" s="72">
        <v>5</v>
      </c>
      <c r="C35" s="72">
        <v>5</v>
      </c>
      <c r="D35" s="72">
        <v>5</v>
      </c>
      <c r="E35" s="72">
        <v>5</v>
      </c>
      <c r="F35" s="72">
        <v>5</v>
      </c>
      <c r="G35" s="72">
        <v>5</v>
      </c>
      <c r="H35" s="72">
        <v>5</v>
      </c>
      <c r="I35" s="72">
        <v>5</v>
      </c>
      <c r="J35" s="72">
        <v>5</v>
      </c>
      <c r="K35" s="72"/>
      <c r="L35" s="72">
        <v>5</v>
      </c>
      <c r="M35" s="72"/>
      <c r="N35" s="72"/>
      <c r="O35" s="72"/>
      <c r="P35" s="72"/>
      <c r="Q35" s="72"/>
      <c r="R35" s="72"/>
    </row>
    <row r="36" spans="1:18" ht="18.75" x14ac:dyDescent="0.3">
      <c r="A36" s="64" t="s">
        <v>82</v>
      </c>
      <c r="B36" s="72">
        <v>5</v>
      </c>
      <c r="C36" s="72">
        <v>5</v>
      </c>
      <c r="D36" s="72">
        <v>5</v>
      </c>
      <c r="E36" s="72">
        <v>5</v>
      </c>
      <c r="F36" s="72">
        <v>5</v>
      </c>
      <c r="G36" s="72">
        <v>5</v>
      </c>
      <c r="H36" s="72">
        <v>5</v>
      </c>
      <c r="I36" s="72">
        <v>5</v>
      </c>
      <c r="J36" s="72">
        <v>5</v>
      </c>
      <c r="K36" s="72">
        <v>5</v>
      </c>
      <c r="L36" s="72">
        <v>5</v>
      </c>
      <c r="M36" s="72">
        <v>5</v>
      </c>
      <c r="N36" s="72">
        <v>5</v>
      </c>
      <c r="O36" s="72">
        <v>5</v>
      </c>
      <c r="P36" s="72"/>
      <c r="Q36" s="72"/>
      <c r="R36" s="72"/>
    </row>
    <row r="37" spans="1:18" ht="18.75" x14ac:dyDescent="0.3">
      <c r="A37" s="106" t="s">
        <v>84</v>
      </c>
      <c r="B37" s="72">
        <v>5</v>
      </c>
      <c r="C37" s="72">
        <v>5</v>
      </c>
      <c r="D37" s="72">
        <v>5</v>
      </c>
      <c r="E37" s="72">
        <v>5</v>
      </c>
      <c r="F37" s="72">
        <v>5</v>
      </c>
      <c r="G37" s="72">
        <v>5</v>
      </c>
      <c r="H37" s="72">
        <v>5</v>
      </c>
      <c r="I37" s="72">
        <v>5</v>
      </c>
      <c r="J37" s="72">
        <v>5</v>
      </c>
      <c r="K37" s="72">
        <v>5</v>
      </c>
      <c r="L37" s="72">
        <v>5</v>
      </c>
      <c r="M37" s="72">
        <v>5</v>
      </c>
      <c r="N37" s="72">
        <v>5</v>
      </c>
      <c r="O37" s="72"/>
      <c r="P37" s="72"/>
      <c r="Q37" s="72"/>
      <c r="R37" s="72"/>
    </row>
    <row r="38" spans="1:18" ht="18.75" x14ac:dyDescent="0.3">
      <c r="A38" s="64" t="s">
        <v>87</v>
      </c>
      <c r="B38" s="72">
        <v>5</v>
      </c>
      <c r="C38" s="72">
        <v>5</v>
      </c>
      <c r="D38" s="72">
        <v>5</v>
      </c>
      <c r="E38" s="72">
        <v>5</v>
      </c>
      <c r="F38" s="72">
        <v>5</v>
      </c>
      <c r="G38" s="72">
        <v>5</v>
      </c>
      <c r="H38" s="72">
        <v>5</v>
      </c>
      <c r="I38" s="72">
        <v>5</v>
      </c>
      <c r="J38" s="72">
        <v>5</v>
      </c>
      <c r="K38" s="72">
        <v>5</v>
      </c>
      <c r="L38" s="72">
        <v>5</v>
      </c>
      <c r="M38" s="72">
        <v>5</v>
      </c>
      <c r="N38" s="72"/>
      <c r="O38" s="72"/>
      <c r="P38" s="72"/>
      <c r="Q38" s="72"/>
      <c r="R38" s="72"/>
    </row>
    <row r="39" spans="1:18" ht="18.75" x14ac:dyDescent="0.3">
      <c r="A39" s="106" t="s">
        <v>93</v>
      </c>
      <c r="B39" s="72">
        <v>5</v>
      </c>
      <c r="C39" s="72">
        <v>5</v>
      </c>
      <c r="D39" s="72">
        <v>5</v>
      </c>
      <c r="E39" s="72">
        <v>5</v>
      </c>
      <c r="F39" s="72">
        <v>5</v>
      </c>
      <c r="G39" s="72">
        <v>5</v>
      </c>
      <c r="H39" s="72">
        <v>5</v>
      </c>
      <c r="I39" s="72">
        <v>1</v>
      </c>
      <c r="J39" s="72">
        <v>5</v>
      </c>
      <c r="K39" s="72">
        <v>5</v>
      </c>
      <c r="L39" s="72">
        <v>5</v>
      </c>
      <c r="M39" s="72">
        <v>5</v>
      </c>
      <c r="N39" s="72">
        <v>5</v>
      </c>
      <c r="O39" s="72"/>
      <c r="P39" s="72"/>
      <c r="Q39" s="72"/>
      <c r="R39" s="72"/>
    </row>
    <row r="40" spans="1:18" ht="18.75" x14ac:dyDescent="0.3">
      <c r="A40" s="105" t="s">
        <v>148</v>
      </c>
      <c r="B40" s="72">
        <v>5</v>
      </c>
      <c r="C40" s="72">
        <v>5</v>
      </c>
      <c r="D40" s="72">
        <v>5</v>
      </c>
      <c r="E40" s="72">
        <v>5</v>
      </c>
      <c r="F40" s="72">
        <v>5</v>
      </c>
      <c r="G40" s="72">
        <v>5</v>
      </c>
      <c r="H40" s="72">
        <v>5</v>
      </c>
      <c r="I40" s="72">
        <v>5</v>
      </c>
      <c r="J40" s="72">
        <v>5</v>
      </c>
      <c r="K40" s="72">
        <v>5</v>
      </c>
      <c r="L40" s="72">
        <v>5</v>
      </c>
      <c r="M40" s="72">
        <v>5</v>
      </c>
      <c r="N40" s="72"/>
      <c r="O40" s="72"/>
      <c r="P40" s="72"/>
      <c r="Q40" s="72"/>
      <c r="R40" s="72"/>
    </row>
    <row r="41" spans="1:18" ht="18.75" x14ac:dyDescent="0.3">
      <c r="A41" s="64" t="s">
        <v>199</v>
      </c>
      <c r="B41" s="72"/>
      <c r="C41" s="72"/>
      <c r="D41" s="72"/>
      <c r="E41" s="72"/>
      <c r="F41" s="72"/>
      <c r="G41" s="72"/>
      <c r="H41" s="72"/>
      <c r="I41" s="72"/>
      <c r="J41" s="72"/>
      <c r="K41" s="72">
        <v>5</v>
      </c>
      <c r="L41" s="72">
        <v>5</v>
      </c>
      <c r="M41" s="72">
        <v>5</v>
      </c>
      <c r="N41" s="72">
        <v>5</v>
      </c>
      <c r="O41" s="72"/>
      <c r="P41" s="72"/>
      <c r="Q41" s="72"/>
      <c r="R41" s="72"/>
    </row>
    <row r="42" spans="1:18" ht="18.75" x14ac:dyDescent="0.3">
      <c r="A42" s="64" t="s">
        <v>96</v>
      </c>
      <c r="B42" s="72">
        <v>5</v>
      </c>
      <c r="C42" s="72">
        <v>5</v>
      </c>
      <c r="D42" s="72">
        <v>5</v>
      </c>
      <c r="E42" s="72">
        <v>5</v>
      </c>
      <c r="F42" s="72">
        <v>5</v>
      </c>
      <c r="G42" s="72">
        <v>5</v>
      </c>
      <c r="H42" s="72">
        <v>5</v>
      </c>
      <c r="I42" s="72">
        <v>5</v>
      </c>
      <c r="J42" s="72">
        <v>5</v>
      </c>
      <c r="K42" s="72">
        <v>5</v>
      </c>
      <c r="L42" s="72">
        <v>5</v>
      </c>
      <c r="M42" s="72">
        <v>5</v>
      </c>
      <c r="N42" s="72">
        <v>5</v>
      </c>
      <c r="O42" s="72"/>
      <c r="P42" s="72"/>
      <c r="Q42" s="72"/>
      <c r="R42" s="72"/>
    </row>
    <row r="43" spans="1:18" ht="18.75" x14ac:dyDescent="0.3">
      <c r="A43" s="64" t="s">
        <v>98</v>
      </c>
      <c r="B43" s="72">
        <v>5</v>
      </c>
      <c r="C43" s="72">
        <v>5</v>
      </c>
      <c r="D43" s="72">
        <v>5</v>
      </c>
      <c r="E43" s="72">
        <v>5</v>
      </c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/>
      <c r="P43" s="72"/>
      <c r="Q43" s="72"/>
      <c r="R43" s="72"/>
    </row>
    <row r="44" spans="1:18" ht="18.75" x14ac:dyDescent="0.3">
      <c r="A44" s="64" t="s">
        <v>97</v>
      </c>
      <c r="B44" s="72">
        <v>5</v>
      </c>
      <c r="C44" s="72">
        <v>5</v>
      </c>
      <c r="D44" s="72">
        <v>5</v>
      </c>
      <c r="E44" s="72">
        <v>5</v>
      </c>
      <c r="F44" s="72">
        <v>5</v>
      </c>
      <c r="G44" s="72">
        <v>5</v>
      </c>
      <c r="H44" s="72">
        <v>5</v>
      </c>
      <c r="I44" s="72">
        <v>5</v>
      </c>
      <c r="J44" s="72">
        <v>5</v>
      </c>
      <c r="K44" s="72">
        <v>5</v>
      </c>
      <c r="L44" s="72">
        <v>5</v>
      </c>
      <c r="M44" s="72">
        <v>5</v>
      </c>
      <c r="N44" s="72"/>
      <c r="O44" s="72"/>
      <c r="P44" s="72"/>
      <c r="Q44" s="72"/>
      <c r="R44" s="72"/>
    </row>
    <row r="45" spans="1:18" ht="18.75" x14ac:dyDescent="0.3">
      <c r="A45" s="64" t="s">
        <v>202</v>
      </c>
      <c r="B45" s="72">
        <v>123.521</v>
      </c>
      <c r="C45" s="72">
        <v>116.911</v>
      </c>
      <c r="D45" s="72">
        <v>118.111</v>
      </c>
      <c r="E45" s="72">
        <v>119.351</v>
      </c>
      <c r="F45" s="72">
        <v>123.74100000000001</v>
      </c>
      <c r="G45" s="72">
        <v>125.20100000000001</v>
      </c>
      <c r="H45" s="72">
        <v>124.751</v>
      </c>
      <c r="I45" s="72">
        <v>108.95100000000001</v>
      </c>
      <c r="J45" s="72">
        <v>115.101</v>
      </c>
      <c r="K45" s="72">
        <v>108.261</v>
      </c>
      <c r="L45" s="72">
        <v>129.30099999999999</v>
      </c>
      <c r="M45" s="72">
        <v>109.251</v>
      </c>
      <c r="N45" s="72">
        <v>55.001000000000005</v>
      </c>
      <c r="O45" s="72">
        <v>25.000999999999998</v>
      </c>
      <c r="P45" s="72">
        <v>5.0010000000000003</v>
      </c>
      <c r="Q45" s="72">
        <v>5.0010000000000003</v>
      </c>
      <c r="R45" s="72">
        <v>1E-3</v>
      </c>
    </row>
    <row r="52" spans="1:22" x14ac:dyDescent="0.25">
      <c r="S52" s="3"/>
      <c r="T52" s="3"/>
      <c r="U52" s="3"/>
      <c r="V52" s="3"/>
    </row>
    <row r="57" spans="1:22" x14ac:dyDescent="0.25">
      <c r="A57" s="16" t="s">
        <v>116</v>
      </c>
      <c r="B57" s="45" t="s">
        <v>115</v>
      </c>
    </row>
    <row r="59" spans="1:22" x14ac:dyDescent="0.25">
      <c r="B59" s="45" t="s">
        <v>120</v>
      </c>
      <c r="C59" s="45"/>
      <c r="D59" t="s">
        <v>176</v>
      </c>
      <c r="P59" t="s">
        <v>198</v>
      </c>
    </row>
    <row r="60" spans="1:22" x14ac:dyDescent="0.25">
      <c r="B60" t="s">
        <v>6</v>
      </c>
      <c r="C60" t="s">
        <v>5</v>
      </c>
      <c r="D60" t="s">
        <v>4</v>
      </c>
      <c r="E60" t="s">
        <v>3</v>
      </c>
      <c r="F60" t="s">
        <v>2</v>
      </c>
      <c r="G60" t="s">
        <v>1</v>
      </c>
      <c r="H60" t="s">
        <v>0</v>
      </c>
      <c r="I60" t="s">
        <v>121</v>
      </c>
      <c r="J60" t="s">
        <v>122</v>
      </c>
      <c r="K60" t="s">
        <v>8</v>
      </c>
      <c r="L60" t="s">
        <v>123</v>
      </c>
      <c r="M60" t="s">
        <v>7</v>
      </c>
      <c r="N60" t="s">
        <v>6</v>
      </c>
      <c r="O60" t="s">
        <v>5</v>
      </c>
      <c r="P60" t="s">
        <v>4</v>
      </c>
      <c r="Q60" t="s">
        <v>3</v>
      </c>
      <c r="R60" t="s">
        <v>2</v>
      </c>
    </row>
    <row r="61" spans="1:22" x14ac:dyDescent="0.25">
      <c r="A61" t="s">
        <v>174</v>
      </c>
      <c r="B61" s="46">
        <v>30</v>
      </c>
      <c r="C61" s="46">
        <v>30</v>
      </c>
      <c r="D61" s="46">
        <v>30</v>
      </c>
      <c r="E61" s="46">
        <v>30</v>
      </c>
      <c r="F61" s="46">
        <v>30</v>
      </c>
      <c r="G61" s="46">
        <v>27</v>
      </c>
      <c r="H61" s="46">
        <v>25</v>
      </c>
      <c r="I61" s="46">
        <v>25</v>
      </c>
      <c r="J61" s="46">
        <v>22</v>
      </c>
      <c r="K61" s="46">
        <v>21</v>
      </c>
      <c r="L61" s="46">
        <v>24</v>
      </c>
      <c r="M61" s="46">
        <v>22</v>
      </c>
      <c r="N61" s="46">
        <v>12</v>
      </c>
      <c r="O61" s="46">
        <v>6</v>
      </c>
      <c r="P61" s="46">
        <v>2</v>
      </c>
      <c r="Q61" s="46">
        <v>2</v>
      </c>
      <c r="R61" s="46">
        <v>1</v>
      </c>
    </row>
  </sheetData>
  <conditionalFormatting pivot="1" sqref="B21:R44">
    <cfRule type="cellIs" dxfId="98" priority="8" operator="greaterThan">
      <formula>0</formula>
    </cfRule>
  </conditionalFormatting>
  <conditionalFormatting pivot="1" sqref="B21:R25 B27:R28 B30:R31 B32:R33 B36:R39 B42:R44">
    <cfRule type="cellIs" dxfId="97" priority="7" operator="lessThan">
      <formula>0.00001</formula>
    </cfRule>
  </conditionalFormatting>
  <conditionalFormatting pivot="1" sqref="B33:R33">
    <cfRule type="cellIs" dxfId="96" priority="6" operator="equal">
      <formula>0.001</formula>
    </cfRule>
  </conditionalFormatting>
  <conditionalFormatting pivot="1">
    <cfRule type="cellIs" dxfId="95" priority="5" operator="equal">
      <formula>0</formula>
    </cfRule>
  </conditionalFormatting>
  <conditionalFormatting pivot="1" sqref="B20:R20">
    <cfRule type="colorScale" priority="3">
      <colorScale>
        <cfvo type="min"/>
        <cfvo type="max"/>
        <color rgb="FFFFEF9C"/>
        <color rgb="FF63BE7B"/>
      </colorScale>
    </cfRule>
  </conditionalFormatting>
  <printOptions horizontalCentered="1" verticalCentered="1"/>
  <pageMargins left="0.25" right="0.25" top="0.25" bottom="0.25" header="0.3" footer="0.3"/>
  <pageSetup scale="39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UpdateDateRanges">
          <controlPr defaultSize="0" autoLine="0" r:id="rId8">
            <anchor moveWithCells="1">
              <from>
                <xdr:col>11</xdr:col>
                <xdr:colOff>428625</xdr:colOff>
                <xdr:row>0</xdr:row>
                <xdr:rowOff>0</xdr:rowOff>
              </from>
              <to>
                <xdr:col>13</xdr:col>
                <xdr:colOff>419100</xdr:colOff>
                <xdr:row>3</xdr:row>
                <xdr:rowOff>38100</xdr:rowOff>
              </to>
            </anchor>
          </controlPr>
        </control>
      </mc:Choice>
      <mc:Fallback>
        <control shapeId="4097" r:id="rId7" name="UpdateDateRan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93D0B-99D7-4B70-8818-BE5FC997E421}">
  <sheetPr codeName="Sheet3"/>
  <dimension ref="A1:Y44"/>
  <sheetViews>
    <sheetView showGridLines="0" tabSelected="1" zoomScaleNormal="100" zoomScaleSheetLayoutView="85" workbookViewId="0">
      <selection activeCell="T30" sqref="T30"/>
    </sheetView>
  </sheetViews>
  <sheetFormatPr defaultRowHeight="18.75" x14ac:dyDescent="0.3"/>
  <cols>
    <col min="1" max="1" width="5.140625" customWidth="1"/>
    <col min="2" max="2" width="7.85546875" customWidth="1"/>
    <col min="3" max="12" width="4.7109375" customWidth="1"/>
    <col min="13" max="13" width="4.140625" style="20" customWidth="1"/>
    <col min="14" max="14" width="8.7109375" customWidth="1"/>
    <col min="15" max="15" width="28.7109375" style="103" bestFit="1" customWidth="1"/>
    <col min="16" max="16" width="8.140625" hidden="1" customWidth="1"/>
    <col min="17" max="17" width="14.85546875" style="103" bestFit="1" customWidth="1"/>
    <col min="18" max="18" width="11.5703125" style="11" bestFit="1" customWidth="1"/>
    <col min="19" max="19" width="8.7109375" style="5" customWidth="1"/>
    <col min="20" max="20" width="4.7109375" customWidth="1"/>
    <col min="21" max="21" width="9.140625" customWidth="1"/>
    <col min="22" max="22" width="9.28515625" customWidth="1"/>
    <col min="23" max="23" width="9.85546875" customWidth="1"/>
    <col min="24" max="24" width="20" customWidth="1"/>
    <col min="25" max="25" width="15" customWidth="1"/>
    <col min="26" max="26" width="9.28515625" customWidth="1"/>
    <col min="27" max="27" width="10.5703125" customWidth="1"/>
  </cols>
  <sheetData>
    <row r="1" spans="1:25" ht="18" customHeight="1" thickTop="1" x14ac:dyDescent="0.3">
      <c r="A1" s="47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48"/>
      <c r="N1" s="49"/>
      <c r="O1" s="98"/>
      <c r="P1" s="50"/>
      <c r="Q1" s="98"/>
      <c r="R1" s="51"/>
      <c r="S1"/>
    </row>
    <row r="2" spans="1:25" ht="18" customHeight="1" x14ac:dyDescent="0.3">
      <c r="A2" s="47"/>
      <c r="B2" s="126" t="s">
        <v>192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48"/>
      <c r="N2" s="130" t="s">
        <v>192</v>
      </c>
      <c r="O2" s="131"/>
      <c r="P2" s="131"/>
      <c r="Q2" s="131"/>
      <c r="R2" s="132"/>
      <c r="S2"/>
    </row>
    <row r="3" spans="1:25" ht="18" customHeight="1" x14ac:dyDescent="0.3">
      <c r="A3" s="47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48"/>
      <c r="N3" s="52"/>
      <c r="O3" s="99"/>
      <c r="P3" s="53"/>
      <c r="Q3" s="99"/>
      <c r="R3" s="54"/>
      <c r="S3"/>
    </row>
    <row r="4" spans="1:25" ht="24" x14ac:dyDescent="0.45">
      <c r="A4" s="47"/>
      <c r="B4" s="127" t="s">
        <v>145</v>
      </c>
      <c r="C4" s="128"/>
      <c r="D4" s="128"/>
      <c r="E4" s="128"/>
      <c r="F4" s="128"/>
      <c r="G4" s="128"/>
      <c r="H4" s="128"/>
      <c r="I4" s="128"/>
      <c r="J4" s="128"/>
      <c r="K4" s="128"/>
      <c r="L4" s="129"/>
      <c r="M4" s="48"/>
      <c r="N4" s="52"/>
      <c r="O4" s="100" t="s">
        <v>9</v>
      </c>
      <c r="P4" s="95" t="s">
        <v>111</v>
      </c>
      <c r="Q4" s="103" t="s">
        <v>210</v>
      </c>
      <c r="R4" s="54"/>
      <c r="S4"/>
    </row>
    <row r="5" spans="1:25" x14ac:dyDescent="0.3">
      <c r="A5" s="47"/>
      <c r="B5" s="107" t="s">
        <v>156</v>
      </c>
      <c r="C5" s="108"/>
      <c r="D5" s="108"/>
      <c r="E5" s="108"/>
      <c r="F5" s="108"/>
      <c r="G5" s="108"/>
      <c r="H5" s="108"/>
      <c r="I5" s="108"/>
      <c r="J5" s="108"/>
      <c r="K5" s="108"/>
      <c r="L5" s="109"/>
      <c r="M5" s="48"/>
      <c r="N5" s="52"/>
      <c r="O5" s="101" t="s">
        <v>48</v>
      </c>
      <c r="P5" s="96" t="s">
        <v>207</v>
      </c>
      <c r="Q5" s="104">
        <v>43799</v>
      </c>
      <c r="R5" s="54"/>
      <c r="S5"/>
    </row>
    <row r="6" spans="1:25" x14ac:dyDescent="0.3">
      <c r="A6" s="47"/>
      <c r="B6" s="113" t="s">
        <v>157</v>
      </c>
      <c r="C6" s="114"/>
      <c r="D6" s="114"/>
      <c r="E6" s="114"/>
      <c r="F6" s="114"/>
      <c r="G6" s="114"/>
      <c r="H6" s="114"/>
      <c r="I6" s="114"/>
      <c r="J6" s="114"/>
      <c r="K6" s="114"/>
      <c r="L6" s="115"/>
      <c r="M6" s="48"/>
      <c r="N6" s="52"/>
      <c r="O6" s="101" t="s">
        <v>49</v>
      </c>
      <c r="P6" s="96" t="s">
        <v>207</v>
      </c>
      <c r="Q6" s="104">
        <v>43769</v>
      </c>
      <c r="R6" s="54"/>
      <c r="S6"/>
    </row>
    <row r="7" spans="1:25" x14ac:dyDescent="0.3">
      <c r="A7" s="47"/>
      <c r="B7" s="107" t="s">
        <v>158</v>
      </c>
      <c r="C7" s="108"/>
      <c r="D7" s="108"/>
      <c r="E7" s="108"/>
      <c r="F7" s="108"/>
      <c r="G7" s="108"/>
      <c r="H7" s="108"/>
      <c r="I7" s="108"/>
      <c r="J7" s="108"/>
      <c r="K7" s="108"/>
      <c r="L7" s="109"/>
      <c r="M7" s="48"/>
      <c r="N7" s="52"/>
      <c r="O7" s="101" t="s">
        <v>50</v>
      </c>
      <c r="P7" s="96" t="s">
        <v>207</v>
      </c>
      <c r="Q7" s="104">
        <v>43769</v>
      </c>
      <c r="R7" s="54"/>
      <c r="S7"/>
    </row>
    <row r="8" spans="1:25" ht="19.5" thickBot="1" x14ac:dyDescent="0.35">
      <c r="A8" s="47"/>
      <c r="B8" s="113" t="s">
        <v>159</v>
      </c>
      <c r="C8" s="114"/>
      <c r="D8" s="114"/>
      <c r="E8" s="114"/>
      <c r="F8" s="114"/>
      <c r="G8" s="114"/>
      <c r="H8" s="114"/>
      <c r="I8" s="114"/>
      <c r="J8" s="114"/>
      <c r="K8" s="114"/>
      <c r="L8" s="115"/>
      <c r="M8" s="48"/>
      <c r="N8" s="52"/>
      <c r="O8" s="101" t="s">
        <v>51</v>
      </c>
      <c r="P8" s="96" t="s">
        <v>207</v>
      </c>
      <c r="Q8" s="104">
        <v>43769</v>
      </c>
      <c r="R8" s="54"/>
      <c r="S8"/>
    </row>
    <row r="9" spans="1:25" ht="19.5" thickTop="1" x14ac:dyDescent="0.3">
      <c r="A9" s="47"/>
      <c r="B9" s="107" t="s">
        <v>160</v>
      </c>
      <c r="C9" s="108"/>
      <c r="D9" s="108"/>
      <c r="E9" s="108"/>
      <c r="F9" s="108"/>
      <c r="G9" s="108"/>
      <c r="H9" s="108"/>
      <c r="I9" s="108"/>
      <c r="J9" s="108"/>
      <c r="K9" s="108"/>
      <c r="L9" s="109"/>
      <c r="M9" s="48"/>
      <c r="N9" s="52"/>
      <c r="O9" s="101" t="s">
        <v>52</v>
      </c>
      <c r="P9" s="96" t="s">
        <v>207</v>
      </c>
      <c r="Q9" s="104">
        <v>43769</v>
      </c>
      <c r="R9" s="54"/>
      <c r="S9"/>
      <c r="U9" s="73"/>
      <c r="V9" s="74"/>
      <c r="W9" s="74"/>
      <c r="X9" s="74"/>
      <c r="Y9" s="75"/>
    </row>
    <row r="10" spans="1:25" ht="22.5" x14ac:dyDescent="0.3">
      <c r="A10" s="47"/>
      <c r="B10" s="113" t="s">
        <v>191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5"/>
      <c r="M10" s="48"/>
      <c r="N10" s="52"/>
      <c r="O10" s="101" t="s">
        <v>190</v>
      </c>
      <c r="P10" s="96" t="s">
        <v>207</v>
      </c>
      <c r="Q10" s="104">
        <v>43769</v>
      </c>
      <c r="R10" s="54"/>
      <c r="S10"/>
      <c r="U10" s="76"/>
      <c r="V10" s="77" t="s">
        <v>192</v>
      </c>
      <c r="W10" s="78"/>
      <c r="X10" s="79"/>
      <c r="Y10" s="80"/>
    </row>
    <row r="11" spans="1:25" x14ac:dyDescent="0.3">
      <c r="A11" s="47"/>
      <c r="B11" s="107" t="s">
        <v>161</v>
      </c>
      <c r="C11" s="108"/>
      <c r="D11" s="108"/>
      <c r="E11" s="108"/>
      <c r="F11" s="108"/>
      <c r="G11" s="108"/>
      <c r="H11" s="108"/>
      <c r="I11" s="108"/>
      <c r="J11" s="108"/>
      <c r="K11" s="108"/>
      <c r="L11" s="109"/>
      <c r="M11" s="48"/>
      <c r="N11" s="52"/>
      <c r="O11" s="101" t="s">
        <v>55</v>
      </c>
      <c r="P11" s="96" t="s">
        <v>207</v>
      </c>
      <c r="Q11" s="104">
        <v>43769</v>
      </c>
      <c r="R11" s="54"/>
      <c r="S11"/>
      <c r="U11" s="76"/>
      <c r="V11" s="78"/>
      <c r="W11" s="78"/>
      <c r="X11" s="78"/>
      <c r="Y11" s="81"/>
    </row>
    <row r="12" spans="1:25" x14ac:dyDescent="0.3">
      <c r="A12" s="47"/>
      <c r="B12" s="113" t="s">
        <v>162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5"/>
      <c r="M12" s="48"/>
      <c r="N12" s="52"/>
      <c r="O12" s="101" t="s">
        <v>58</v>
      </c>
      <c r="P12" s="96" t="s">
        <v>207</v>
      </c>
      <c r="Q12" s="104">
        <v>43890</v>
      </c>
      <c r="R12" s="54"/>
      <c r="S12"/>
      <c r="U12" s="82"/>
      <c r="V12" s="83"/>
      <c r="W12" s="83"/>
      <c r="X12" s="83"/>
      <c r="Y12" s="84"/>
    </row>
    <row r="13" spans="1:25" x14ac:dyDescent="0.3">
      <c r="A13" s="47"/>
      <c r="B13" s="107" t="s">
        <v>209</v>
      </c>
      <c r="C13" s="108"/>
      <c r="D13" s="108"/>
      <c r="E13" s="108"/>
      <c r="F13" s="108"/>
      <c r="G13" s="108"/>
      <c r="H13" s="108"/>
      <c r="I13" s="108"/>
      <c r="J13" s="108"/>
      <c r="K13" s="108"/>
      <c r="L13" s="109"/>
      <c r="M13" s="48"/>
      <c r="N13" s="52"/>
      <c r="O13" s="101" t="s">
        <v>149</v>
      </c>
      <c r="P13" s="96" t="s">
        <v>207</v>
      </c>
      <c r="Q13" s="104">
        <v>43830</v>
      </c>
      <c r="R13" s="54"/>
      <c r="S13"/>
      <c r="U13" s="110" t="s">
        <v>194</v>
      </c>
      <c r="V13" s="111"/>
      <c r="W13" s="111"/>
      <c r="X13" s="111"/>
      <c r="Y13" s="112"/>
    </row>
    <row r="14" spans="1:25" ht="19.5" x14ac:dyDescent="0.3">
      <c r="A14" s="47"/>
      <c r="B14" s="113" t="s">
        <v>163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5"/>
      <c r="M14" s="48"/>
      <c r="N14" s="52"/>
      <c r="O14" s="101" t="s">
        <v>65</v>
      </c>
      <c r="P14" s="96" t="s">
        <v>207</v>
      </c>
      <c r="Q14" s="104">
        <v>43769</v>
      </c>
      <c r="R14" s="54"/>
      <c r="S14"/>
      <c r="U14" s="122" t="s">
        <v>197</v>
      </c>
      <c r="V14" s="123"/>
      <c r="W14" s="123"/>
      <c r="X14" s="123"/>
      <c r="Y14" s="124"/>
    </row>
    <row r="15" spans="1:25" ht="19.5" x14ac:dyDescent="0.3">
      <c r="A15" s="47"/>
      <c r="B15" s="107" t="s">
        <v>164</v>
      </c>
      <c r="C15" s="108"/>
      <c r="D15" s="108"/>
      <c r="E15" s="108"/>
      <c r="F15" s="108"/>
      <c r="G15" s="108"/>
      <c r="H15" s="108"/>
      <c r="I15" s="108"/>
      <c r="J15" s="108"/>
      <c r="K15" s="108"/>
      <c r="L15" s="109"/>
      <c r="M15" s="48"/>
      <c r="N15" s="52"/>
      <c r="O15" s="101" t="s">
        <v>66</v>
      </c>
      <c r="P15" s="96" t="s">
        <v>207</v>
      </c>
      <c r="Q15" s="104">
        <v>43830</v>
      </c>
      <c r="R15" s="54"/>
      <c r="S15"/>
      <c r="U15" s="82"/>
      <c r="V15" s="120" t="s">
        <v>125</v>
      </c>
      <c r="W15" s="120"/>
      <c r="X15" s="120"/>
      <c r="Y15" s="84"/>
    </row>
    <row r="16" spans="1:25" x14ac:dyDescent="0.3">
      <c r="A16" s="47"/>
      <c r="B16" s="113" t="s">
        <v>165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5"/>
      <c r="M16" s="48"/>
      <c r="N16" s="52"/>
      <c r="O16" s="101" t="s">
        <v>75</v>
      </c>
      <c r="P16" s="96" t="s">
        <v>207</v>
      </c>
      <c r="Q16" s="104">
        <v>43738</v>
      </c>
      <c r="R16" s="54"/>
      <c r="S16"/>
      <c r="U16" s="85"/>
      <c r="V16" s="86"/>
      <c r="W16" s="87" t="s">
        <v>126</v>
      </c>
      <c r="X16" s="86" t="s">
        <v>127</v>
      </c>
      <c r="Y16" s="84"/>
    </row>
    <row r="17" spans="1:25" x14ac:dyDescent="0.3">
      <c r="A17" s="47"/>
      <c r="B17" s="107" t="s">
        <v>166</v>
      </c>
      <c r="C17" s="108"/>
      <c r="D17" s="108"/>
      <c r="E17" s="108"/>
      <c r="F17" s="108"/>
      <c r="G17" s="108"/>
      <c r="H17" s="108"/>
      <c r="I17" s="108"/>
      <c r="J17" s="108"/>
      <c r="K17" s="108"/>
      <c r="L17" s="109"/>
      <c r="M17" s="48"/>
      <c r="N17" s="52"/>
      <c r="O17" s="101" t="s">
        <v>76</v>
      </c>
      <c r="P17" s="96" t="s">
        <v>208</v>
      </c>
      <c r="Q17" s="104">
        <v>43921</v>
      </c>
      <c r="R17" s="54"/>
      <c r="S17"/>
      <c r="U17" s="82"/>
      <c r="V17" s="86"/>
      <c r="W17" s="87" t="s">
        <v>128</v>
      </c>
      <c r="X17" s="86" t="s">
        <v>129</v>
      </c>
      <c r="Y17" s="84"/>
    </row>
    <row r="18" spans="1:25" x14ac:dyDescent="0.3">
      <c r="A18" s="47"/>
      <c r="B18" s="113" t="s">
        <v>203</v>
      </c>
      <c r="C18" s="114"/>
      <c r="D18" s="114"/>
      <c r="E18" s="114"/>
      <c r="F18" s="114"/>
      <c r="G18" s="114"/>
      <c r="H18" s="114"/>
      <c r="I18" s="114"/>
      <c r="J18" s="114"/>
      <c r="K18" s="114"/>
      <c r="L18" s="115"/>
      <c r="M18" s="48"/>
      <c r="N18" s="55"/>
      <c r="O18" s="101" t="s">
        <v>204</v>
      </c>
      <c r="P18" s="96" t="s">
        <v>207</v>
      </c>
      <c r="Q18" s="104">
        <v>43830</v>
      </c>
      <c r="R18" s="56"/>
      <c r="S18"/>
      <c r="U18" s="82"/>
      <c r="V18" s="86"/>
      <c r="W18" s="87" t="s">
        <v>130</v>
      </c>
      <c r="X18" s="86" t="s">
        <v>131</v>
      </c>
      <c r="Y18" s="84"/>
    </row>
    <row r="19" spans="1:25" x14ac:dyDescent="0.3">
      <c r="A19" s="47"/>
      <c r="B19" s="107" t="s">
        <v>206</v>
      </c>
      <c r="C19" s="108"/>
      <c r="D19" s="108"/>
      <c r="E19" s="108"/>
      <c r="F19" s="108"/>
      <c r="G19" s="108"/>
      <c r="H19" s="108"/>
      <c r="I19" s="108"/>
      <c r="J19" s="108"/>
      <c r="K19" s="108"/>
      <c r="L19" s="109"/>
      <c r="M19" s="48"/>
      <c r="N19" s="52"/>
      <c r="O19" s="101" t="s">
        <v>147</v>
      </c>
      <c r="P19" s="96" t="s">
        <v>207</v>
      </c>
      <c r="Q19" s="104">
        <v>43738</v>
      </c>
      <c r="R19" s="54"/>
      <c r="S19"/>
      <c r="U19" s="82"/>
      <c r="V19" s="86"/>
      <c r="W19" s="87" t="s">
        <v>196</v>
      </c>
      <c r="X19" s="86" t="s">
        <v>195</v>
      </c>
      <c r="Y19" s="84"/>
    </row>
    <row r="20" spans="1:25" x14ac:dyDescent="0.3">
      <c r="A20" s="47"/>
      <c r="B20" s="107" t="s">
        <v>167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09"/>
      <c r="M20" s="48"/>
      <c r="N20" s="52"/>
      <c r="O20" s="101" t="s">
        <v>82</v>
      </c>
      <c r="P20" s="96" t="s">
        <v>207</v>
      </c>
      <c r="Q20" s="104">
        <v>43830</v>
      </c>
      <c r="R20" s="54"/>
      <c r="S20"/>
      <c r="U20" s="82"/>
      <c r="V20" s="83"/>
      <c r="W20" s="83"/>
      <c r="X20" s="83"/>
      <c r="Y20" s="84"/>
    </row>
    <row r="21" spans="1:25" ht="20.25" x14ac:dyDescent="0.3">
      <c r="A21" s="47"/>
      <c r="B21" s="113" t="s">
        <v>168</v>
      </c>
      <c r="C21" s="117"/>
      <c r="D21" s="117"/>
      <c r="E21" s="117"/>
      <c r="F21" s="117"/>
      <c r="G21" s="117"/>
      <c r="H21" s="117"/>
      <c r="I21" s="117"/>
      <c r="J21" s="117"/>
      <c r="K21" s="117"/>
      <c r="L21" s="115"/>
      <c r="M21" s="48"/>
      <c r="N21" s="52"/>
      <c r="O21" s="101" t="s">
        <v>84</v>
      </c>
      <c r="P21" s="96" t="s">
        <v>207</v>
      </c>
      <c r="Q21" s="104">
        <v>43799</v>
      </c>
      <c r="R21" s="54"/>
      <c r="S21"/>
      <c r="U21" s="88"/>
      <c r="V21" s="121" t="s">
        <v>132</v>
      </c>
      <c r="W21" s="121"/>
      <c r="X21" s="121"/>
      <c r="Y21" s="89"/>
    </row>
    <row r="22" spans="1:25" x14ac:dyDescent="0.3">
      <c r="A22" s="47"/>
      <c r="B22" s="107" t="s">
        <v>169</v>
      </c>
      <c r="C22" s="116"/>
      <c r="D22" s="116"/>
      <c r="E22" s="116"/>
      <c r="F22" s="116"/>
      <c r="G22" s="116"/>
      <c r="H22" s="116"/>
      <c r="I22" s="116"/>
      <c r="J22" s="116"/>
      <c r="K22" s="116"/>
      <c r="L22" s="109"/>
      <c r="M22" s="48"/>
      <c r="N22" s="52"/>
      <c r="O22" s="101" t="s">
        <v>87</v>
      </c>
      <c r="P22" s="96" t="s">
        <v>207</v>
      </c>
      <c r="Q22" s="104">
        <v>43769</v>
      </c>
      <c r="R22" s="54"/>
      <c r="S22"/>
      <c r="U22" s="88"/>
      <c r="V22" s="118" t="s">
        <v>133</v>
      </c>
      <c r="W22" s="118"/>
      <c r="X22" s="118"/>
      <c r="Y22" s="89"/>
    </row>
    <row r="23" spans="1:25" ht="20.25" x14ac:dyDescent="0.3">
      <c r="A23" s="47"/>
      <c r="B23" s="113" t="s">
        <v>170</v>
      </c>
      <c r="C23" s="117"/>
      <c r="D23" s="117"/>
      <c r="E23" s="117"/>
      <c r="F23" s="117"/>
      <c r="G23" s="117"/>
      <c r="H23" s="117"/>
      <c r="I23" s="117"/>
      <c r="J23" s="117"/>
      <c r="K23" s="117"/>
      <c r="L23" s="115"/>
      <c r="M23" s="48"/>
      <c r="N23" s="52"/>
      <c r="O23" s="101" t="s">
        <v>93</v>
      </c>
      <c r="P23" s="97" t="s">
        <v>207</v>
      </c>
      <c r="Q23" s="104">
        <v>43799</v>
      </c>
      <c r="R23" s="54"/>
      <c r="S23"/>
      <c r="U23" s="88"/>
      <c r="V23" s="119" t="s">
        <v>134</v>
      </c>
      <c r="W23" s="119"/>
      <c r="X23" s="119"/>
      <c r="Y23" s="89"/>
    </row>
    <row r="24" spans="1:25" ht="19.5" thickBot="1" x14ac:dyDescent="0.35">
      <c r="A24" s="47"/>
      <c r="B24" s="107" t="s">
        <v>155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09"/>
      <c r="M24" s="48"/>
      <c r="N24" s="52"/>
      <c r="O24" s="101" t="s">
        <v>148</v>
      </c>
      <c r="P24" s="97" t="s">
        <v>207</v>
      </c>
      <c r="Q24" s="104">
        <v>43769</v>
      </c>
      <c r="R24" s="54"/>
      <c r="S24"/>
      <c r="U24" s="90"/>
      <c r="V24" s="91"/>
      <c r="W24" s="92"/>
      <c r="X24" s="92"/>
      <c r="Y24" s="93"/>
    </row>
    <row r="25" spans="1:25" ht="19.5" thickTop="1" x14ac:dyDescent="0.3">
      <c r="A25" s="47"/>
      <c r="B25" s="113" t="s">
        <v>200</v>
      </c>
      <c r="C25" s="117"/>
      <c r="D25" s="117"/>
      <c r="E25" s="117"/>
      <c r="F25" s="117"/>
      <c r="G25" s="117"/>
      <c r="H25" s="117"/>
      <c r="I25" s="117"/>
      <c r="J25" s="117"/>
      <c r="K25" s="117"/>
      <c r="L25" s="115"/>
      <c r="M25" s="48"/>
      <c r="N25" s="52"/>
      <c r="O25" s="101" t="s">
        <v>199</v>
      </c>
      <c r="P25" s="96" t="s">
        <v>207</v>
      </c>
      <c r="Q25" s="104">
        <v>43799</v>
      </c>
      <c r="R25" s="54"/>
      <c r="S25"/>
    </row>
    <row r="26" spans="1:25" x14ac:dyDescent="0.3">
      <c r="A26" s="47"/>
      <c r="B26" s="107" t="s">
        <v>171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09"/>
      <c r="M26" s="48"/>
      <c r="N26" s="52"/>
      <c r="O26" s="101" t="s">
        <v>124</v>
      </c>
      <c r="P26" s="96" t="s">
        <v>207</v>
      </c>
      <c r="Q26" s="104">
        <v>43799</v>
      </c>
      <c r="R26" s="54"/>
      <c r="S26"/>
      <c r="V26" s="20"/>
    </row>
    <row r="27" spans="1:25" x14ac:dyDescent="0.3">
      <c r="A27" s="47"/>
      <c r="B27" s="113" t="s">
        <v>172</v>
      </c>
      <c r="C27" s="117"/>
      <c r="D27" s="117"/>
      <c r="E27" s="117"/>
      <c r="F27" s="117"/>
      <c r="G27" s="117"/>
      <c r="H27" s="117"/>
      <c r="I27" s="117"/>
      <c r="J27" s="117"/>
      <c r="K27" s="117"/>
      <c r="L27" s="115"/>
      <c r="M27" s="48"/>
      <c r="N27" s="52"/>
      <c r="O27" s="101" t="s">
        <v>98</v>
      </c>
      <c r="P27" s="96" t="s">
        <v>207</v>
      </c>
      <c r="Q27" s="104">
        <v>43799</v>
      </c>
      <c r="R27" s="54"/>
      <c r="S27"/>
      <c r="V27" s="20"/>
    </row>
    <row r="28" spans="1:25" x14ac:dyDescent="0.3">
      <c r="A28" s="47"/>
      <c r="B28" s="107" t="s">
        <v>201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09"/>
      <c r="M28" s="48"/>
      <c r="N28" s="52"/>
      <c r="O28" s="101" t="s">
        <v>97</v>
      </c>
      <c r="P28" s="96" t="s">
        <v>207</v>
      </c>
      <c r="Q28" s="104">
        <v>43769</v>
      </c>
      <c r="R28" s="54"/>
      <c r="S28"/>
      <c r="V28" s="20"/>
    </row>
    <row r="29" spans="1:25" ht="19.5" thickBot="1" x14ac:dyDescent="0.3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8"/>
      <c r="N29" s="57"/>
      <c r="O29" s="102"/>
      <c r="P29" s="58"/>
      <c r="Q29" s="102"/>
      <c r="R29" s="59"/>
      <c r="S29"/>
      <c r="V29" s="20"/>
    </row>
    <row r="30" spans="1:25" ht="19.5" thickTop="1" x14ac:dyDescent="0.3">
      <c r="M30"/>
      <c r="W30" s="20"/>
    </row>
    <row r="31" spans="1:25" x14ac:dyDescent="0.3">
      <c r="M31"/>
      <c r="W31" s="20"/>
    </row>
    <row r="32" spans="1:25" x14ac:dyDescent="0.3">
      <c r="M32"/>
      <c r="S32"/>
      <c r="V32" s="20"/>
    </row>
    <row r="33" spans="3:23" x14ac:dyDescent="0.3">
      <c r="S33"/>
      <c r="W33" s="20"/>
    </row>
    <row r="34" spans="3:23" x14ac:dyDescent="0.3">
      <c r="S34"/>
      <c r="W34" s="20"/>
    </row>
    <row r="35" spans="3:23" x14ac:dyDescent="0.3">
      <c r="C35" s="94"/>
      <c r="S35"/>
    </row>
    <row r="41" spans="3:23" x14ac:dyDescent="0.3">
      <c r="F41" s="94" t="s">
        <v>205</v>
      </c>
    </row>
    <row r="44" spans="3:23" x14ac:dyDescent="0.3">
      <c r="S44"/>
    </row>
  </sheetData>
  <mergeCells count="35">
    <mergeCell ref="B6:L6"/>
    <mergeCell ref="B7:L7"/>
    <mergeCell ref="B8:L8"/>
    <mergeCell ref="B9:L9"/>
    <mergeCell ref="N2:R2"/>
    <mergeCell ref="B1:L1"/>
    <mergeCell ref="B2:L2"/>
    <mergeCell ref="B3:L3"/>
    <mergeCell ref="B5:L5"/>
    <mergeCell ref="B4:L4"/>
    <mergeCell ref="B10:L10"/>
    <mergeCell ref="V22:X22"/>
    <mergeCell ref="V23:X23"/>
    <mergeCell ref="V15:X15"/>
    <mergeCell ref="V21:X21"/>
    <mergeCell ref="U14:Y14"/>
    <mergeCell ref="B15:L15"/>
    <mergeCell ref="B22:L22"/>
    <mergeCell ref="B23:L23"/>
    <mergeCell ref="B17:L17"/>
    <mergeCell ref="B20:L20"/>
    <mergeCell ref="B21:L21"/>
    <mergeCell ref="B16:L16"/>
    <mergeCell ref="B18:L18"/>
    <mergeCell ref="B19:L19"/>
    <mergeCell ref="B11:L11"/>
    <mergeCell ref="B13:L13"/>
    <mergeCell ref="U13:Y13"/>
    <mergeCell ref="B12:L12"/>
    <mergeCell ref="B14:L14"/>
    <mergeCell ref="B28:L28"/>
    <mergeCell ref="B25:L25"/>
    <mergeCell ref="B26:L26"/>
    <mergeCell ref="B27:L27"/>
    <mergeCell ref="B24:L24"/>
  </mergeCells>
  <conditionalFormatting sqref="T27">
    <cfRule type="colorScale" priority="6">
      <colorScale>
        <cfvo type="min"/>
        <cfvo type="percentile" val="40"/>
        <cfvo type="max"/>
        <color theme="7"/>
        <color theme="4" tint="0.39997558519241921"/>
        <color theme="0" tint="-4.9989318521683403E-2"/>
      </colorScale>
    </cfRule>
  </conditionalFormatting>
  <conditionalFormatting sqref="T27">
    <cfRule type="colorScale" priority="7">
      <colorScale>
        <cfvo type="min"/>
        <cfvo type="max"/>
        <color rgb="FFFFEF9C"/>
        <color rgb="FF63BE7B"/>
      </colorScale>
    </cfRule>
  </conditionalFormatting>
  <conditionalFormatting sqref="Q5:Q28">
    <cfRule type="cellIs" dxfId="94" priority="1" operator="lessThan">
      <formula>43739</formula>
    </cfRule>
  </conditionalFormatting>
  <hyperlinks>
    <hyperlink ref="F41" r:id="rId1" xr:uid="{7FDFF655-8130-4AAB-AAA9-13381536E35F}"/>
  </hyperlinks>
  <printOptions horizontalCentered="1" verticalCentered="1"/>
  <pageMargins left="0.25" right="0.25" top="0.75" bottom="0.75" header="0.3" footer="0.3"/>
  <pageSetup scale="120" fitToHeight="0" orientation="portrait" r:id="rId2"/>
  <colBreaks count="4" manualBreakCount="4">
    <brk id="13" max="1048575" man="1"/>
    <brk id="19" max="1048575" man="1"/>
    <brk id="21" max="1048575" man="1"/>
    <brk id="26" max="1048575" man="1"/>
  </colBreaks>
  <drawing r:id="rId3"/>
  <legacyDrawing r:id="rId4"/>
  <controls>
    <mc:AlternateContent xmlns:mc="http://schemas.openxmlformats.org/markup-compatibility/2006">
      <mc:Choice Requires="x14">
        <control shapeId="2052" r:id="rId5" name="RefreshTableQuery">
          <controlPr defaultSize="0" autoFill="0" autoLine="0" r:id="rId6">
            <anchor moveWithCells="1">
              <from>
                <xdr:col>22</xdr:col>
                <xdr:colOff>123825</xdr:colOff>
                <xdr:row>25</xdr:row>
                <xdr:rowOff>9525</xdr:rowOff>
              </from>
              <to>
                <xdr:col>23</xdr:col>
                <xdr:colOff>171450</xdr:colOff>
                <xdr:row>27</xdr:row>
                <xdr:rowOff>133350</xdr:rowOff>
              </to>
            </anchor>
          </controlPr>
        </control>
      </mc:Choice>
      <mc:Fallback>
        <control shapeId="2052" r:id="rId5" name="RefreshTableQuery"/>
      </mc:Fallback>
    </mc:AlternateContent>
  </controls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E805-0C16-4412-A55C-B8E3027ED33A}">
  <sheetPr codeName="Sheet4"/>
  <dimension ref="A1:R25"/>
  <sheetViews>
    <sheetView workbookViewId="0">
      <selection activeCell="I27" sqref="I27"/>
    </sheetView>
  </sheetViews>
  <sheetFormatPr defaultRowHeight="15" x14ac:dyDescent="0.25"/>
  <cols>
    <col min="1" max="1" width="21.85546875" customWidth="1"/>
    <col min="2" max="2" width="10.140625" customWidth="1"/>
    <col min="3" max="12" width="3.7109375" style="23" customWidth="1"/>
    <col min="13" max="13" width="3.7109375" style="11" customWidth="1"/>
    <col min="14" max="15" width="3.7109375" customWidth="1"/>
    <col min="16" max="16" width="3.7109375" style="24" customWidth="1"/>
    <col min="17" max="17" width="3.7109375" customWidth="1"/>
    <col min="18" max="18" width="3.7109375" style="22" customWidth="1"/>
  </cols>
  <sheetData>
    <row r="1" spans="1:18" x14ac:dyDescent="0.25">
      <c r="A1" t="s">
        <v>187</v>
      </c>
      <c r="B1" s="29">
        <f>COUNTA(C1:X1)</f>
        <v>16</v>
      </c>
      <c r="C1" s="30" t="s">
        <v>183</v>
      </c>
      <c r="D1" s="30" t="s">
        <v>183</v>
      </c>
      <c r="E1" s="30" t="s">
        <v>183</v>
      </c>
      <c r="F1" s="30" t="s">
        <v>183</v>
      </c>
      <c r="G1" s="30" t="s">
        <v>183</v>
      </c>
      <c r="H1" s="30" t="s">
        <v>183</v>
      </c>
      <c r="I1" s="30" t="s">
        <v>183</v>
      </c>
      <c r="J1" s="30" t="s">
        <v>183</v>
      </c>
      <c r="K1" s="30" t="s">
        <v>183</v>
      </c>
      <c r="L1" s="30" t="s">
        <v>183</v>
      </c>
      <c r="M1" s="31" t="s">
        <v>183</v>
      </c>
      <c r="N1" s="31" t="s">
        <v>183</v>
      </c>
      <c r="O1" s="31" t="s">
        <v>183</v>
      </c>
      <c r="P1" s="31" t="s">
        <v>183</v>
      </c>
      <c r="Q1" s="31" t="s">
        <v>183</v>
      </c>
      <c r="R1" s="32" t="s">
        <v>183</v>
      </c>
    </row>
    <row r="2" spans="1:18" x14ac:dyDescent="0.25">
      <c r="A2" s="26" t="s">
        <v>177</v>
      </c>
      <c r="B2" s="27">
        <f>COUNTA(C2:X2)/B$1</f>
        <v>0.5</v>
      </c>
      <c r="C2" s="24" t="s">
        <v>183</v>
      </c>
      <c r="D2" s="24" t="s">
        <v>183</v>
      </c>
      <c r="E2" s="24"/>
      <c r="F2" s="24" t="s">
        <v>183</v>
      </c>
      <c r="G2" s="24" t="s">
        <v>183</v>
      </c>
      <c r="H2" s="24"/>
      <c r="I2" s="24" t="s">
        <v>183</v>
      </c>
      <c r="J2" s="24"/>
      <c r="K2" s="24"/>
      <c r="L2" s="24" t="s">
        <v>183</v>
      </c>
      <c r="M2" s="33" t="s">
        <v>185</v>
      </c>
      <c r="N2" s="34"/>
      <c r="O2" s="34"/>
      <c r="P2" s="24" t="s">
        <v>183</v>
      </c>
      <c r="Q2" s="35"/>
    </row>
    <row r="3" spans="1:18" x14ac:dyDescent="0.25">
      <c r="A3" s="26" t="s">
        <v>178</v>
      </c>
      <c r="B3" s="27">
        <f t="shared" ref="B3:B10" si="0">COUNTA(C3:X3)/B$1</f>
        <v>0.1875</v>
      </c>
      <c r="C3" s="24" t="s">
        <v>183</v>
      </c>
      <c r="D3" s="24"/>
      <c r="E3" s="24"/>
      <c r="F3" s="24"/>
      <c r="G3" s="24"/>
      <c r="H3" s="24"/>
      <c r="I3" s="24"/>
      <c r="J3" s="24"/>
      <c r="K3" s="24" t="s">
        <v>183</v>
      </c>
      <c r="L3" s="24"/>
      <c r="M3" s="33" t="s">
        <v>186</v>
      </c>
      <c r="N3" s="34"/>
      <c r="O3" s="34"/>
      <c r="Q3" s="35"/>
    </row>
    <row r="4" spans="1:18" x14ac:dyDescent="0.25">
      <c r="A4" s="26" t="s">
        <v>179</v>
      </c>
      <c r="B4" s="27">
        <f t="shared" si="0"/>
        <v>0.5</v>
      </c>
      <c r="C4" s="24" t="s">
        <v>184</v>
      </c>
      <c r="D4" s="24" t="s">
        <v>183</v>
      </c>
      <c r="E4" s="24" t="s">
        <v>183</v>
      </c>
      <c r="F4" s="24" t="s">
        <v>183</v>
      </c>
      <c r="G4" s="24"/>
      <c r="H4" s="24"/>
      <c r="I4" s="24"/>
      <c r="J4" s="24" t="s">
        <v>183</v>
      </c>
      <c r="K4" s="24"/>
      <c r="L4" s="24"/>
      <c r="M4" s="33" t="s">
        <v>185</v>
      </c>
      <c r="N4" s="34"/>
      <c r="O4" s="34"/>
      <c r="P4" s="24" t="s">
        <v>183</v>
      </c>
      <c r="Q4" s="35" t="s">
        <v>183</v>
      </c>
    </row>
    <row r="5" spans="1:18" x14ac:dyDescent="0.25">
      <c r="A5" s="26" t="s">
        <v>180</v>
      </c>
      <c r="B5" s="27">
        <f t="shared" si="0"/>
        <v>0.1875</v>
      </c>
      <c r="C5" s="24" t="s">
        <v>183</v>
      </c>
      <c r="D5" s="24"/>
      <c r="E5" s="24"/>
      <c r="F5" s="25" t="s">
        <v>183</v>
      </c>
      <c r="G5" s="24"/>
      <c r="H5" s="24"/>
      <c r="I5" s="24"/>
      <c r="J5" s="24"/>
      <c r="K5" s="24"/>
      <c r="L5" s="24"/>
      <c r="M5" s="33" t="s">
        <v>185</v>
      </c>
      <c r="N5" s="34"/>
      <c r="O5" s="34"/>
      <c r="Q5" s="35"/>
    </row>
    <row r="6" spans="1:18" x14ac:dyDescent="0.25">
      <c r="A6" s="26" t="s">
        <v>181</v>
      </c>
      <c r="B6" s="27">
        <f t="shared" si="0"/>
        <v>0.25</v>
      </c>
      <c r="C6" s="24" t="s">
        <v>184</v>
      </c>
      <c r="D6" s="24"/>
      <c r="E6" s="24"/>
      <c r="F6" s="24" t="s">
        <v>183</v>
      </c>
      <c r="G6" s="24"/>
      <c r="H6" s="24"/>
      <c r="I6" s="24"/>
      <c r="J6" s="24"/>
      <c r="K6" s="24" t="s">
        <v>183</v>
      </c>
      <c r="L6" s="24"/>
      <c r="M6" s="33" t="s">
        <v>185</v>
      </c>
      <c r="N6" s="34"/>
      <c r="O6" s="34"/>
      <c r="Q6" s="35"/>
    </row>
    <row r="7" spans="1:18" x14ac:dyDescent="0.25">
      <c r="A7" s="26" t="s">
        <v>182</v>
      </c>
      <c r="B7" s="27">
        <f t="shared" si="0"/>
        <v>0.5625</v>
      </c>
      <c r="C7" s="24" t="s">
        <v>183</v>
      </c>
      <c r="D7" s="24" t="s">
        <v>183</v>
      </c>
      <c r="E7" s="24"/>
      <c r="F7" s="24" t="s">
        <v>184</v>
      </c>
      <c r="G7" s="24" t="s">
        <v>183</v>
      </c>
      <c r="H7" s="24" t="s">
        <v>183</v>
      </c>
      <c r="I7" s="24"/>
      <c r="J7" s="24" t="s">
        <v>183</v>
      </c>
      <c r="K7" s="24"/>
      <c r="L7" s="24" t="s">
        <v>183</v>
      </c>
      <c r="M7" s="33" t="s">
        <v>186</v>
      </c>
      <c r="N7" s="34"/>
      <c r="O7" s="34"/>
      <c r="P7" s="24" t="s">
        <v>183</v>
      </c>
      <c r="Q7" s="35"/>
    </row>
    <row r="8" spans="1:18" x14ac:dyDescent="0.25">
      <c r="A8" s="26" t="s">
        <v>100</v>
      </c>
      <c r="B8" s="27">
        <f t="shared" si="0"/>
        <v>0.9375</v>
      </c>
      <c r="C8" s="24" t="s">
        <v>184</v>
      </c>
      <c r="D8" s="24" t="s">
        <v>183</v>
      </c>
      <c r="E8" s="24" t="s">
        <v>183</v>
      </c>
      <c r="F8" s="24" t="s">
        <v>183</v>
      </c>
      <c r="G8" s="24" t="s">
        <v>183</v>
      </c>
      <c r="H8" s="24" t="s">
        <v>183</v>
      </c>
      <c r="I8" s="24" t="s">
        <v>183</v>
      </c>
      <c r="J8" s="24" t="s">
        <v>183</v>
      </c>
      <c r="K8" s="24"/>
      <c r="L8" s="24" t="s">
        <v>183</v>
      </c>
      <c r="M8" s="33" t="s">
        <v>186</v>
      </c>
      <c r="N8" s="24" t="s">
        <v>183</v>
      </c>
      <c r="O8" s="24" t="s">
        <v>183</v>
      </c>
      <c r="P8" s="24" t="s">
        <v>183</v>
      </c>
      <c r="Q8" s="35" t="s">
        <v>183</v>
      </c>
      <c r="R8" s="24" t="s">
        <v>183</v>
      </c>
    </row>
    <row r="10" spans="1:18" x14ac:dyDescent="0.25">
      <c r="A10" s="36" t="s">
        <v>188</v>
      </c>
      <c r="B10" s="27">
        <f t="shared" si="0"/>
        <v>0.75</v>
      </c>
      <c r="C10" s="23">
        <f>IF(COUNTA(C2:C4)&gt;0,COUNTA(C2:C4),"")</f>
        <v>3</v>
      </c>
      <c r="D10" s="23">
        <f t="shared" ref="D10:Q10" si="1">IF(COUNTA(D2:D4)&gt;0,COUNTA(D2:D4),"")</f>
        <v>2</v>
      </c>
      <c r="E10" s="23">
        <f t="shared" si="1"/>
        <v>1</v>
      </c>
      <c r="F10" s="23">
        <f t="shared" si="1"/>
        <v>2</v>
      </c>
      <c r="G10" s="23">
        <f t="shared" si="1"/>
        <v>1</v>
      </c>
      <c r="I10" s="23">
        <f t="shared" si="1"/>
        <v>1</v>
      </c>
      <c r="J10" s="23">
        <f t="shared" si="1"/>
        <v>1</v>
      </c>
      <c r="K10" s="23">
        <f t="shared" si="1"/>
        <v>1</v>
      </c>
      <c r="L10" s="23">
        <f t="shared" si="1"/>
        <v>1</v>
      </c>
      <c r="M10" s="23">
        <f t="shared" si="1"/>
        <v>3</v>
      </c>
      <c r="N10" s="23"/>
      <c r="O10" s="23"/>
      <c r="P10" s="23">
        <f t="shared" si="1"/>
        <v>2</v>
      </c>
      <c r="Q10" s="23">
        <f t="shared" si="1"/>
        <v>1</v>
      </c>
      <c r="R10" s="23"/>
    </row>
    <row r="13" spans="1:18" x14ac:dyDescent="0.25">
      <c r="Q13" s="22"/>
    </row>
    <row r="15" spans="1:18" x14ac:dyDescent="0.25">
      <c r="M15" s="28"/>
      <c r="Q15" s="22"/>
    </row>
    <row r="16" spans="1:18" x14ac:dyDescent="0.25">
      <c r="M16" s="28"/>
    </row>
    <row r="17" spans="13:17" x14ac:dyDescent="0.25">
      <c r="M17" s="28"/>
      <c r="Q17" s="22"/>
    </row>
    <row r="18" spans="13:17" x14ac:dyDescent="0.25">
      <c r="M18" s="28"/>
    </row>
    <row r="19" spans="13:17" x14ac:dyDescent="0.25">
      <c r="M19" s="28"/>
      <c r="Q19" s="22"/>
    </row>
    <row r="20" spans="13:17" x14ac:dyDescent="0.25">
      <c r="M20" s="28"/>
    </row>
    <row r="21" spans="13:17" x14ac:dyDescent="0.25">
      <c r="M21" s="28"/>
      <c r="Q21" s="22"/>
    </row>
    <row r="23" spans="13:17" x14ac:dyDescent="0.25">
      <c r="Q23" s="22"/>
    </row>
    <row r="25" spans="13:17" x14ac:dyDescent="0.25">
      <c r="Q25" s="22"/>
    </row>
  </sheetData>
  <conditionalFormatting sqref="B2:B8">
    <cfRule type="colorScale" priority="2">
      <colorScale>
        <cfvo type="min"/>
        <cfvo type="max"/>
        <color rgb="FFFFEF9C"/>
        <color rgb="FF63BE7B"/>
      </colorScale>
    </cfRule>
  </conditionalFormatting>
  <conditionalFormatting sqref="B1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61C919-72F3-401F-8D85-D13265DB4E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LineItems</vt:lpstr>
      <vt:lpstr>Pivot</vt:lpstr>
      <vt:lpstr>Members</vt:lpstr>
      <vt:lpstr>Poll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Rodberg</dc:creator>
  <cp:lastModifiedBy>Rodberg, Kevin</cp:lastModifiedBy>
  <cp:lastPrinted>2019-09-23T11:38:35Z</cp:lastPrinted>
  <dcterms:created xsi:type="dcterms:W3CDTF">2018-03-19T14:07:08Z</dcterms:created>
  <dcterms:modified xsi:type="dcterms:W3CDTF">2019-10-04T11:47:39Z</dcterms:modified>
</cp:coreProperties>
</file>